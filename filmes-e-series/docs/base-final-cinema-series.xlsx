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érios" sheetId="1" state="visible" r:id="rId3"/>
    <sheet name="Resumo" sheetId="2" state="visible" r:id="rId4"/>
    <sheet name="Filmes" sheetId="3" state="visible" r:id="rId5"/>
    <sheet name="Séries" sheetId="4" state="visible" r:id="rId6"/>
    <sheet name="Excluídos" sheetId="5" state="visible" r:id="rId7"/>
    <sheet name="Fontes" sheetId="6" state="visible" r:id="rId8"/>
  </sheets>
  <definedNames>
    <definedName function="false" hidden="true" localSheetId="4" name="_xlnm._FilterDatabase" vbProcedure="false">Excluídos!$A$1:$M$1</definedName>
    <definedName function="false" hidden="true" localSheetId="2" name="_xlnm._FilterDatabase" vbProcedure="false">Filmes!$A$1:$AJ$1</definedName>
    <definedName function="false" hidden="true" localSheetId="5" name="_xlnm._FilterDatabase" vbProcedure="false">Fontes!$A$1:$D$1</definedName>
    <definedName function="false" hidden="true" localSheetId="3" name="_xlnm._FilterDatabase" vbProcedure="false">Séries!$A$1:$AN$1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<sst xmlns="http://schemas.openxmlformats.org/spreadsheetml/2006/main" count="16924" uniqueCount="6627">
  <si>
    <t xml:space="preserve">Base cruzada — Mosaico Card: Cinema &amp; Séries</t>
  </si>
  <si>
    <t xml:space="preserve">Versão final de 13/10/2026 · recorte: a partir de 2001 · público-alvo 15–25 anos · REGRA DA BASE: fica o título que aparece em pelo menos 3 bases OU tem selo Geração Z, mais 21 títulos resgatados manualmente (marcados em Observações/Conferir). Os demais estão na aba Excluídos.</t>
  </si>
  <si>
    <t xml:space="preserve">PARÂMETROS (células amarelas; a planilha recalcula ao alterar)</t>
  </si>
  <si>
    <t xml:space="preserve">Bônus por selo (somado ao índice, por selo presente)</t>
  </si>
  <si>
    <t xml:space="preserve">Corte: sai quem fica abaixo deste percentil do índice (1/3 = terço inferior)</t>
  </si>
  <si>
    <t xml:space="preserve">Corte da faixa A (índice ≥)</t>
  </si>
  <si>
    <t xml:space="preserve">Corte da faixa B (índice ≥)</t>
  </si>
  <si>
    <t xml:space="preserve">Tamanho da seleção Sucessos (por formato)</t>
  </si>
  <si>
    <t xml:space="preserve">ÍNDICE DOS FILMES</t>
  </si>
  <si>
    <t xml:space="preserve">Métricas (pesos iguais): percentil do público no Brasil, percentil da bilheteria mundial e percentil dos votos no IMDb. O índice é a MÉDIA das métricas que o título tem (quem não tem uma métrica não é penalizado por ela).</t>
  </si>
  <si>
    <t xml:space="preserve">Selos (somam o bônus acima, cada um): Letterboxd (populares/mais bem avaliados do ano ou de todos os tempos), JustWatch Brasil (populares hoje), Nielsen (tops anuais de streaming de filmes), Whip Media (top 10 semanal), Geração Z (YPulse/UCLA/Morning Consult), Parrot Analytics (alta demanda no Brasil).</t>
  </si>
  <si>
    <t xml:space="preserve">ÍNDICE DAS SÉRIES</t>
  </si>
  <si>
    <t xml:space="preserve">Métricas (pesos iguais): percentil dos votos no IMDb e "audiência oficial" = a melhor pontuação entre: Netflix Top 10 histórico (1 − (posição−1)/20), ranking Nielsen (1 − (posição−1)/(2 × tamanho da lista); TV aberta 2001–2020 com lista de 40, streaming 2020–2025 com lista de 30) e média de audiência por temporada (0,5 + 0,5 × percentil). Estar num ranking oficial já vale de 0,5 a 1.</t>
  </si>
  <si>
    <t xml:space="preserve">Nº de bases: cada fonte em que o título aparece conta 1 (filmes: público BR, bilheteria mundial, IMDb, Letterboxd, JustWatch, Nielsen, Whip, Geração Z, Parrot; séries: IMDb, audiência oficial coletada, Nielsen, Geração Z, Parrot, Whip, JustWatch).</t>
  </si>
  <si>
    <t xml:space="preserve">Selos (bônus): Geração Z, Parrot Analytics (Brasil), Whip Media, JustWatch Brasil. A Nielsen entra como métrica, não como selo, para não contar duas vezes.</t>
  </si>
  <si>
    <t xml:space="preserve">FAIXAS</t>
  </si>
  <si>
    <t xml:space="preserve">Percentis, índice e faixas são recalculados só entre os títulos da base final. Faixa A ≥ corte A; B ≥ corte B; C abaixo. A coluna informativa de terço inferior não exclui nada: "Sairia — terço inferior" se o índice estiver abaixo do percentil definido acima, calculado separadamente para filmes e para séries; "Sairia — sem métrica" se o título não tiver nenhuma métrica.</t>
  </si>
  <si>
    <t xml:space="preserve">ORIGEM DOS TÍTULOS</t>
  </si>
  <si>
    <t xml:space="preserve">Bilheteria (Ancine/Wikipédia): base original de filmes. Audiência oficial (coleta) / Curadoria: base original de séries. "Adicionado por: …": título que não estava na base e entrou porque apareceu numa das novas fontes (Letterboxd, JustWatch, Nielsen, Whip, Parrot, Geração Z), sempre lançado de 2001 em diante e excluídos realities, esportes, noticiários e programas de auditório.</t>
  </si>
  <si>
    <t xml:space="preserve">CUIDADOS</t>
  </si>
  <si>
    <t xml:space="preserve">• IMDb: dados oficiais (datasets.imdbws.com), licenciados para uso pessoal e não comercial. Servem à curadoria; rever o uso se o jogo virar produto pago.</t>
  </si>
  <si>
    <t xml:space="preserve">• Letterboxd: público jovem e cinéfilo (cerca de 1/4 dos usuários tem 16–24 anos, segundo a empresa) — gosto diferente do grande público brasileiro.</t>
  </si>
  <si>
    <t xml:space="preserve">• JustWatch: popularidade DO MOMENTO entre usuários do site (só as 160 primeiras posições de cada tipo; posições abaixo de ~40 instáveis).</t>
  </si>
  <si>
    <t xml:space="preserve">• Nielsen e Whip Media: público dos EUA (Whip também Europa). Geração Z: pesquisas dos EUA; faixas etárias variam (13–17, 18–24, 10–24, 13–25). Parrot: Brasil, mas muitas listas só como texto parcial.</t>
  </si>
  <si>
    <t xml:space="preserve">• TV Time foi encerrado em 15/07/2026; Trakt e acessos à Wikipédia não foram coletados.</t>
  </si>
  <si>
    <t xml:space="preserve">• A correspondência entre fontes foi feita por título + ano via IMDb; pode haver erros pontuais em títulos homônimos. Protagonista e alertas são avaliações preliminares.</t>
  </si>
  <si>
    <t xml:space="preserve">SELEÇÃO SUCESSOS</t>
  </si>
  <si>
    <t xml:space="preserve">Os N títulos mais bem posicionados no índice, separadamente para filmes e para séries (N na célula acima). Na sala, o Mestre escolhe Seleção: Sucessos ou Catálogo completo; Sucessos são também a primeira leva de pautas a escrever.</t>
  </si>
  <si>
    <t xml:space="preserve">COMO USAR</t>
  </si>
  <si>
    <t xml:space="preserve">Status (amarelo): candidato → selecionado → em escrita → aprovado, ou excluído. Filtre por "Corte (prévia)" para revisar quem sairia antes de excluir.</t>
  </si>
  <si>
    <t xml:space="preserve">Resumo da base final</t>
  </si>
  <si>
    <t xml:space="preserve">FILMES</t>
  </si>
  <si>
    <t xml:space="preserve">Total</t>
  </si>
  <si>
    <t xml:space="preserve">  Faixa A</t>
  </si>
  <si>
    <t xml:space="preserve">  Faixa B</t>
  </si>
  <si>
    <t xml:space="preserve">  Faixa C</t>
  </si>
  <si>
    <t xml:space="preserve">  Nacionais</t>
  </si>
  <si>
    <t xml:space="preserve">  Com 3 métricas</t>
  </si>
  <si>
    <t xml:space="preserve">  Com ao menos 1 selo</t>
  </si>
  <si>
    <t xml:space="preserve">  Adicionados pelas novas fontes</t>
  </si>
  <si>
    <t xml:space="preserve">SÉRIES</t>
  </si>
  <si>
    <t xml:space="preserve">  Com audiência oficial</t>
  </si>
  <si>
    <t xml:space="preserve">  Adicionadas pelas novas fontes</t>
  </si>
  <si>
    <t xml:space="preserve">TOTAL NA BASE FINAL</t>
  </si>
  <si>
    <t xml:space="preserve">Excluídos (aba Excluídos)</t>
  </si>
  <si>
    <t xml:space="preserve">Mantidos só pelo selo Geração Z (filmes/séries)</t>
  </si>
  <si>
    <t xml:space="preserve">0 / 7</t>
  </si>
  <si>
    <t xml:space="preserve">Seleção Sucessos — filmes</t>
  </si>
  <si>
    <t xml:space="preserve">Seleção Sucessos — séries</t>
  </si>
  <si>
    <t xml:space="preserve">Resgatados manualmente (filmes/séries)</t>
  </si>
  <si>
    <t xml:space="preserve">11 / 10</t>
  </si>
  <si>
    <t xml:space="preserve">ID</t>
  </si>
  <si>
    <t xml:space="preserve">Título no Brasil</t>
  </si>
  <si>
    <t xml:space="preserve">Título original</t>
  </si>
  <si>
    <t xml:space="preserve">Ano</t>
  </si>
  <si>
    <t xml:space="preserve">Nacional</t>
  </si>
  <si>
    <t xml:space="preserve">Origem na base</t>
  </si>
  <si>
    <t xml:space="preserve">Público no Brasil</t>
  </si>
  <si>
    <t xml:space="preserve">Renda no Brasil (R$)</t>
  </si>
  <si>
    <t xml:space="preserve">Bilheteria mundial (US$)</t>
  </si>
  <si>
    <t xml:space="preserve">Posição mundial no ano</t>
  </si>
  <si>
    <t xml:space="preserve">Votos no IMDb</t>
  </si>
  <si>
    <t xml:space="preserve">Nota IMDb</t>
  </si>
  <si>
    <t xml:space="preserve">Percentil público BR</t>
  </si>
  <si>
    <t xml:space="preserve">Percentil bilheteria mundial</t>
  </si>
  <si>
    <t xml:space="preserve">Percentil votos IMDb</t>
  </si>
  <si>
    <t xml:space="preserve">Nº de métricas</t>
  </si>
  <si>
    <t xml:space="preserve">Selo Letterboxd</t>
  </si>
  <si>
    <t xml:space="preserve">Selo JustWatch BR</t>
  </si>
  <si>
    <t xml:space="preserve">Selo Nielsen</t>
  </si>
  <si>
    <t xml:space="preserve">Selo Whip Media</t>
  </si>
  <si>
    <t xml:space="preserve">Selo Geração Z</t>
  </si>
  <si>
    <t xml:space="preserve">Selo Parrot BR</t>
  </si>
  <si>
    <t xml:space="preserve">Nº de selos</t>
  </si>
  <si>
    <t xml:space="preserve">Índice</t>
  </si>
  <si>
    <t xml:space="preserve">Faixa</t>
  </si>
  <si>
    <t xml:space="preserve">Posição</t>
  </si>
  <si>
    <t xml:space="preserve">Terço inferior da base final (informativo)</t>
  </si>
  <si>
    <t xml:space="preserve">Protagonista (preliminar)</t>
  </si>
  <si>
    <t xml:space="preserve">Observações</t>
  </si>
  <si>
    <t xml:space="preserve">Status</t>
  </si>
  <si>
    <t xml:space="preserve">Notas editoriais</t>
  </si>
  <si>
    <t xml:space="preserve">Fontes</t>
  </si>
  <si>
    <t xml:space="preserve">IMDb ID</t>
  </si>
  <si>
    <t xml:space="preserve">Nº de bases em que aparece</t>
  </si>
  <si>
    <t xml:space="preserve">Presente em ≥3 bases</t>
  </si>
  <si>
    <t xml:space="preserve">Seleção Sucessos</t>
  </si>
  <si>
    <t xml:space="preserve">F0001</t>
  </si>
  <si>
    <t xml:space="preserve">Vingadores: Ultimato</t>
  </si>
  <si>
    <t xml:space="preserve">Avengers: Endgame</t>
  </si>
  <si>
    <t xml:space="preserve">2019</t>
  </si>
  <si>
    <t xml:space="preserve">Não</t>
  </si>
  <si>
    <t xml:space="preserve">Bilheteria (Ancine/Wikipédia)</t>
  </si>
  <si>
    <t xml:space="preserve">2019 populares #1</t>
  </si>
  <si>
    <t xml:space="preserve">ambíguo (provável) — conferir</t>
  </si>
  <si>
    <t xml:space="preserve">candidato</t>
  </si>
  <si>
    <t xml:space="preserve">S052, S192, S201, S208</t>
  </si>
  <si>
    <t xml:space="preserve">tt4154796</t>
  </si>
  <si>
    <t xml:space="preserve">F0002</t>
  </si>
  <si>
    <t xml:space="preserve">Homem-Aranha: Sem Volta para Casa</t>
  </si>
  <si>
    <t xml:space="preserve">Spider-Man: No Way Home</t>
  </si>
  <si>
    <t xml:space="preserve">2021</t>
  </si>
  <si>
    <t xml:space="preserve">2021 populares #2; 2021 mais bem avaliados #1</t>
  </si>
  <si>
    <t xml:space="preserve">#43 hoje</t>
  </si>
  <si>
    <t xml:space="preserve">15–17 jul 2022 #9 (United States); 22–24 jul 2022 #8 (United States)</t>
  </si>
  <si>
    <t xml:space="preserve">a avaliar</t>
  </si>
  <si>
    <t xml:space="preserve">S054, S192, S199, S200, S201</t>
  </si>
  <si>
    <t xml:space="preserve">tt10872600</t>
  </si>
  <si>
    <t xml:space="preserve">F0003</t>
  </si>
  <si>
    <t xml:space="preserve">Vingadores: Guerra Infinita</t>
  </si>
  <si>
    <t xml:space="preserve">Avengers: Infinity War</t>
  </si>
  <si>
    <t xml:space="preserve">2018</t>
  </si>
  <si>
    <t xml:space="preserve">2018 populares #2; 2018 mais bem avaliados #13</t>
  </si>
  <si>
    <t xml:space="preserve">S051, S191, S192, S201</t>
  </si>
  <si>
    <t xml:space="preserve">tt4154756</t>
  </si>
  <si>
    <t xml:space="preserve">F0004</t>
  </si>
  <si>
    <t xml:space="preserve">Avatar: O Caminho da Água</t>
  </si>
  <si>
    <t xml:space="preserve">Avatar: The Way of Water</t>
  </si>
  <si>
    <t xml:space="preserve">2022</t>
  </si>
  <si>
    <t xml:space="preserve">2022 populares #16</t>
  </si>
  <si>
    <t xml:space="preserve">2023 #9</t>
  </si>
  <si>
    <t xml:space="preserve">16–18 jun 2023 #3 (United States)</t>
  </si>
  <si>
    <t xml:space="preserve">S055, S192, S200, S201</t>
  </si>
  <si>
    <t xml:space="preserve">tt1630029</t>
  </si>
  <si>
    <t xml:space="preserve">F0005</t>
  </si>
  <si>
    <t xml:space="preserve">V de Vingança</t>
  </si>
  <si>
    <t xml:space="preserve">V for Vendetta</t>
  </si>
  <si>
    <t xml:space="preserve">2005</t>
  </si>
  <si>
    <t xml:space="preserve">Adicionado por: JustWatch Brasil</t>
  </si>
  <si>
    <t xml:space="preserve">#71 hoje</t>
  </si>
  <si>
    <t xml:space="preserve">Resgatado manualmente (lista aprovada em 13/10/2026)</t>
  </si>
  <si>
    <t xml:space="preserve">tt0434409</t>
  </si>
  <si>
    <t xml:space="preserve">F0006</t>
  </si>
  <si>
    <t xml:space="preserve">Avatar</t>
  </si>
  <si>
    <t xml:space="preserve">2009</t>
  </si>
  <si>
    <t xml:space="preserve">S042, S191, S197</t>
  </si>
  <si>
    <t xml:space="preserve">tt0499549</t>
  </si>
  <si>
    <t xml:space="preserve">F0007</t>
  </si>
  <si>
    <t xml:space="preserve">Os Vingadores</t>
  </si>
  <si>
    <t xml:space="preserve">The Avengers</t>
  </si>
  <si>
    <t xml:space="preserve">2012</t>
  </si>
  <si>
    <t xml:space="preserve">S045, S191, S205</t>
  </si>
  <si>
    <t xml:space="preserve">tt0848228</t>
  </si>
  <si>
    <t xml:space="preserve">F0008</t>
  </si>
  <si>
    <t xml:space="preserve">Onde os Fracos Não Têm Vez</t>
  </si>
  <si>
    <t xml:space="preserve">No Country for Old Men</t>
  </si>
  <si>
    <t xml:space="preserve">2007</t>
  </si>
  <si>
    <t xml:space="preserve">#98 hoje</t>
  </si>
  <si>
    <t xml:space="preserve">tt0477348</t>
  </si>
  <si>
    <t xml:space="preserve">F0009</t>
  </si>
  <si>
    <t xml:space="preserve">Brilho Eterno de uma Mente sem Lembranças</t>
  </si>
  <si>
    <t xml:space="preserve">Eternal Sunshine of the Spotless Mind</t>
  </si>
  <si>
    <t xml:space="preserve">2004</t>
  </si>
  <si>
    <t xml:space="preserve">#129 hoje</t>
  </si>
  <si>
    <t xml:space="preserve">tt0338013</t>
  </si>
  <si>
    <t xml:space="preserve">F0010</t>
  </si>
  <si>
    <t xml:space="preserve">Garota Exemplar</t>
  </si>
  <si>
    <t xml:space="preserve">Gone Girl</t>
  </si>
  <si>
    <t xml:space="preserve">2014</t>
  </si>
  <si>
    <t xml:space="preserve">#106 hoje</t>
  </si>
  <si>
    <t xml:space="preserve">tt2267998</t>
  </si>
  <si>
    <t xml:space="preserve">F0011</t>
  </si>
  <si>
    <t xml:space="preserve">Coringa</t>
  </si>
  <si>
    <t xml:space="preserve">Joker</t>
  </si>
  <si>
    <t xml:space="preserve">2019 populares #2; populares de todos os tempos #5; populares de todos os tempos #2; populares de todos os tempos #6</t>
  </si>
  <si>
    <t xml:space="preserve">tt7286456</t>
  </si>
  <si>
    <t xml:space="preserve">F0012</t>
  </si>
  <si>
    <t xml:space="preserve">Era Uma Vez em... Hollywood</t>
  </si>
  <si>
    <t xml:space="preserve">Once Upon a Time in... Hollywood</t>
  </si>
  <si>
    <t xml:space="preserve">Adicionado por: Letterboxd</t>
  </si>
  <si>
    <t xml:space="preserve">2019 populares #3</t>
  </si>
  <si>
    <t xml:space="preserve">#103 hoje</t>
  </si>
  <si>
    <t xml:space="preserve">tt7131622</t>
  </si>
  <si>
    <t xml:space="preserve">F0013</t>
  </si>
  <si>
    <t xml:space="preserve">Barbie</t>
  </si>
  <si>
    <t xml:space="preserve">2023</t>
  </si>
  <si>
    <t xml:space="preserve">2023 populares #1; populares de todos os tempos #1; populares de todos os tempos #4</t>
  </si>
  <si>
    <t xml:space="preserve">UCLA Teens &amp; Screens 2023 2023-10 (10-24)</t>
  </si>
  <si>
    <t xml:space="preserve">S056, S192, S201</t>
  </si>
  <si>
    <t xml:space="preserve">tt1517268</t>
  </si>
  <si>
    <t xml:space="preserve">F0014</t>
  </si>
  <si>
    <t xml:space="preserve">Vingadores: A Era de Ultron</t>
  </si>
  <si>
    <t xml:space="preserve">Avengers: Age of Ultron</t>
  </si>
  <si>
    <t xml:space="preserve">2015</t>
  </si>
  <si>
    <t xml:space="preserve">S048, S191, S192, S201, S202</t>
  </si>
  <si>
    <t xml:space="preserve">tt2395427</t>
  </si>
  <si>
    <t xml:space="preserve">F0015</t>
  </si>
  <si>
    <t xml:space="preserve">Capitão América: Guerra civil</t>
  </si>
  <si>
    <t xml:space="preserve">Captain America: Civil War</t>
  </si>
  <si>
    <t xml:space="preserve">2016</t>
  </si>
  <si>
    <t xml:space="preserve">2016 populares #2</t>
  </si>
  <si>
    <t xml:space="preserve">S049, S191, S192, S201, S207</t>
  </si>
  <si>
    <t xml:space="preserve">tt3498820</t>
  </si>
  <si>
    <t xml:space="preserve">F0016</t>
  </si>
  <si>
    <t xml:space="preserve">Pantera Negra</t>
  </si>
  <si>
    <t xml:space="preserve">Black Panther</t>
  </si>
  <si>
    <t xml:space="preserve">2018 populares #1</t>
  </si>
  <si>
    <t xml:space="preserve">S051, S191</t>
  </si>
  <si>
    <t xml:space="preserve">tt1825683</t>
  </si>
  <si>
    <t xml:space="preserve">F0017</t>
  </si>
  <si>
    <t xml:space="preserve">Homem de ferro 3</t>
  </si>
  <si>
    <t xml:space="preserve">Iron Man 3</t>
  </si>
  <si>
    <t xml:space="preserve">2013</t>
  </si>
  <si>
    <t xml:space="preserve">S046, S193</t>
  </si>
  <si>
    <t xml:space="preserve">tt1300854</t>
  </si>
  <si>
    <t xml:space="preserve">F0018</t>
  </si>
  <si>
    <t xml:space="preserve">Logan</t>
  </si>
  <si>
    <t xml:space="preserve">2017</t>
  </si>
  <si>
    <t xml:space="preserve">2017 populares #3; 2017 mais bem avaliados #10</t>
  </si>
  <si>
    <t xml:space="preserve">S203</t>
  </si>
  <si>
    <t xml:space="preserve">tt3315342</t>
  </si>
  <si>
    <t xml:space="preserve">F0019</t>
  </si>
  <si>
    <t xml:space="preserve">Harry Potter e as Reliquias da Morte: Parte 2</t>
  </si>
  <si>
    <t xml:space="preserve">Harry Potter and the Deathly Hallows – Part 2</t>
  </si>
  <si>
    <t xml:space="preserve">2011</t>
  </si>
  <si>
    <t xml:space="preserve">S044, S187</t>
  </si>
  <si>
    <t xml:space="preserve">tt1201607</t>
  </si>
  <si>
    <t xml:space="preserve">F0020</t>
  </si>
  <si>
    <t xml:space="preserve">Top Gun: Maverick</t>
  </si>
  <si>
    <t xml:space="preserve">2022 populares #5</t>
  </si>
  <si>
    <t xml:space="preserve">S055, S200</t>
  </si>
  <si>
    <t xml:space="preserve">tt1745960</t>
  </si>
  <si>
    <t xml:space="preserve">F0021</t>
  </si>
  <si>
    <t xml:space="preserve">Homem-Aranha Longe de Casa</t>
  </si>
  <si>
    <t xml:space="preserve">Spider-Man: Far From Home</t>
  </si>
  <si>
    <t xml:space="preserve">2019 populares #8</t>
  </si>
  <si>
    <t xml:space="preserve">#114 hoje</t>
  </si>
  <si>
    <t xml:space="preserve">S052, S208</t>
  </si>
  <si>
    <t xml:space="preserve">tt6320628</t>
  </si>
  <si>
    <t xml:space="preserve">F0022</t>
  </si>
  <si>
    <t xml:space="preserve">Capitã Marvel</t>
  </si>
  <si>
    <t xml:space="preserve">Captain Marvel</t>
  </si>
  <si>
    <t xml:space="preserve">2019 populares #6</t>
  </si>
  <si>
    <t xml:space="preserve">tt4154664</t>
  </si>
  <si>
    <t xml:space="preserve">F0023</t>
  </si>
  <si>
    <t xml:space="preserve">O Jogo da Imitação</t>
  </si>
  <si>
    <t xml:space="preserve">The Imitation Game</t>
  </si>
  <si>
    <t xml:space="preserve">#89 hoje</t>
  </si>
  <si>
    <t xml:space="preserve">tt2084970</t>
  </si>
  <si>
    <t xml:space="preserve">F0024</t>
  </si>
  <si>
    <t xml:space="preserve">Batman: O Cavaleiro das Trevas Ressurge</t>
  </si>
  <si>
    <t xml:space="preserve">The Dark Knight Rises</t>
  </si>
  <si>
    <t xml:space="preserve">S045, S205</t>
  </si>
  <si>
    <t xml:space="preserve">tt1345836</t>
  </si>
  <si>
    <t xml:space="preserve">F0025</t>
  </si>
  <si>
    <t xml:space="preserve">Jurassic World: O mundo dos dinossauros</t>
  </si>
  <si>
    <t xml:space="preserve">Jurassic World</t>
  </si>
  <si>
    <t xml:space="preserve">S048, S202</t>
  </si>
  <si>
    <t xml:space="preserve">tt0369610</t>
  </si>
  <si>
    <t xml:space="preserve">F0026</t>
  </si>
  <si>
    <t xml:space="preserve">Deadpool &amp; Wolverine</t>
  </si>
  <si>
    <t xml:space="preserve">2024</t>
  </si>
  <si>
    <t xml:space="preserve">2024 populares #4</t>
  </si>
  <si>
    <t xml:space="preserve">S057, S209</t>
  </si>
  <si>
    <t xml:space="preserve">tt6263850</t>
  </si>
  <si>
    <t xml:space="preserve">F0027</t>
  </si>
  <si>
    <t xml:space="preserve">Homem-Aranha: De Volta ao Lar</t>
  </si>
  <si>
    <t xml:space="preserve">Spider-Man: Homecoming</t>
  </si>
  <si>
    <t xml:space="preserve">2017 populares #9</t>
  </si>
  <si>
    <t xml:space="preserve">#107 hoje</t>
  </si>
  <si>
    <t xml:space="preserve">S050, S203</t>
  </si>
  <si>
    <t xml:space="preserve">tt2250912</t>
  </si>
  <si>
    <t xml:space="preserve">F0028</t>
  </si>
  <si>
    <t xml:space="preserve">Homem-Aranha: Um Novo Dia</t>
  </si>
  <si>
    <t xml:space="preserve">Spider-Man: Brand New Day</t>
  </si>
  <si>
    <t xml:space="preserve">2026</t>
  </si>
  <si>
    <t xml:space="preserve">#5 hoje</t>
  </si>
  <si>
    <t xml:space="preserve">2026: dados parciais</t>
  </si>
  <si>
    <t xml:space="preserve">S059, S189</t>
  </si>
  <si>
    <t xml:space="preserve">tt22084616</t>
  </si>
  <si>
    <t xml:space="preserve">F0029</t>
  </si>
  <si>
    <t xml:space="preserve">Homem-Aranha</t>
  </si>
  <si>
    <t xml:space="preserve">Spider-Man</t>
  </si>
  <si>
    <t xml:space="preserve">2002</t>
  </si>
  <si>
    <t xml:space="preserve">UCLA Center for Scholars &amp; Storytellers 2025-10 (10-24) #4</t>
  </si>
  <si>
    <t xml:space="preserve">S035, S180</t>
  </si>
  <si>
    <t xml:space="preserve">tt0145487</t>
  </si>
  <si>
    <t xml:space="preserve">F0030</t>
  </si>
  <si>
    <t xml:space="preserve">Batman vs Superman: a Origem da Justiça</t>
  </si>
  <si>
    <t xml:space="preserve">Batman v Superman: Dawn of Justice</t>
  </si>
  <si>
    <t xml:space="preserve">2016 populares #4</t>
  </si>
  <si>
    <t xml:space="preserve">S049, S191, S201, S207</t>
  </si>
  <si>
    <t xml:space="preserve">tt2975590</t>
  </si>
  <si>
    <t xml:space="preserve">F0031</t>
  </si>
  <si>
    <t xml:space="preserve">O Senhor dos Anéis: O Retorno do Rei</t>
  </si>
  <si>
    <t xml:space="preserve">The Lord of the Rings: The Return of the King</t>
  </si>
  <si>
    <t xml:space="preserve">2003</t>
  </si>
  <si>
    <t xml:space="preserve">S036, S181</t>
  </si>
  <si>
    <t xml:space="preserve">tt0167260</t>
  </si>
  <si>
    <t xml:space="preserve">F0032</t>
  </si>
  <si>
    <t xml:space="preserve">Não Olhe para Cima</t>
  </si>
  <si>
    <t xml:space="preserve">Don't Look Up</t>
  </si>
  <si>
    <t xml:space="preserve">Adicionado por: Nielsen</t>
  </si>
  <si>
    <t xml:space="preserve">2021 populares #8</t>
  </si>
  <si>
    <t xml:space="preserve">2022 #7</t>
  </si>
  <si>
    <t xml:space="preserve">fim de semana 7–9 jan 2022 #2 (United States); 18–20 fev 2022 #10 (United States)</t>
  </si>
  <si>
    <t xml:space="preserve">tt11286314</t>
  </si>
  <si>
    <t xml:space="preserve">F0033</t>
  </si>
  <si>
    <t xml:space="preserve">Doutor Estranho no Multiverso da Loucura</t>
  </si>
  <si>
    <t xml:space="preserve">Doctor Strange in the Multiverse of Madness</t>
  </si>
  <si>
    <t xml:space="preserve">2022 populares #4</t>
  </si>
  <si>
    <t xml:space="preserve">15–17 jul 2022 #3 (United States); 22–24 jul 2022 #2 (United States)</t>
  </si>
  <si>
    <t xml:space="preserve">tt9419884</t>
  </si>
  <si>
    <t xml:space="preserve">F0034</t>
  </si>
  <si>
    <t xml:space="preserve">Velozes e Furiosos 7</t>
  </si>
  <si>
    <t xml:space="preserve">Furious 7</t>
  </si>
  <si>
    <t xml:space="preserve">tt2820852</t>
  </si>
  <si>
    <t xml:space="preserve">F0035</t>
  </si>
  <si>
    <t xml:space="preserve">A Odisseia</t>
  </si>
  <si>
    <t xml:space="preserve">The Odyssey</t>
  </si>
  <si>
    <t xml:space="preserve">#16 hoje</t>
  </si>
  <si>
    <t xml:space="preserve">tt33764258</t>
  </si>
  <si>
    <t xml:space="preserve">F0036</t>
  </si>
  <si>
    <t xml:space="preserve">Doutor Estranho</t>
  </si>
  <si>
    <t xml:space="preserve">Doctor Strange</t>
  </si>
  <si>
    <t xml:space="preserve">2016 populares #15</t>
  </si>
  <si>
    <t xml:space="preserve">S207</t>
  </si>
  <si>
    <t xml:space="preserve">tt1211837</t>
  </si>
  <si>
    <t xml:space="preserve">F0037</t>
  </si>
  <si>
    <t xml:space="preserve">Batman – O Cavaleiro das Trevas</t>
  </si>
  <si>
    <t xml:space="preserve">The Dark Knight</t>
  </si>
  <si>
    <t xml:space="preserve">2008</t>
  </si>
  <si>
    <t xml:space="preserve">populares de todos os tempos #7; populares de todos os tempos #6</t>
  </si>
  <si>
    <t xml:space="preserve">S041, S186</t>
  </si>
  <si>
    <t xml:space="preserve">tt0468569</t>
  </si>
  <si>
    <t xml:space="preserve">F0038</t>
  </si>
  <si>
    <t xml:space="preserve">Os Incríveis 2</t>
  </si>
  <si>
    <t xml:space="preserve">Incredibles 2</t>
  </si>
  <si>
    <t xml:space="preserve">2018 populares #6</t>
  </si>
  <si>
    <t xml:space="preserve">tt3606756</t>
  </si>
  <si>
    <t xml:space="preserve">F0039</t>
  </si>
  <si>
    <t xml:space="preserve">Deadpool</t>
  </si>
  <si>
    <t xml:space="preserve">2016 populares #1</t>
  </si>
  <si>
    <t xml:space="preserve">S049, S207</t>
  </si>
  <si>
    <t xml:space="preserve">tt1431045</t>
  </si>
  <si>
    <t xml:space="preserve">F0040</t>
  </si>
  <si>
    <t xml:space="preserve">Liga da Justiça</t>
  </si>
  <si>
    <t xml:space="preserve">Justice League</t>
  </si>
  <si>
    <t xml:space="preserve">2017 populares #24</t>
  </si>
  <si>
    <t xml:space="preserve">S191, S192, S201, S203</t>
  </si>
  <si>
    <t xml:space="preserve">tt0974015</t>
  </si>
  <si>
    <t xml:space="preserve">F0041</t>
  </si>
  <si>
    <t xml:space="preserve">O Rei Leão</t>
  </si>
  <si>
    <t xml:space="preserve">The Lion King</t>
  </si>
  <si>
    <t xml:space="preserve">2019 populares #24</t>
  </si>
  <si>
    <t xml:space="preserve">tt6105098</t>
  </si>
  <si>
    <t xml:space="preserve">F0042</t>
  </si>
  <si>
    <t xml:space="preserve">Batman</t>
  </si>
  <si>
    <t xml:space="preserve">The Batman</t>
  </si>
  <si>
    <t xml:space="preserve">2022 populares #1; populares de todos os tempos #9</t>
  </si>
  <si>
    <t xml:space="preserve">17–19 jun 2022 #7 (United States); 15–17 jul 2022 #8 (United States); 22–24 jul 2022 #9 (United States)</t>
  </si>
  <si>
    <t xml:space="preserve">tt1877830</t>
  </si>
  <si>
    <t xml:space="preserve">F0043</t>
  </si>
  <si>
    <t xml:space="preserve">Thor: Ragnarok</t>
  </si>
  <si>
    <t xml:space="preserve">2017 populares #12</t>
  </si>
  <si>
    <t xml:space="preserve">tt3501632</t>
  </si>
  <si>
    <t xml:space="preserve">F0044</t>
  </si>
  <si>
    <t xml:space="preserve">Toy Story 3</t>
  </si>
  <si>
    <t xml:space="preserve">2010</t>
  </si>
  <si>
    <t xml:space="preserve">S043, S204</t>
  </si>
  <si>
    <t xml:space="preserve">tt0435761</t>
  </si>
  <si>
    <t xml:space="preserve">F0045</t>
  </si>
  <si>
    <t xml:space="preserve">Divertida Mente 2</t>
  </si>
  <si>
    <t xml:space="preserve">Inside Out 2</t>
  </si>
  <si>
    <t xml:space="preserve">2024 populares #5</t>
  </si>
  <si>
    <t xml:space="preserve">S057, S192, S209</t>
  </si>
  <si>
    <t xml:space="preserve">tt22022452</t>
  </si>
  <si>
    <t xml:space="preserve">F0046</t>
  </si>
  <si>
    <t xml:space="preserve">A Bela e a Fera</t>
  </si>
  <si>
    <t xml:space="preserve">Beauty and the Beast</t>
  </si>
  <si>
    <t xml:space="preserve">2017 populares #18</t>
  </si>
  <si>
    <t xml:space="preserve">S050, S191, S203</t>
  </si>
  <si>
    <t xml:space="preserve">tt2771200</t>
  </si>
  <si>
    <t xml:space="preserve">F0047</t>
  </si>
  <si>
    <t xml:space="preserve">Aquaman</t>
  </si>
  <si>
    <t xml:space="preserve">S051, S191, S208</t>
  </si>
  <si>
    <t xml:space="preserve">tt1477834</t>
  </si>
  <si>
    <t xml:space="preserve">F0048</t>
  </si>
  <si>
    <t xml:space="preserve">Super Mario Bros.: O Filme</t>
  </si>
  <si>
    <t xml:space="preserve">The Super Mario Bros. Movie</t>
  </si>
  <si>
    <t xml:space="preserve">2023 populares #5</t>
  </si>
  <si>
    <t xml:space="preserve">2023 #3; 2024 #2</t>
  </si>
  <si>
    <t xml:space="preserve">S056, S201</t>
  </si>
  <si>
    <t xml:space="preserve">tt6718170</t>
  </si>
  <si>
    <t xml:space="preserve">F0049</t>
  </si>
  <si>
    <t xml:space="preserve">Mulher-Maravilha</t>
  </si>
  <si>
    <t xml:space="preserve">Wonder Woman</t>
  </si>
  <si>
    <t xml:space="preserve">2017 populares #5</t>
  </si>
  <si>
    <t xml:space="preserve">tt0451279</t>
  </si>
  <si>
    <t xml:space="preserve">F0050</t>
  </si>
  <si>
    <t xml:space="preserve">Procurando Nemo</t>
  </si>
  <si>
    <t xml:space="preserve">Finding Nemo</t>
  </si>
  <si>
    <t xml:space="preserve">tt0266543</t>
  </si>
  <si>
    <t xml:space="preserve">F0051</t>
  </si>
  <si>
    <t xml:space="preserve">Harry Potter e a Pedra Filosofal</t>
  </si>
  <si>
    <t xml:space="preserve">Harry Potter and the Philosopher's Stone</t>
  </si>
  <si>
    <t xml:space="preserve">2001</t>
  </si>
  <si>
    <t xml:space="preserve">S034, S179</t>
  </si>
  <si>
    <t xml:space="preserve">tt0241527</t>
  </si>
  <si>
    <t xml:space="preserve">F0052</t>
  </si>
  <si>
    <t xml:space="preserve">O Senhor dos Anéis: As Duas Torres</t>
  </si>
  <si>
    <t xml:space="preserve">The Lord of the Rings: The Two Towers</t>
  </si>
  <si>
    <t xml:space="preserve">tt0167261</t>
  </si>
  <si>
    <t xml:space="preserve">F0053</t>
  </si>
  <si>
    <t xml:space="preserve">O Senhor dos Anéis: A Sociedade do Anel</t>
  </si>
  <si>
    <t xml:space="preserve">The Lord of the Rings: The Fellowship of the Ring</t>
  </si>
  <si>
    <t xml:space="preserve">S034, S180</t>
  </si>
  <si>
    <t xml:space="preserve">tt0120737</t>
  </si>
  <si>
    <t xml:space="preserve">F0054</t>
  </si>
  <si>
    <t xml:space="preserve">Interestelar</t>
  </si>
  <si>
    <t xml:space="preserve">Interstellar</t>
  </si>
  <si>
    <t xml:space="preserve">populares de todos os tempos #2; populares de todos os tempos #5</t>
  </si>
  <si>
    <t xml:space="preserve">#90 hoje</t>
  </si>
  <si>
    <t xml:space="preserve">S047</t>
  </si>
  <si>
    <t xml:space="preserve">tt0816692</t>
  </si>
  <si>
    <t xml:space="preserve">F0055</t>
  </si>
  <si>
    <t xml:space="preserve">Esquadrão Suicida</t>
  </si>
  <si>
    <t xml:space="preserve">Suicide Squad</t>
  </si>
  <si>
    <t xml:space="preserve">2016 populares #10</t>
  </si>
  <si>
    <t xml:space="preserve">tt1386697</t>
  </si>
  <si>
    <t xml:space="preserve">F0056</t>
  </si>
  <si>
    <t xml:space="preserve">Frozen 2</t>
  </si>
  <si>
    <t xml:space="preserve">2019 populares #45</t>
  </si>
  <si>
    <t xml:space="preserve">2020 #1; 2021 #4; 2022 #14</t>
  </si>
  <si>
    <t xml:space="preserve">S052, S198</t>
  </si>
  <si>
    <t xml:space="preserve">tt4520988</t>
  </si>
  <si>
    <t xml:space="preserve">F0057</t>
  </si>
  <si>
    <t xml:space="preserve">Homem-Aranha 2</t>
  </si>
  <si>
    <t xml:space="preserve">Spider-Man 2</t>
  </si>
  <si>
    <t xml:space="preserve">S037, S182</t>
  </si>
  <si>
    <t xml:space="preserve">tt0316654</t>
  </si>
  <si>
    <t xml:space="preserve">F0058</t>
  </si>
  <si>
    <t xml:space="preserve">Homem-Aranha 3</t>
  </si>
  <si>
    <t xml:space="preserve">Spider-Man 3</t>
  </si>
  <si>
    <t xml:space="preserve">S040, S185</t>
  </si>
  <si>
    <t xml:space="preserve">tt0413300</t>
  </si>
  <si>
    <t xml:space="preserve">F0059</t>
  </si>
  <si>
    <t xml:space="preserve">Toy Story 4</t>
  </si>
  <si>
    <t xml:space="preserve">2019 populares #14</t>
  </si>
  <si>
    <t xml:space="preserve">tt1979376</t>
  </si>
  <si>
    <t xml:space="preserve">F0060</t>
  </si>
  <si>
    <t xml:space="preserve">Oppenheimer</t>
  </si>
  <si>
    <t xml:space="preserve">2023 populares #2; 2023 mais bem avaliados #3</t>
  </si>
  <si>
    <t xml:space="preserve">tt15398776</t>
  </si>
  <si>
    <t xml:space="preserve">F0061</t>
  </si>
  <si>
    <t xml:space="preserve">Velozes e Furiosos 8</t>
  </si>
  <si>
    <t xml:space="preserve">The Fate of the Furious</t>
  </si>
  <si>
    <t xml:space="preserve">2017 populares #50</t>
  </si>
  <si>
    <t xml:space="preserve">tt4630562</t>
  </si>
  <si>
    <t xml:space="preserve">F0062</t>
  </si>
  <si>
    <t xml:space="preserve">Frozen: uma Aventura Congelante</t>
  </si>
  <si>
    <t xml:space="preserve">Frozen</t>
  </si>
  <si>
    <t xml:space="preserve">S046, S206</t>
  </si>
  <si>
    <t xml:space="preserve">tt2294629</t>
  </si>
  <si>
    <t xml:space="preserve">F0063</t>
  </si>
  <si>
    <t xml:space="preserve">Jurassic World – Reino Ameaçado</t>
  </si>
  <si>
    <t xml:space="preserve">Jurassic World: Fallen Kingdom</t>
  </si>
  <si>
    <t xml:space="preserve">2018 populares #22</t>
  </si>
  <si>
    <t xml:space="preserve">tt4881806</t>
  </si>
  <si>
    <t xml:space="preserve">F0064</t>
  </si>
  <si>
    <t xml:space="preserve">Procurando Dory</t>
  </si>
  <si>
    <t xml:space="preserve">Finding Dory</t>
  </si>
  <si>
    <t xml:space="preserve">2016 populares #14</t>
  </si>
  <si>
    <t xml:space="preserve">tt2277860</t>
  </si>
  <si>
    <t xml:space="preserve">F0065</t>
  </si>
  <si>
    <t xml:space="preserve">It: A coisa</t>
  </si>
  <si>
    <t xml:space="preserve">It</t>
  </si>
  <si>
    <t xml:space="preserve">2017 populares #10</t>
  </si>
  <si>
    <t xml:space="preserve">tt1396484</t>
  </si>
  <si>
    <t xml:space="preserve">F0066</t>
  </si>
  <si>
    <t xml:space="preserve">Jogos Vorazes</t>
  </si>
  <si>
    <t xml:space="preserve">The Hunger Games</t>
  </si>
  <si>
    <t xml:space="preserve">#54 hoje</t>
  </si>
  <si>
    <t xml:space="preserve">YPulse 2019-10 (13-18) #1</t>
  </si>
  <si>
    <t xml:space="preserve">S045</t>
  </si>
  <si>
    <t xml:space="preserve">tt1392170</t>
  </si>
  <si>
    <t xml:space="preserve">F0067</t>
  </si>
  <si>
    <t xml:space="preserve">Minions</t>
  </si>
  <si>
    <t xml:space="preserve">tt2293640</t>
  </si>
  <si>
    <t xml:space="preserve">F0068</t>
  </si>
  <si>
    <t xml:space="preserve">Piratas do Caribe: Navegando em Águas Misteriosas</t>
  </si>
  <si>
    <t xml:space="preserve">Pirates of the Caribbean: On Stranger Tides</t>
  </si>
  <si>
    <t xml:space="preserve">tt1298650</t>
  </si>
  <si>
    <t xml:space="preserve">F0069</t>
  </si>
  <si>
    <t xml:space="preserve">Guardiões da Galáxia Vol. 2</t>
  </si>
  <si>
    <t xml:space="preserve">Guardians of the Galaxy Vol. 2</t>
  </si>
  <si>
    <t xml:space="preserve">2017 populares #6</t>
  </si>
  <si>
    <t xml:space="preserve">tt3896198</t>
  </si>
  <si>
    <t xml:space="preserve">F0070</t>
  </si>
  <si>
    <t xml:space="preserve">Meu malvado favorito 2</t>
  </si>
  <si>
    <t xml:space="preserve">Despicable Me 2</t>
  </si>
  <si>
    <t xml:space="preserve">tt1690953</t>
  </si>
  <si>
    <t xml:space="preserve">F0071</t>
  </si>
  <si>
    <t xml:space="preserve">Harry Potter e o Cálice de Fogo</t>
  </si>
  <si>
    <t xml:space="preserve">Harry Potter and the Goblet of Fire</t>
  </si>
  <si>
    <t xml:space="preserve">S038, S183</t>
  </si>
  <si>
    <t xml:space="preserve">tt0330373</t>
  </si>
  <si>
    <t xml:space="preserve">F0072</t>
  </si>
  <si>
    <t xml:space="preserve">Piratas do Caribe: O Baú da Morte</t>
  </si>
  <si>
    <t xml:space="preserve">Pirates of the Caribbean: Dead Man's Chest</t>
  </si>
  <si>
    <t xml:space="preserve">2006</t>
  </si>
  <si>
    <t xml:space="preserve">S039, S184</t>
  </si>
  <si>
    <t xml:space="preserve">tt0383574</t>
  </si>
  <si>
    <t xml:space="preserve">F0073</t>
  </si>
  <si>
    <t xml:space="preserve">Zootopia 2</t>
  </si>
  <si>
    <t xml:space="preserve">2025</t>
  </si>
  <si>
    <t xml:space="preserve">2025 populares #24</t>
  </si>
  <si>
    <t xml:space="preserve">S058, S188</t>
  </si>
  <si>
    <t xml:space="preserve">tt26443597</t>
  </si>
  <si>
    <t xml:space="preserve">F0074</t>
  </si>
  <si>
    <t xml:space="preserve">Harry Potter e as relíquias da morte – Parte 1</t>
  </si>
  <si>
    <t xml:space="preserve">Harry Potter and the Deathly Hallows – Part 1</t>
  </si>
  <si>
    <t xml:space="preserve">tt0926084</t>
  </si>
  <si>
    <t xml:space="preserve">F0075</t>
  </si>
  <si>
    <t xml:space="preserve">Deadpool 2</t>
  </si>
  <si>
    <t xml:space="preserve">2018 populares #7</t>
  </si>
  <si>
    <t xml:space="preserve">tt5463162</t>
  </si>
  <si>
    <t xml:space="preserve">F0076</t>
  </si>
  <si>
    <t xml:space="preserve">Venom</t>
  </si>
  <si>
    <t xml:space="preserve">2018 populares #24</t>
  </si>
  <si>
    <t xml:space="preserve">tt1270797</t>
  </si>
  <si>
    <t xml:space="preserve">F0077</t>
  </si>
  <si>
    <t xml:space="preserve">Harry Potter e o Enigma do Príncipe</t>
  </si>
  <si>
    <t xml:space="preserve">Harry Potter and the Half-Blood Prince</t>
  </si>
  <si>
    <t xml:space="preserve">S042, S197</t>
  </si>
  <si>
    <t xml:space="preserve">tt0417741</t>
  </si>
  <si>
    <t xml:space="preserve">F0078</t>
  </si>
  <si>
    <t xml:space="preserve">Avatar: Fogo e Cinzas</t>
  </si>
  <si>
    <t xml:space="preserve">Avatar: Fire and Ash</t>
  </si>
  <si>
    <t xml:space="preserve">2025 populares #22</t>
  </si>
  <si>
    <t xml:space="preserve">tt1757678</t>
  </si>
  <si>
    <t xml:space="preserve">F0079</t>
  </si>
  <si>
    <t xml:space="preserve">Pantera Negra: Wakanda para Sempre</t>
  </si>
  <si>
    <t xml:space="preserve">Black Panther: Wakanda Forever</t>
  </si>
  <si>
    <t xml:space="preserve">2022 populares #18</t>
  </si>
  <si>
    <t xml:space="preserve">2023 #8</t>
  </si>
  <si>
    <t xml:space="preserve">tt9114286</t>
  </si>
  <si>
    <t xml:space="preserve">F0080</t>
  </si>
  <si>
    <t xml:space="preserve">Harry Potter e a Ordem da Fênix</t>
  </si>
  <si>
    <t xml:space="preserve">Harry Potter and the Order of the Phoenix</t>
  </si>
  <si>
    <t xml:space="preserve">tt0373889</t>
  </si>
  <si>
    <t xml:space="preserve">F0081</t>
  </si>
  <si>
    <t xml:space="preserve">Pecadores</t>
  </si>
  <si>
    <t xml:space="preserve">Sinners</t>
  </si>
  <si>
    <t xml:space="preserve">2025 populares #1; 2025 mais bem avaliados #9</t>
  </si>
  <si>
    <t xml:space="preserve">#64 hoje</t>
  </si>
  <si>
    <t xml:space="preserve">tt31193180</t>
  </si>
  <si>
    <t xml:space="preserve">F0082</t>
  </si>
  <si>
    <t xml:space="preserve">Duna: Parte Dois</t>
  </si>
  <si>
    <t xml:space="preserve">Dune: Part Two</t>
  </si>
  <si>
    <t xml:space="preserve">2024 populares #1; 2024 mais bem avaliados #1</t>
  </si>
  <si>
    <t xml:space="preserve">Q1 2024</t>
  </si>
  <si>
    <t xml:space="preserve">S057</t>
  </si>
  <si>
    <t xml:space="preserve">tt15239678</t>
  </si>
  <si>
    <t xml:space="preserve">F0083</t>
  </si>
  <si>
    <t xml:space="preserve">Jumanji: Bem-Vindo à Selva</t>
  </si>
  <si>
    <t xml:space="preserve">Jumanji: Welcome to the Jungle</t>
  </si>
  <si>
    <t xml:space="preserve">S050, S191</t>
  </si>
  <si>
    <t xml:space="preserve">tt2283362</t>
  </si>
  <si>
    <t xml:space="preserve">F0084</t>
  </si>
  <si>
    <t xml:space="preserve">Rogue One - Uma História Star Wars</t>
  </si>
  <si>
    <t xml:space="preserve">Rogue One: A Star Wars Story</t>
  </si>
  <si>
    <t xml:space="preserve">2016 populares #8</t>
  </si>
  <si>
    <t xml:space="preserve">tt3748528</t>
  </si>
  <si>
    <t xml:space="preserve">F0085</t>
  </si>
  <si>
    <t xml:space="preserve">O Espetacular Homem-Aranha</t>
  </si>
  <si>
    <t xml:space="preserve">The Amazing Spider-Man</t>
  </si>
  <si>
    <t xml:space="preserve">tt0948470</t>
  </si>
  <si>
    <t xml:space="preserve">F0086</t>
  </si>
  <si>
    <t xml:space="preserve">Piratas do Caribe: No Fim do Mundo</t>
  </si>
  <si>
    <t xml:space="preserve">Pirates of the Caribbean: At World's End</t>
  </si>
  <si>
    <t xml:space="preserve">tt0449088</t>
  </si>
  <si>
    <t xml:space="preserve">F0087</t>
  </si>
  <si>
    <t xml:space="preserve">Shrek 2</t>
  </si>
  <si>
    <t xml:space="preserve">tt0298148</t>
  </si>
  <si>
    <t xml:space="preserve">F0088</t>
  </si>
  <si>
    <t xml:space="preserve">Capitão América 2: O soldado invernal</t>
  </si>
  <si>
    <t xml:space="preserve">Captain America: The Winter Soldier</t>
  </si>
  <si>
    <t xml:space="preserve">S047, S206</t>
  </si>
  <si>
    <t xml:space="preserve">tt1843866</t>
  </si>
  <si>
    <t xml:space="preserve">F0089</t>
  </si>
  <si>
    <t xml:space="preserve">Cidade de Deus</t>
  </si>
  <si>
    <t xml:space="preserve">City of God</t>
  </si>
  <si>
    <t xml:space="preserve">Sim</t>
  </si>
  <si>
    <t xml:space="preserve">S180, S190, S194</t>
  </si>
  <si>
    <t xml:space="preserve">tt0317248</t>
  </si>
  <si>
    <t xml:space="preserve">F0090</t>
  </si>
  <si>
    <t xml:space="preserve">Divertida Mente</t>
  </si>
  <si>
    <t xml:space="preserve">Inside Out</t>
  </si>
  <si>
    <t xml:space="preserve">tt2096673</t>
  </si>
  <si>
    <t xml:space="preserve">F0091</t>
  </si>
  <si>
    <t xml:space="preserve">Harry Potter e a Câmara Secreta</t>
  </si>
  <si>
    <t xml:space="preserve">Harry Potter and the Chamber of Secrets</t>
  </si>
  <si>
    <t xml:space="preserve">tt0295297</t>
  </si>
  <si>
    <t xml:space="preserve">F0092</t>
  </si>
  <si>
    <t xml:space="preserve">O Menu</t>
  </si>
  <si>
    <t xml:space="preserve">The Menu</t>
  </si>
  <si>
    <t xml:space="preserve">2022 populares #21</t>
  </si>
  <si>
    <t xml:space="preserve">#109 hoje</t>
  </si>
  <si>
    <t xml:space="preserve">tt9764362</t>
  </si>
  <si>
    <t xml:space="preserve">F0093</t>
  </si>
  <si>
    <t xml:space="preserve">Moana - Um Mar de Aventuras</t>
  </si>
  <si>
    <t xml:space="preserve">Moana</t>
  </si>
  <si>
    <t xml:space="preserve">2016 populares #41; 2016 mais bem avaliados #13</t>
  </si>
  <si>
    <t xml:space="preserve">tt3521164</t>
  </si>
  <si>
    <t xml:space="preserve">F0094</t>
  </si>
  <si>
    <t xml:space="preserve">X-Men: Dias de um Futuro Esquecido</t>
  </si>
  <si>
    <t xml:space="preserve">X-Men: Days of Future Past</t>
  </si>
  <si>
    <t xml:space="preserve">tt1877832</t>
  </si>
  <si>
    <t xml:space="preserve">F0095</t>
  </si>
  <si>
    <t xml:space="preserve">Thor: Amor e Trovão</t>
  </si>
  <si>
    <t xml:space="preserve">Thor: Love and Thunder</t>
  </si>
  <si>
    <t xml:space="preserve">2022 populares #7</t>
  </si>
  <si>
    <t xml:space="preserve">tt10648342</t>
  </si>
  <si>
    <t xml:space="preserve">F0096</t>
  </si>
  <si>
    <t xml:space="preserve">Aladdin</t>
  </si>
  <si>
    <t xml:space="preserve">2019 populares #29</t>
  </si>
  <si>
    <t xml:space="preserve">tt6139732</t>
  </si>
  <si>
    <t xml:space="preserve">F0097</t>
  </si>
  <si>
    <t xml:space="preserve">Zootopia - Essa Cidade é o Bicho</t>
  </si>
  <si>
    <t xml:space="preserve">Zootopia</t>
  </si>
  <si>
    <t xml:space="preserve">2016 populares #3</t>
  </si>
  <si>
    <t xml:space="preserve">tt2948356</t>
  </si>
  <si>
    <t xml:space="preserve">F0098</t>
  </si>
  <si>
    <t xml:space="preserve">Capitão América: O Primeiro Vingador</t>
  </si>
  <si>
    <t xml:space="preserve">Captain America: The First Avenger</t>
  </si>
  <si>
    <t xml:space="preserve">S187</t>
  </si>
  <si>
    <t xml:space="preserve">tt0458339</t>
  </si>
  <si>
    <t xml:space="preserve">F0099</t>
  </si>
  <si>
    <t xml:space="preserve">007 – Operação Skyfall</t>
  </si>
  <si>
    <t xml:space="preserve">Skyfall</t>
  </si>
  <si>
    <t xml:space="preserve">tt1074638</t>
  </si>
  <si>
    <t xml:space="preserve">F0100</t>
  </si>
  <si>
    <t xml:space="preserve">Alice no País das Maravilhas</t>
  </si>
  <si>
    <t xml:space="preserve">Alice in Wonderland</t>
  </si>
  <si>
    <t xml:space="preserve">tt1014759</t>
  </si>
  <si>
    <t xml:space="preserve">F0101</t>
  </si>
  <si>
    <t xml:space="preserve">A Era do Gelo 3</t>
  </si>
  <si>
    <t xml:space="preserve">Ice Age: Dawn of the Dinosaurs</t>
  </si>
  <si>
    <t xml:space="preserve">tt1080016</t>
  </si>
  <si>
    <t xml:space="preserve">F0102</t>
  </si>
  <si>
    <t xml:space="preserve">Jogos Vorazes: em Chamas</t>
  </si>
  <si>
    <t xml:space="preserve">The Hunger Games: Catching Fire</t>
  </si>
  <si>
    <t xml:space="preserve">tt1951264</t>
  </si>
  <si>
    <t xml:space="preserve">F0103</t>
  </si>
  <si>
    <t xml:space="preserve">Transformers - A Era da Extinção</t>
  </si>
  <si>
    <t xml:space="preserve">Transformers: Age of Extinction</t>
  </si>
  <si>
    <t xml:space="preserve">tt2109248</t>
  </si>
  <si>
    <t xml:space="preserve">F0104</t>
  </si>
  <si>
    <t xml:space="preserve">X-Men - Apocalipse</t>
  </si>
  <si>
    <t xml:space="preserve">X-Men: Apocalypse</t>
  </si>
  <si>
    <t xml:space="preserve">2016 populares #16</t>
  </si>
  <si>
    <t xml:space="preserve">tt3385516</t>
  </si>
  <si>
    <t xml:space="preserve">F0105</t>
  </si>
  <si>
    <t xml:space="preserve">A origem</t>
  </si>
  <si>
    <t xml:space="preserve">Inception</t>
  </si>
  <si>
    <t xml:space="preserve">populares de todos os tempos #8</t>
  </si>
  <si>
    <t xml:space="preserve">#140 hoje</t>
  </si>
  <si>
    <t xml:space="preserve">tt1375666</t>
  </si>
  <si>
    <t xml:space="preserve">F0106</t>
  </si>
  <si>
    <t xml:space="preserve">Toy Story 5</t>
  </si>
  <si>
    <t xml:space="preserve">#10 hoje</t>
  </si>
  <si>
    <t xml:space="preserve">tt29355505</t>
  </si>
  <si>
    <t xml:space="preserve">F0107</t>
  </si>
  <si>
    <t xml:space="preserve">O Hobbit: Uma Jornada Inesperada</t>
  </si>
  <si>
    <t xml:space="preserve">The Hobbit: An Unexpected Journey</t>
  </si>
  <si>
    <t xml:space="preserve">tt0903624</t>
  </si>
  <si>
    <t xml:space="preserve">F0108</t>
  </si>
  <si>
    <t xml:space="preserve">Michael</t>
  </si>
  <si>
    <t xml:space="preserve">#26 hoje</t>
  </si>
  <si>
    <t xml:space="preserve">tt11378946</t>
  </si>
  <si>
    <t xml:space="preserve">F0109</t>
  </si>
  <si>
    <t xml:space="preserve">Free Guy - Assumindo o Controle</t>
  </si>
  <si>
    <t xml:space="preserve">Free Guy</t>
  </si>
  <si>
    <t xml:space="preserve">Adicionado por: Whip Media</t>
  </si>
  <si>
    <t xml:space="preserve">2021 populares #18</t>
  </si>
  <si>
    <t xml:space="preserve">4–6 mar 2022 #5 (United States); 18–20 mar 2022 #4 (United States)</t>
  </si>
  <si>
    <t xml:space="preserve">tt6264654</t>
  </si>
  <si>
    <t xml:space="preserve">F0110</t>
  </si>
  <si>
    <t xml:space="preserve">Lilo &amp; Stitch</t>
  </si>
  <si>
    <t xml:space="preserve">2025 populares #39</t>
  </si>
  <si>
    <t xml:space="preserve">tt11655566</t>
  </si>
  <si>
    <t xml:space="preserve">F0111</t>
  </si>
  <si>
    <t xml:space="preserve">Guardiões da Galáxia</t>
  </si>
  <si>
    <t xml:space="preserve">Guardians of the Galaxy</t>
  </si>
  <si>
    <t xml:space="preserve">tt2015381</t>
  </si>
  <si>
    <t xml:space="preserve">F0112</t>
  </si>
  <si>
    <t xml:space="preserve">Matrix Reloaded</t>
  </si>
  <si>
    <t xml:space="preserve">The Matrix Reloaded</t>
  </si>
  <si>
    <t xml:space="preserve">tt0234215</t>
  </si>
  <si>
    <t xml:space="preserve">F0113</t>
  </si>
  <si>
    <t xml:space="preserve">Animais fantásticos e onde habitam</t>
  </si>
  <si>
    <t xml:space="preserve">Fantastic Beasts and Where to Find Them</t>
  </si>
  <si>
    <t xml:space="preserve">2016 populares #20</t>
  </si>
  <si>
    <t xml:space="preserve">tt3183660</t>
  </si>
  <si>
    <t xml:space="preserve">F0114</t>
  </si>
  <si>
    <t xml:space="preserve">Bohemian Rhapsody</t>
  </si>
  <si>
    <t xml:space="preserve">2018 populares #18</t>
  </si>
  <si>
    <t xml:space="preserve">tt1727824</t>
  </si>
  <si>
    <t xml:space="preserve">F0115</t>
  </si>
  <si>
    <t xml:space="preserve">Meu Malvado Favorito 3</t>
  </si>
  <si>
    <t xml:space="preserve">Despicable Me 3</t>
  </si>
  <si>
    <t xml:space="preserve">S050, S191, S192, S201, S203</t>
  </si>
  <si>
    <t xml:space="preserve">tt3469046</t>
  </si>
  <si>
    <t xml:space="preserve">F0116</t>
  </si>
  <si>
    <t xml:space="preserve">Guardiões da Galáxia Vol. 3</t>
  </si>
  <si>
    <t xml:space="preserve">Guardians of the Galaxy Vol. 3</t>
  </si>
  <si>
    <t xml:space="preserve">2023 populares #4</t>
  </si>
  <si>
    <t xml:space="preserve">tt6791350</t>
  </si>
  <si>
    <t xml:space="preserve">F0117</t>
  </si>
  <si>
    <t xml:space="preserve">O Hobbit: A Batalha dos Cinco Exércitos</t>
  </si>
  <si>
    <t xml:space="preserve">The Hobbit: The Battle of the Five Armies</t>
  </si>
  <si>
    <t xml:space="preserve">tt2310332</t>
  </si>
  <si>
    <t xml:space="preserve">F0118</t>
  </si>
  <si>
    <t xml:space="preserve">Eternos</t>
  </si>
  <si>
    <t xml:space="preserve">Eternals</t>
  </si>
  <si>
    <t xml:space="preserve">2021 populares #15</t>
  </si>
  <si>
    <t xml:space="preserve">2022 #13</t>
  </si>
  <si>
    <t xml:space="preserve">fim de semana 21–23 jan 2022 #2 (United States); 18–20 fev 2022 #6 (United States); 4–6 mar 2022 #7 (United States); 18–20 mar 2022 #8 (United States)</t>
  </si>
  <si>
    <t xml:space="preserve">título normalizado (fonte em maiúsculas)</t>
  </si>
  <si>
    <t xml:space="preserve">S199</t>
  </si>
  <si>
    <t xml:space="preserve">tt9032400</t>
  </si>
  <si>
    <t xml:space="preserve">F0119</t>
  </si>
  <si>
    <t xml:space="preserve">Moana 2</t>
  </si>
  <si>
    <t xml:space="preserve">2025 #2</t>
  </si>
  <si>
    <t xml:space="preserve">tt13622970</t>
  </si>
  <si>
    <t xml:space="preserve">F0120</t>
  </si>
  <si>
    <t xml:space="preserve">Thor</t>
  </si>
  <si>
    <t xml:space="preserve">tt0800369</t>
  </si>
  <si>
    <t xml:space="preserve">F0121</t>
  </si>
  <si>
    <t xml:space="preserve">Transformers: O Lado Oculto da Lua</t>
  </si>
  <si>
    <t xml:space="preserve">Transformers: Dark of the Moon</t>
  </si>
  <si>
    <t xml:space="preserve">tt1399103</t>
  </si>
  <si>
    <t xml:space="preserve">F0122</t>
  </si>
  <si>
    <t xml:space="preserve">Thor 2 - O Mundo Sombrio</t>
  </si>
  <si>
    <t xml:space="preserve">Thor: The Dark World</t>
  </si>
  <si>
    <t xml:space="preserve">tt1981115</t>
  </si>
  <si>
    <t xml:space="preserve">F0123</t>
  </si>
  <si>
    <t xml:space="preserve">A Saga Crepúsculo: Amanhecer – Parte 2 – O final</t>
  </si>
  <si>
    <t xml:space="preserve">The Twilight Saga: Breaking Dawn – Part 2</t>
  </si>
  <si>
    <t xml:space="preserve">tt1673434</t>
  </si>
  <si>
    <t xml:space="preserve">F0124</t>
  </si>
  <si>
    <t xml:space="preserve">Harry Potter e o Prisioneiro de Azkaban</t>
  </si>
  <si>
    <t xml:space="preserve">Harry Potter and the Prisoner of Azkaban</t>
  </si>
  <si>
    <t xml:space="preserve">tt0304141</t>
  </si>
  <si>
    <t xml:space="preserve">F0125</t>
  </si>
  <si>
    <t xml:space="preserve">Perdido em Marte</t>
  </si>
  <si>
    <t xml:space="preserve">The Martian</t>
  </si>
  <si>
    <t xml:space="preserve">S048</t>
  </si>
  <si>
    <t xml:space="preserve">tt3659388</t>
  </si>
  <si>
    <t xml:space="preserve">F0126</t>
  </si>
  <si>
    <t xml:space="preserve">Hereditário</t>
  </si>
  <si>
    <t xml:space="preserve">Hereditary</t>
  </si>
  <si>
    <t xml:space="preserve">2018 populares #5</t>
  </si>
  <si>
    <t xml:space="preserve">#78 hoje</t>
  </si>
  <si>
    <t xml:space="preserve">tt7784604</t>
  </si>
  <si>
    <t xml:space="preserve">F0127</t>
  </si>
  <si>
    <t xml:space="preserve">A Era do Gelo 4</t>
  </si>
  <si>
    <t xml:space="preserve">Ice Age: Continental Drift</t>
  </si>
  <si>
    <t xml:space="preserve">tt1667889</t>
  </si>
  <si>
    <t xml:space="preserve">F0128</t>
  </si>
  <si>
    <t xml:space="preserve">Jogos Vorazes: A Esperança - Parte 1</t>
  </si>
  <si>
    <t xml:space="preserve">The Hunger Games: Mockingjay – Part 1</t>
  </si>
  <si>
    <t xml:space="preserve">tt1951265</t>
  </si>
  <si>
    <t xml:space="preserve">F0129</t>
  </si>
  <si>
    <t xml:space="preserve">Magnatas do Crime</t>
  </si>
  <si>
    <t xml:space="preserve">The Gentlemen</t>
  </si>
  <si>
    <t xml:space="preserve">2020 populares #12</t>
  </si>
  <si>
    <t xml:space="preserve">#99 hoje</t>
  </si>
  <si>
    <t xml:space="preserve">tt8367814</t>
  </si>
  <si>
    <t xml:space="preserve">F0130</t>
  </si>
  <si>
    <t xml:space="preserve">O hobbit: a Desolação de Smaug</t>
  </si>
  <si>
    <t xml:space="preserve">The Hobbit: The Desolation of Smaug</t>
  </si>
  <si>
    <t xml:space="preserve">tt1170358</t>
  </si>
  <si>
    <t xml:space="preserve">F0131</t>
  </si>
  <si>
    <t xml:space="preserve">A Substância</t>
  </si>
  <si>
    <t xml:space="preserve">The Substance</t>
  </si>
  <si>
    <t xml:space="preserve">2024 populares #3</t>
  </si>
  <si>
    <t xml:space="preserve">#34 hoje</t>
  </si>
  <si>
    <t xml:space="preserve">tt17526714</t>
  </si>
  <si>
    <t xml:space="preserve">F0132</t>
  </si>
  <si>
    <t xml:space="preserve">Minions 2: A Origem de Gru</t>
  </si>
  <si>
    <t xml:space="preserve">Minions: The Rise of Gru</t>
  </si>
  <si>
    <t xml:space="preserve">2022 populares #29</t>
  </si>
  <si>
    <t xml:space="preserve">2023 #5</t>
  </si>
  <si>
    <t xml:space="preserve">tt5113044</t>
  </si>
  <si>
    <t xml:space="preserve">F0133</t>
  </si>
  <si>
    <t xml:space="preserve">Os Incríveis</t>
  </si>
  <si>
    <t xml:space="preserve">The Incredibles</t>
  </si>
  <si>
    <t xml:space="preserve">tt0317705</t>
  </si>
  <si>
    <t xml:space="preserve">F0134</t>
  </si>
  <si>
    <t xml:space="preserve">Malévola</t>
  </si>
  <si>
    <t xml:space="preserve">Maleficent</t>
  </si>
  <si>
    <t xml:space="preserve">tt1587310</t>
  </si>
  <si>
    <t xml:space="preserve">F0135</t>
  </si>
  <si>
    <t xml:space="preserve">Uma Mente Brilhante</t>
  </si>
  <si>
    <t xml:space="preserve">A Beautiful Mind</t>
  </si>
  <si>
    <t xml:space="preserve">S180</t>
  </si>
  <si>
    <t xml:space="preserve">tt0268978</t>
  </si>
  <si>
    <t xml:space="preserve">F0136</t>
  </si>
  <si>
    <t xml:space="preserve">O Código Da Vinci</t>
  </si>
  <si>
    <t xml:space="preserve">The Da Vinci Code</t>
  </si>
  <si>
    <t xml:space="preserve">tt0382625</t>
  </si>
  <si>
    <t xml:space="preserve">F0137</t>
  </si>
  <si>
    <t xml:space="preserve">Uma Batalha Após a Outra</t>
  </si>
  <si>
    <t xml:space="preserve">One Battle After Another</t>
  </si>
  <si>
    <t xml:space="preserve">2025 populares #6; 2025 mais bem avaliados #4</t>
  </si>
  <si>
    <t xml:space="preserve">#84 hoje</t>
  </si>
  <si>
    <t xml:space="preserve">tt30144839</t>
  </si>
  <si>
    <t xml:space="preserve">F0138</t>
  </si>
  <si>
    <t xml:space="preserve">Star Wars: Episódio VII - O despertar da Força</t>
  </si>
  <si>
    <t xml:space="preserve">Star Wars: The Force Awakens</t>
  </si>
  <si>
    <t xml:space="preserve">tt29895037</t>
  </si>
  <si>
    <t xml:space="preserve">F0139</t>
  </si>
  <si>
    <t xml:space="preserve">Meu Malvado Favorito 4</t>
  </si>
  <si>
    <t xml:space="preserve">Despicable Me 4</t>
  </si>
  <si>
    <t xml:space="preserve">2024 populares #42</t>
  </si>
  <si>
    <t xml:space="preserve">tt7510222</t>
  </si>
  <si>
    <t xml:space="preserve">F0140</t>
  </si>
  <si>
    <t xml:space="preserve">Star Wars Episódio III: A Vingança dos Sith</t>
  </si>
  <si>
    <t xml:space="preserve">Star Wars: Episode III – Revenge of the Sith</t>
  </si>
  <si>
    <t xml:space="preserve">tt0121766</t>
  </si>
  <si>
    <t xml:space="preserve">F0141</t>
  </si>
  <si>
    <t xml:space="preserve">tt1190080</t>
  </si>
  <si>
    <t xml:space="preserve">F0142</t>
  </si>
  <si>
    <t xml:space="preserve">Velozes e furiosos 6</t>
  </si>
  <si>
    <t xml:space="preserve">Fast &amp; Furious 6</t>
  </si>
  <si>
    <t xml:space="preserve">tt1905041</t>
  </si>
  <si>
    <t xml:space="preserve">F0143</t>
  </si>
  <si>
    <t xml:space="preserve">Homem-Formiga e a Vespa</t>
  </si>
  <si>
    <t xml:space="preserve">Ant-Man and the Wasp</t>
  </si>
  <si>
    <t xml:space="preserve">2018 populares #12</t>
  </si>
  <si>
    <t xml:space="preserve">S191</t>
  </si>
  <si>
    <t xml:space="preserve">tt5095030</t>
  </si>
  <si>
    <t xml:space="preserve">F0144</t>
  </si>
  <si>
    <t xml:space="preserve">Star Wars: A Ascensão Skywalker</t>
  </si>
  <si>
    <t xml:space="preserve">Star Wars: The Rise of Skywalker</t>
  </si>
  <si>
    <t xml:space="preserve">S052, S198, S208</t>
  </si>
  <si>
    <t xml:space="preserve">tt2527338</t>
  </si>
  <si>
    <t xml:space="preserve">F0145</t>
  </si>
  <si>
    <t xml:space="preserve">Um Filme Minecraft</t>
  </si>
  <si>
    <t xml:space="preserve">A Minecraft Movie</t>
  </si>
  <si>
    <t xml:space="preserve">2025 populares #13</t>
  </si>
  <si>
    <t xml:space="preserve">tt3566834</t>
  </si>
  <si>
    <t xml:space="preserve">F0146</t>
  </si>
  <si>
    <t xml:space="preserve">Shrek Terceiro</t>
  </si>
  <si>
    <t xml:space="preserve">Shrek the Third</t>
  </si>
  <si>
    <t xml:space="preserve">tt0413267</t>
  </si>
  <si>
    <t xml:space="preserve">F0147</t>
  </si>
  <si>
    <t xml:space="preserve">O Espetacular Homem Aranha 2</t>
  </si>
  <si>
    <t xml:space="preserve">The Amazing Spider-Man 2</t>
  </si>
  <si>
    <t xml:space="preserve">tt1872181</t>
  </si>
  <si>
    <t xml:space="preserve">F0148</t>
  </si>
  <si>
    <t xml:space="preserve">O Homem de Ferro 2</t>
  </si>
  <si>
    <t xml:space="preserve">Iron Man 2</t>
  </si>
  <si>
    <t xml:space="preserve">tt1228705</t>
  </si>
  <si>
    <t xml:space="preserve">F0149</t>
  </si>
  <si>
    <t xml:space="preserve">Jurassic World: Domínio</t>
  </si>
  <si>
    <t xml:space="preserve">Jurassic World Dominion</t>
  </si>
  <si>
    <t xml:space="preserve">2022 populares #33</t>
  </si>
  <si>
    <t xml:space="preserve">tt8041270</t>
  </si>
  <si>
    <t xml:space="preserve">F0150</t>
  </si>
  <si>
    <t xml:space="preserve">Prenda-me se For Capaz</t>
  </si>
  <si>
    <t xml:space="preserve">Catch Me If You Can</t>
  </si>
  <si>
    <t xml:space="preserve">S181</t>
  </si>
  <si>
    <t xml:space="preserve">tt0264464</t>
  </si>
  <si>
    <t xml:space="preserve">F0151</t>
  </si>
  <si>
    <t xml:space="preserve">Os Infiltrados</t>
  </si>
  <si>
    <t xml:space="preserve">The Departed</t>
  </si>
  <si>
    <t xml:space="preserve">#112 hoje</t>
  </si>
  <si>
    <t xml:space="preserve">S184</t>
  </si>
  <si>
    <t xml:space="preserve">tt0407887</t>
  </si>
  <si>
    <t xml:space="preserve">F0152</t>
  </si>
  <si>
    <t xml:space="preserve">Up - Altas Aventuras</t>
  </si>
  <si>
    <t xml:space="preserve">Up</t>
  </si>
  <si>
    <t xml:space="preserve">tt1049413</t>
  </si>
  <si>
    <t xml:space="preserve">F0153</t>
  </si>
  <si>
    <t xml:space="preserve">Pets - A vida secreta dos bichos</t>
  </si>
  <si>
    <t xml:space="preserve">The Secret Life of Pets</t>
  </si>
  <si>
    <t xml:space="preserve">2016 populares #43</t>
  </si>
  <si>
    <t xml:space="preserve">tt2709768</t>
  </si>
  <si>
    <t xml:space="preserve">F0154</t>
  </si>
  <si>
    <t xml:space="preserve">Homem de Ferro</t>
  </si>
  <si>
    <t xml:space="preserve">Iron Man</t>
  </si>
  <si>
    <t xml:space="preserve">tt0371746</t>
  </si>
  <si>
    <t xml:space="preserve">F0155</t>
  </si>
  <si>
    <t xml:space="preserve">Planeta dos Macacos: O Confronto</t>
  </si>
  <si>
    <t xml:space="preserve">Dawn of the Planet of the Apes</t>
  </si>
  <si>
    <t xml:space="preserve">tt2103281</t>
  </si>
  <si>
    <t xml:space="preserve">F0156</t>
  </si>
  <si>
    <t xml:space="preserve">Shrek para sempre</t>
  </si>
  <si>
    <t xml:space="preserve">Shrek Forever After</t>
  </si>
  <si>
    <t xml:space="preserve">tt0892791</t>
  </si>
  <si>
    <t xml:space="preserve">F0157</t>
  </si>
  <si>
    <t xml:space="preserve">O homem de aço</t>
  </si>
  <si>
    <t xml:space="preserve">Man of Steel</t>
  </si>
  <si>
    <t xml:space="preserve">tt0770828</t>
  </si>
  <si>
    <t xml:space="preserve">F0158</t>
  </si>
  <si>
    <t xml:space="preserve">Ne Zha 2</t>
  </si>
  <si>
    <t xml:space="preserve">2025 mais bem avaliados #11</t>
  </si>
  <si>
    <t xml:space="preserve">sem título no Brasil nas fontes — conferir</t>
  </si>
  <si>
    <t xml:space="preserve">S058</t>
  </si>
  <si>
    <t xml:space="preserve">tt34956443</t>
  </si>
  <si>
    <t xml:space="preserve">F0159</t>
  </si>
  <si>
    <t xml:space="preserve">Lua Nova</t>
  </si>
  <si>
    <t xml:space="preserve">The Twilight Saga: New Moon</t>
  </si>
  <si>
    <t xml:space="preserve">tt1259571</t>
  </si>
  <si>
    <t xml:space="preserve">F0160</t>
  </si>
  <si>
    <t xml:space="preserve">A Saga Crepúsculo: Amanhecer: Parte 1</t>
  </si>
  <si>
    <t xml:space="preserve">The Twilight Saga: Breaking Dawn – Part 1</t>
  </si>
  <si>
    <t xml:space="preserve">tt1324999</t>
  </si>
  <si>
    <t xml:space="preserve">F0161</t>
  </si>
  <si>
    <t xml:space="preserve">Piratas do Caribe – A Vingança de Salazar</t>
  </si>
  <si>
    <t xml:space="preserve">Pirates of the Caribbean: Dead Men Tell No Tales</t>
  </si>
  <si>
    <t xml:space="preserve">2017 populares #48</t>
  </si>
  <si>
    <t xml:space="preserve">tt1790809</t>
  </si>
  <si>
    <t xml:space="preserve">F0162</t>
  </si>
  <si>
    <t xml:space="preserve">A Hora do Mal</t>
  </si>
  <si>
    <t xml:space="preserve">Weapons</t>
  </si>
  <si>
    <t xml:space="preserve">2025 populares #3</t>
  </si>
  <si>
    <t xml:space="preserve">#74 hoje</t>
  </si>
  <si>
    <t xml:space="preserve">tt26581740</t>
  </si>
  <si>
    <t xml:space="preserve">F0163</t>
  </si>
  <si>
    <t xml:space="preserve">Homem-Aranha: Através do Aranhaverso</t>
  </si>
  <si>
    <t xml:space="preserve">Spider-Man: Across the Spider-Verse</t>
  </si>
  <si>
    <t xml:space="preserve">2023 populares #3; 2023 mais bem avaliados #1</t>
  </si>
  <si>
    <t xml:space="preserve">tt9362722</t>
  </si>
  <si>
    <t xml:space="preserve">F0164</t>
  </si>
  <si>
    <t xml:space="preserve">Adão Negro</t>
  </si>
  <si>
    <t xml:space="preserve">Black Adam</t>
  </si>
  <si>
    <t xml:space="preserve">2022 populares #40</t>
  </si>
  <si>
    <t xml:space="preserve">S200</t>
  </si>
  <si>
    <t xml:space="preserve">tt6443346</t>
  </si>
  <si>
    <t xml:space="preserve">F0165</t>
  </si>
  <si>
    <t xml:space="preserve">Parasita</t>
  </si>
  <si>
    <t xml:space="preserve">Parasite</t>
  </si>
  <si>
    <t xml:space="preserve">2019 populares #4; 2019 mais bem avaliados #1; populares de todos os tempos #4; populares de todos os tempos #3; populares de todos os tempos #2</t>
  </si>
  <si>
    <t xml:space="preserve">S198</t>
  </si>
  <si>
    <t xml:space="preserve">tt6751668</t>
  </si>
  <si>
    <t xml:space="preserve">F0166</t>
  </si>
  <si>
    <t xml:space="preserve">A Era do Gelo 2</t>
  </si>
  <si>
    <t xml:space="preserve">Ice Age: The Meltdown</t>
  </si>
  <si>
    <t xml:space="preserve">tt0438097</t>
  </si>
  <si>
    <t xml:space="preserve">F0167</t>
  </si>
  <si>
    <t xml:space="preserve">Mogli - O Menino Lobo</t>
  </si>
  <si>
    <t xml:space="preserve">The Jungle Book</t>
  </si>
  <si>
    <t xml:space="preserve">2016 populares #18</t>
  </si>
  <si>
    <t xml:space="preserve">tt3040964</t>
  </si>
  <si>
    <t xml:space="preserve">F0168</t>
  </si>
  <si>
    <t xml:space="preserve">Super Mario Galaxy - O Filme</t>
  </si>
  <si>
    <t xml:space="preserve">The Super Mario Galaxy Movie</t>
  </si>
  <si>
    <t xml:space="preserve">#18 hoje</t>
  </si>
  <si>
    <t xml:space="preserve">tt28650488</t>
  </si>
  <si>
    <t xml:space="preserve">F0169</t>
  </si>
  <si>
    <t xml:space="preserve">A Saga Crepúsculo: Eclipse</t>
  </si>
  <si>
    <t xml:space="preserve">The Twilight Saga: Eclipse</t>
  </si>
  <si>
    <t xml:space="preserve">tt1325004</t>
  </si>
  <si>
    <t xml:space="preserve">F0170</t>
  </si>
  <si>
    <t xml:space="preserve">Kung Fu Panda</t>
  </si>
  <si>
    <t xml:space="preserve">tt0441773</t>
  </si>
  <si>
    <t xml:space="preserve">F0171</t>
  </si>
  <si>
    <t xml:space="preserve">Duna</t>
  </si>
  <si>
    <t xml:space="preserve">Dune</t>
  </si>
  <si>
    <t xml:space="preserve">2021 populares #1; 2021 mais bem avaliados #9</t>
  </si>
  <si>
    <t xml:space="preserve">tt1160419</t>
  </si>
  <si>
    <t xml:space="preserve">F0172</t>
  </si>
  <si>
    <t xml:space="preserve">Superman</t>
  </si>
  <si>
    <t xml:space="preserve">2025 populares #2</t>
  </si>
  <si>
    <t xml:space="preserve">tt5950044</t>
  </si>
  <si>
    <t xml:space="preserve">F0173</t>
  </si>
  <si>
    <t xml:space="preserve">Invocação do Mal 2</t>
  </si>
  <si>
    <t xml:space="preserve">The Conjuring 2</t>
  </si>
  <si>
    <t xml:space="preserve">2016 populares #32</t>
  </si>
  <si>
    <t xml:space="preserve">tt3065204</t>
  </si>
  <si>
    <t xml:space="preserve">F0174</t>
  </si>
  <si>
    <t xml:space="preserve">Piratas do Caribe: A Maldição do Pérola Negra</t>
  </si>
  <si>
    <t xml:space="preserve">Pirates of the Caribbean: The Curse of the Black Pearl</t>
  </si>
  <si>
    <t xml:space="preserve">tt0325980</t>
  </si>
  <si>
    <t xml:space="preserve">F0175</t>
  </si>
  <si>
    <t xml:space="preserve">Ainda Estou Aqui</t>
  </si>
  <si>
    <t xml:space="preserve">I'm Still Here</t>
  </si>
  <si>
    <t xml:space="preserve">2024 mais bem avaliados #2</t>
  </si>
  <si>
    <t xml:space="preserve">S190, S192, S194, S209</t>
  </si>
  <si>
    <t xml:space="preserve">tt14961016</t>
  </si>
  <si>
    <t xml:space="preserve">F0176</t>
  </si>
  <si>
    <t xml:space="preserve">Indiana Jones e o Reino da Caveira de Cristal</t>
  </si>
  <si>
    <t xml:space="preserve">Indiana Jones and the Kingdom of the Crystal Skull</t>
  </si>
  <si>
    <t xml:space="preserve">tt0367882</t>
  </si>
  <si>
    <t xml:space="preserve">F0177</t>
  </si>
  <si>
    <t xml:space="preserve">Tróia</t>
  </si>
  <si>
    <t xml:space="preserve">Troy</t>
  </si>
  <si>
    <t xml:space="preserve">tt0332452</t>
  </si>
  <si>
    <t xml:space="preserve">F0178</t>
  </si>
  <si>
    <t xml:space="preserve">Todo Poderoso</t>
  </si>
  <si>
    <t xml:space="preserve">Bruce Almighty</t>
  </si>
  <si>
    <t xml:space="preserve">tt0315327</t>
  </si>
  <si>
    <t xml:space="preserve">F0179</t>
  </si>
  <si>
    <t xml:space="preserve">Star Wars: Os últimos jedi</t>
  </si>
  <si>
    <t xml:space="preserve">Star Wars: The Last Jedi</t>
  </si>
  <si>
    <t xml:space="preserve">2017 populares #7</t>
  </si>
  <si>
    <t xml:space="preserve">tt11563030</t>
  </si>
  <si>
    <t xml:space="preserve">F0180</t>
  </si>
  <si>
    <t xml:space="preserve">Jogos Vorazes: A esperança - O final</t>
  </si>
  <si>
    <t xml:space="preserve">The Hunger Games: Mockingjay – Part 2</t>
  </si>
  <si>
    <t xml:space="preserve">tt1951266</t>
  </si>
  <si>
    <t xml:space="preserve">F0181</t>
  </si>
  <si>
    <t xml:space="preserve">Enrolados</t>
  </si>
  <si>
    <t xml:space="preserve">Tangled</t>
  </si>
  <si>
    <t xml:space="preserve">S043, S187</t>
  </si>
  <si>
    <t xml:space="preserve">tt0398286</t>
  </si>
  <si>
    <t xml:space="preserve">F0182</t>
  </si>
  <si>
    <t xml:space="preserve">Missão Impossível – Efeito Fallout</t>
  </si>
  <si>
    <t xml:space="preserve">Mission: Impossible – Fallout</t>
  </si>
  <si>
    <t xml:space="preserve">2018 populares #13; 2018 mais bem avaliados #12</t>
  </si>
  <si>
    <t xml:space="preserve">tt4912910</t>
  </si>
  <si>
    <t xml:space="preserve">F0183</t>
  </si>
  <si>
    <t xml:space="preserve">Universidade Monstros</t>
  </si>
  <si>
    <t xml:space="preserve">Monsters University</t>
  </si>
  <si>
    <t xml:space="preserve">tt1453405</t>
  </si>
  <si>
    <t xml:space="preserve">F0184</t>
  </si>
  <si>
    <t xml:space="preserve">Madagascar 3: Os Procurados</t>
  </si>
  <si>
    <t xml:space="preserve">Madagascar 3: Europe's Most Wanted</t>
  </si>
  <si>
    <t xml:space="preserve">tt1277953</t>
  </si>
  <si>
    <t xml:space="preserve">F0185</t>
  </si>
  <si>
    <t xml:space="preserve">It - Capítulo Dois</t>
  </si>
  <si>
    <t xml:space="preserve">It: Chapter Two</t>
  </si>
  <si>
    <t xml:space="preserve">2019 populares #16</t>
  </si>
  <si>
    <t xml:space="preserve">S208</t>
  </si>
  <si>
    <t xml:space="preserve">tt7349950</t>
  </si>
  <si>
    <t xml:space="preserve">F0186</t>
  </si>
  <si>
    <t xml:space="preserve">Shazam!</t>
  </si>
  <si>
    <t xml:space="preserve">2019 populares #17</t>
  </si>
  <si>
    <t xml:space="preserve">tt0448115</t>
  </si>
  <si>
    <t xml:space="preserve">F0187</t>
  </si>
  <si>
    <t xml:space="preserve">Ratatouille</t>
  </si>
  <si>
    <t xml:space="preserve">tt0382932</t>
  </si>
  <si>
    <t xml:space="preserve">F0188</t>
  </si>
  <si>
    <t xml:space="preserve">Jumanji: Proxima Fase</t>
  </si>
  <si>
    <t xml:space="preserve">Jumanji: The Next Level</t>
  </si>
  <si>
    <t xml:space="preserve">tt7975244</t>
  </si>
  <si>
    <t xml:space="preserve">F0189</t>
  </si>
  <si>
    <t xml:space="preserve">A Empregada</t>
  </si>
  <si>
    <t xml:space="preserve">The Housemaid</t>
  </si>
  <si>
    <t xml:space="preserve">#24 hoje</t>
  </si>
  <si>
    <t xml:space="preserve">S188</t>
  </si>
  <si>
    <t xml:space="preserve">tt27543632</t>
  </si>
  <si>
    <t xml:space="preserve">F0190</t>
  </si>
  <si>
    <t xml:space="preserve">Alerta Vermelho</t>
  </si>
  <si>
    <t xml:space="preserve">Red Notice</t>
  </si>
  <si>
    <t xml:space="preserve">2021 populares #50</t>
  </si>
  <si>
    <t xml:space="preserve">2021 #5</t>
  </si>
  <si>
    <t xml:space="preserve">tt7991608</t>
  </si>
  <si>
    <t xml:space="preserve">F0191</t>
  </si>
  <si>
    <t xml:space="preserve">A Paixão de Cristo</t>
  </si>
  <si>
    <t xml:space="preserve">The Passion of the Christ</t>
  </si>
  <si>
    <t xml:space="preserve">tt0335345</t>
  </si>
  <si>
    <t xml:space="preserve">F0192</t>
  </si>
  <si>
    <t xml:space="preserve">Monstros S.A.</t>
  </si>
  <si>
    <t xml:space="preserve">Monsters, Inc.</t>
  </si>
  <si>
    <t xml:space="preserve">tt0198781</t>
  </si>
  <si>
    <t xml:space="preserve">F0193</t>
  </si>
  <si>
    <t xml:space="preserve">Jurassic World - Recomeço</t>
  </si>
  <si>
    <t xml:space="preserve">Jurassic World Rebirth</t>
  </si>
  <si>
    <t xml:space="preserve">2025 populares #23</t>
  </si>
  <si>
    <t xml:space="preserve">tt31036941</t>
  </si>
  <si>
    <t xml:space="preserve">F0194</t>
  </si>
  <si>
    <t xml:space="preserve">O Diabo Veste Prada 2</t>
  </si>
  <si>
    <t xml:space="preserve">The Devil Wears Prada 2</t>
  </si>
  <si>
    <t xml:space="preserve">#39 hoje</t>
  </si>
  <si>
    <t xml:space="preserve">tt33612209</t>
  </si>
  <si>
    <t xml:space="preserve">F0195</t>
  </si>
  <si>
    <t xml:space="preserve">Madagascar</t>
  </si>
  <si>
    <t xml:space="preserve">tt0351283</t>
  </si>
  <si>
    <t xml:space="preserve">F0196</t>
  </si>
  <si>
    <t xml:space="preserve">Animais Noturnos</t>
  </si>
  <si>
    <t xml:space="preserve">Nocturnal Animals</t>
  </si>
  <si>
    <t xml:space="preserve">2016 populares #30</t>
  </si>
  <si>
    <t xml:space="preserve">#40 hoje</t>
  </si>
  <si>
    <t xml:space="preserve">tt4550098</t>
  </si>
  <si>
    <t xml:space="preserve">F0197</t>
  </si>
  <si>
    <t xml:space="preserve">Star Wars Episódio II: Ataque dos Clones</t>
  </si>
  <si>
    <t xml:space="preserve">Star Wars: Episode II – Attack of the Clones</t>
  </si>
  <si>
    <t xml:space="preserve">tt0121765</t>
  </si>
  <si>
    <t xml:space="preserve">F0198</t>
  </si>
  <si>
    <t xml:space="preserve">Devoradores de Estrelas</t>
  </si>
  <si>
    <t xml:space="preserve">Project Hail Mary</t>
  </si>
  <si>
    <t xml:space="preserve">#6 hoje</t>
  </si>
  <si>
    <t xml:space="preserve">S189</t>
  </si>
  <si>
    <t xml:space="preserve">tt12042730</t>
  </si>
  <si>
    <t xml:space="preserve">F0199</t>
  </si>
  <si>
    <t xml:space="preserve">As Crônicas de Nárnia: O Leão, A Feiticeira e o Guarda-Roupa</t>
  </si>
  <si>
    <t xml:space="preserve">The Chronicles of Narnia: The Lion, the Witch and the Wardrobe</t>
  </si>
  <si>
    <t xml:space="preserve">tt0363771</t>
  </si>
  <si>
    <t xml:space="preserve">F0200</t>
  </si>
  <si>
    <t xml:space="preserve">Missão Impossível: Protocolo Fantasma</t>
  </si>
  <si>
    <t xml:space="preserve">Mission: Impossible – Ghost Protocol</t>
  </si>
  <si>
    <t xml:space="preserve">tt1229238</t>
  </si>
  <si>
    <t xml:space="preserve">F0201</t>
  </si>
  <si>
    <t xml:space="preserve">Velozes e Furiosos 10</t>
  </si>
  <si>
    <t xml:space="preserve">Fast X</t>
  </si>
  <si>
    <t xml:space="preserve">tt5433140</t>
  </si>
  <si>
    <t xml:space="preserve">F0202</t>
  </si>
  <si>
    <t xml:space="preserve">1917</t>
  </si>
  <si>
    <t xml:space="preserve">2020</t>
  </si>
  <si>
    <t xml:space="preserve">2019 mais bem avaliados #12</t>
  </si>
  <si>
    <t xml:space="preserve">tt8579674</t>
  </si>
  <si>
    <t xml:space="preserve">F0203</t>
  </si>
  <si>
    <t xml:space="preserve">Transformers: A Vingança dos Derrotados</t>
  </si>
  <si>
    <t xml:space="preserve">Transformers: Revenge of the Fallen</t>
  </si>
  <si>
    <t xml:space="preserve">tt1055369</t>
  </si>
  <si>
    <t xml:space="preserve">F0204</t>
  </si>
  <si>
    <t xml:space="preserve">Animais Fantásticos: os Crimes de Grindelwald</t>
  </si>
  <si>
    <t xml:space="preserve">Fantastic Beasts: The Crimes of Grindelwald</t>
  </si>
  <si>
    <t xml:space="preserve">2018 populares #36</t>
  </si>
  <si>
    <t xml:space="preserve">tt4123430</t>
  </si>
  <si>
    <t xml:space="preserve">F0205</t>
  </si>
  <si>
    <t xml:space="preserve">300</t>
  </si>
  <si>
    <t xml:space="preserve">tt0416449</t>
  </si>
  <si>
    <t xml:space="preserve">F0206</t>
  </si>
  <si>
    <t xml:space="preserve">Eu Sou a Lenda</t>
  </si>
  <si>
    <t xml:space="preserve">I Am Legend</t>
  </si>
  <si>
    <t xml:space="preserve">S040, S186</t>
  </si>
  <si>
    <t xml:space="preserve">tt0480249</t>
  </si>
  <si>
    <t xml:space="preserve">F0207</t>
  </si>
  <si>
    <t xml:space="preserve">Transformers</t>
  </si>
  <si>
    <t xml:space="preserve">tt0418279</t>
  </si>
  <si>
    <t xml:space="preserve">F0208</t>
  </si>
  <si>
    <t xml:space="preserve">Se Beber, Não Case! Parte II</t>
  </si>
  <si>
    <t xml:space="preserve">The Hangover Part II</t>
  </si>
  <si>
    <t xml:space="preserve">tt1411697</t>
  </si>
  <si>
    <t xml:space="preserve">F0209</t>
  </si>
  <si>
    <t xml:space="preserve">Velozes e Furiosos 5</t>
  </si>
  <si>
    <t xml:space="preserve">Fast Five</t>
  </si>
  <si>
    <t xml:space="preserve">tt1596343</t>
  </si>
  <si>
    <t xml:space="preserve">F0210</t>
  </si>
  <si>
    <t xml:space="preserve">Como Treinar o Seu Dragão</t>
  </si>
  <si>
    <t xml:space="preserve">How to Train Your Dragon</t>
  </si>
  <si>
    <t xml:space="preserve">2025 populares #20</t>
  </si>
  <si>
    <t xml:space="preserve">tt26743210</t>
  </si>
  <si>
    <t xml:space="preserve">F0211</t>
  </si>
  <si>
    <t xml:space="preserve">Guerra dos Mundos</t>
  </si>
  <si>
    <t xml:space="preserve">War of the Worlds</t>
  </si>
  <si>
    <t xml:space="preserve">#75 hoje</t>
  </si>
  <si>
    <t xml:space="preserve">tt0407304</t>
  </si>
  <si>
    <t xml:space="preserve">F0212</t>
  </si>
  <si>
    <t xml:space="preserve">O Dia Depois de Amanhã</t>
  </si>
  <si>
    <t xml:space="preserve">The Day After Tomorrow</t>
  </si>
  <si>
    <t xml:space="preserve">tt0319262</t>
  </si>
  <si>
    <t xml:space="preserve">F0213</t>
  </si>
  <si>
    <t xml:space="preserve">Batman Begins</t>
  </si>
  <si>
    <t xml:space="preserve">tt0372784</t>
  </si>
  <si>
    <t xml:space="preserve">F0214</t>
  </si>
  <si>
    <t xml:space="preserve">Madagascar 2 - A Grande Escapada</t>
  </si>
  <si>
    <t xml:space="preserve">Madagascar: Escape 2 Africa</t>
  </si>
  <si>
    <t xml:space="preserve">tt0479952</t>
  </si>
  <si>
    <t xml:space="preserve">F0215</t>
  </si>
  <si>
    <t xml:space="preserve">Hancock</t>
  </si>
  <si>
    <t xml:space="preserve">tt0448157</t>
  </si>
  <si>
    <t xml:space="preserve">F0216</t>
  </si>
  <si>
    <t xml:space="preserve">Missão impossível - Nação secreta</t>
  </si>
  <si>
    <t xml:space="preserve">Mission: Impossible – Rogue Nation</t>
  </si>
  <si>
    <t xml:space="preserve">tt2381249</t>
  </si>
  <si>
    <t xml:space="preserve">F0217</t>
  </si>
  <si>
    <t xml:space="preserve">X-Men: O Confronto Final</t>
  </si>
  <si>
    <t xml:space="preserve">X-Men: The Last Stand</t>
  </si>
  <si>
    <t xml:space="preserve">tt0376994</t>
  </si>
  <si>
    <t xml:space="preserve">F0218</t>
  </si>
  <si>
    <t xml:space="preserve">X-Men 2</t>
  </si>
  <si>
    <t xml:space="preserve">X2</t>
  </si>
  <si>
    <t xml:space="preserve">tt0290334</t>
  </si>
  <si>
    <t xml:space="preserve">F0219</t>
  </si>
  <si>
    <t xml:space="preserve">Elementos</t>
  </si>
  <si>
    <t xml:space="preserve">Elemental</t>
  </si>
  <si>
    <t xml:space="preserve">2023 populares #26</t>
  </si>
  <si>
    <t xml:space="preserve">2023 #4</t>
  </si>
  <si>
    <t xml:space="preserve">S201</t>
  </si>
  <si>
    <t xml:space="preserve">tt15789038</t>
  </si>
  <si>
    <t xml:space="preserve">F0220</t>
  </si>
  <si>
    <t xml:space="preserve">John Wick 4: Baba Yaga</t>
  </si>
  <si>
    <t xml:space="preserve">John Wick: Chapter 4</t>
  </si>
  <si>
    <t xml:space="preserve">2023 populares #14</t>
  </si>
  <si>
    <t xml:space="preserve">tt10366206</t>
  </si>
  <si>
    <t xml:space="preserve">F0221</t>
  </si>
  <si>
    <t xml:space="preserve">Sherlock Holmes</t>
  </si>
  <si>
    <t xml:space="preserve">S042, S204</t>
  </si>
  <si>
    <t xml:space="preserve">tt0988045</t>
  </si>
  <si>
    <t xml:space="preserve">F0222</t>
  </si>
  <si>
    <t xml:space="preserve">Kung Fu Panda 2</t>
  </si>
  <si>
    <t xml:space="preserve">tt1302011</t>
  </si>
  <si>
    <t xml:space="preserve">F0223</t>
  </si>
  <si>
    <t xml:space="preserve">Wall·e</t>
  </si>
  <si>
    <t xml:space="preserve">WALL-E</t>
  </si>
  <si>
    <t xml:space="preserve">tt0910970</t>
  </si>
  <si>
    <t xml:space="preserve">F0224</t>
  </si>
  <si>
    <t xml:space="preserve">Minha Melhor Amiga</t>
  </si>
  <si>
    <t xml:space="preserve">My Best Friend</t>
  </si>
  <si>
    <t xml:space="preserve">#82 hoje</t>
  </si>
  <si>
    <t xml:space="preserve">S189, S190</t>
  </si>
  <si>
    <t xml:space="preserve">tt37458193</t>
  </si>
  <si>
    <t xml:space="preserve">F0225</t>
  </si>
  <si>
    <t xml:space="preserve">007: Sem Tempo para Morrer</t>
  </si>
  <si>
    <t xml:space="preserve">No Time to Die</t>
  </si>
  <si>
    <t xml:space="preserve">2021 populares #13</t>
  </si>
  <si>
    <t xml:space="preserve">S054, S199</t>
  </si>
  <si>
    <t xml:space="preserve">tt2382320</t>
  </si>
  <si>
    <t xml:space="preserve">F0226</t>
  </si>
  <si>
    <t xml:space="preserve">Como Treinar seu Dragão</t>
  </si>
  <si>
    <t xml:space="preserve">tt0892769</t>
  </si>
  <si>
    <t xml:space="preserve">F0227</t>
  </si>
  <si>
    <t xml:space="preserve">Gato de Botas 2: O Último Pedido</t>
  </si>
  <si>
    <t xml:space="preserve">Puss in Boots: The Last Wish</t>
  </si>
  <si>
    <t xml:space="preserve">2022 mais bem avaliados #9</t>
  </si>
  <si>
    <t xml:space="preserve">S055, S201</t>
  </si>
  <si>
    <t xml:space="preserve">tt3915174</t>
  </si>
  <si>
    <t xml:space="preserve">F0228</t>
  </si>
  <si>
    <t xml:space="preserve">O Homem do Norte</t>
  </si>
  <si>
    <t xml:space="preserve">The Northman</t>
  </si>
  <si>
    <t xml:space="preserve">2022 populares #10</t>
  </si>
  <si>
    <t xml:space="preserve">17–19 jun 2022 #9 (United States)</t>
  </si>
  <si>
    <t xml:space="preserve">tt11138512</t>
  </si>
  <si>
    <t xml:space="preserve">F0229</t>
  </si>
  <si>
    <t xml:space="preserve">Viúva Negra</t>
  </si>
  <si>
    <t xml:space="preserve">Black Widow</t>
  </si>
  <si>
    <t xml:space="preserve">2021 populares #3</t>
  </si>
  <si>
    <t xml:space="preserve">tt3480822</t>
  </si>
  <si>
    <t xml:space="preserve">F0230</t>
  </si>
  <si>
    <t xml:space="preserve">Wicked</t>
  </si>
  <si>
    <t xml:space="preserve">2024 populares #7</t>
  </si>
  <si>
    <t xml:space="preserve">tt1262426</t>
  </si>
  <si>
    <t xml:space="preserve">F0231</t>
  </si>
  <si>
    <t xml:space="preserve">Meu Malvado Favorito</t>
  </si>
  <si>
    <t xml:space="preserve">Despicable Me</t>
  </si>
  <si>
    <t xml:space="preserve">tt1323594</t>
  </si>
  <si>
    <t xml:space="preserve">F0232</t>
  </si>
  <si>
    <t xml:space="preserve">A Pequena Sereia</t>
  </si>
  <si>
    <t xml:space="preserve">The Little Mermaid</t>
  </si>
  <si>
    <t xml:space="preserve">2023 populares #27</t>
  </si>
  <si>
    <t xml:space="preserve">tt5971474</t>
  </si>
  <si>
    <t xml:space="preserve">F0233</t>
  </si>
  <si>
    <t xml:space="preserve">Venom: Tempo de Carnificina</t>
  </si>
  <si>
    <t xml:space="preserve">Venom: Let There Be Carnage</t>
  </si>
  <si>
    <t xml:space="preserve">2021 populares #20</t>
  </si>
  <si>
    <t xml:space="preserve">tt7097896</t>
  </si>
  <si>
    <t xml:space="preserve">F0234</t>
  </si>
  <si>
    <t xml:space="preserve">Agente Oculto</t>
  </si>
  <si>
    <t xml:space="preserve">The Gray Man</t>
  </si>
  <si>
    <t xml:space="preserve">2022 populares #35</t>
  </si>
  <si>
    <t xml:space="preserve">2022 #10</t>
  </si>
  <si>
    <t xml:space="preserve">22–24 jul 2022 #1 (United States); 12–14 ago 2022 #6 (United States)</t>
  </si>
  <si>
    <t xml:space="preserve">tt1649418</t>
  </si>
  <si>
    <t xml:space="preserve">F0235</t>
  </si>
  <si>
    <t xml:space="preserve">Shrek</t>
  </si>
  <si>
    <t xml:space="preserve">tt0126029</t>
  </si>
  <si>
    <t xml:space="preserve">F0236</t>
  </si>
  <si>
    <t xml:space="preserve">007</t>
  </si>
  <si>
    <t xml:space="preserve">Casino Royale</t>
  </si>
  <si>
    <t xml:space="preserve">tt0381061</t>
  </si>
  <si>
    <t xml:space="preserve">F0237</t>
  </si>
  <si>
    <t xml:space="preserve">Carros</t>
  </si>
  <si>
    <t xml:space="preserve">Cars</t>
  </si>
  <si>
    <t xml:space="preserve">tt0317219</t>
  </si>
  <si>
    <t xml:space="preserve">F0238</t>
  </si>
  <si>
    <t xml:space="preserve">Matrix Revolutions</t>
  </si>
  <si>
    <t xml:space="preserve">The Matrix Revolutions</t>
  </si>
  <si>
    <t xml:space="preserve">tt0242653</t>
  </si>
  <si>
    <t xml:space="preserve">F0239</t>
  </si>
  <si>
    <t xml:space="preserve">Homens de Preto 3</t>
  </si>
  <si>
    <t xml:space="preserve">Men in Black 3</t>
  </si>
  <si>
    <t xml:space="preserve">tt1409024</t>
  </si>
  <si>
    <t xml:space="preserve">F0240</t>
  </si>
  <si>
    <t xml:space="preserve">Uma Noite no Museu</t>
  </si>
  <si>
    <t xml:space="preserve">Night at the Museum</t>
  </si>
  <si>
    <t xml:space="preserve">S039, S185</t>
  </si>
  <si>
    <t xml:space="preserve">tt0477347</t>
  </si>
  <si>
    <t xml:space="preserve">F0241</t>
  </si>
  <si>
    <t xml:space="preserve">Velozes e Furiosos 9</t>
  </si>
  <si>
    <t xml:space="preserve">F9</t>
  </si>
  <si>
    <t xml:space="preserve">tt5433138</t>
  </si>
  <si>
    <t xml:space="preserve">F0242</t>
  </si>
  <si>
    <t xml:space="preserve">Como Treinar o Seu Dragão 3</t>
  </si>
  <si>
    <t xml:space="preserve">How to Train Your Dragon: The Hidden World</t>
  </si>
  <si>
    <t xml:space="preserve">2019 populares #44</t>
  </si>
  <si>
    <t xml:space="preserve">tt2386490</t>
  </si>
  <si>
    <t xml:space="preserve">F0243</t>
  </si>
  <si>
    <t xml:space="preserve">Onze Homens e Um Segredo</t>
  </si>
  <si>
    <t xml:space="preserve">Ocean's Eleven</t>
  </si>
  <si>
    <t xml:space="preserve">tt0240772</t>
  </si>
  <si>
    <t xml:space="preserve">F0244</t>
  </si>
  <si>
    <t xml:space="preserve">Se Beber, não Case!</t>
  </si>
  <si>
    <t xml:space="preserve">The Hangover</t>
  </si>
  <si>
    <t xml:space="preserve">tt1119646</t>
  </si>
  <si>
    <t xml:space="preserve">F0245</t>
  </si>
  <si>
    <t xml:space="preserve">Homem-formiga e a Vespa: Quantumania</t>
  </si>
  <si>
    <t xml:space="preserve">Ant-Man and the Wasp: Quantumania</t>
  </si>
  <si>
    <t xml:space="preserve">2023 populares #17</t>
  </si>
  <si>
    <t xml:space="preserve">tt10954600</t>
  </si>
  <si>
    <t xml:space="preserve">F0246</t>
  </si>
  <si>
    <t xml:space="preserve">Sr. &amp; Sra. Smith</t>
  </si>
  <si>
    <t xml:space="preserve">Mr. &amp; Mrs. Smith</t>
  </si>
  <si>
    <t xml:space="preserve">tt0356910</t>
  </si>
  <si>
    <t xml:space="preserve">F0247</t>
  </si>
  <si>
    <t xml:space="preserve">MIB - Homens de Preto II</t>
  </si>
  <si>
    <t xml:space="preserve">Men in Black II</t>
  </si>
  <si>
    <t xml:space="preserve">tt0120912</t>
  </si>
  <si>
    <t xml:space="preserve">F0248</t>
  </si>
  <si>
    <t xml:space="preserve">A Múmia</t>
  </si>
  <si>
    <t xml:space="preserve">The Mummy</t>
  </si>
  <si>
    <t xml:space="preserve">#139 hoje</t>
  </si>
  <si>
    <t xml:space="preserve">tt2345759</t>
  </si>
  <si>
    <t xml:space="preserve">F0249</t>
  </si>
  <si>
    <t xml:space="preserve">O Último Samurai</t>
  </si>
  <si>
    <t xml:space="preserve">The Last Samurai</t>
  </si>
  <si>
    <t xml:space="preserve">S036, S182</t>
  </si>
  <si>
    <t xml:space="preserve">tt0325710</t>
  </si>
  <si>
    <t xml:space="preserve">F0250</t>
  </si>
  <si>
    <t xml:space="preserve">Nosferatu</t>
  </si>
  <si>
    <t xml:space="preserve">2024 populares #25</t>
  </si>
  <si>
    <t xml:space="preserve">#102 hoje</t>
  </si>
  <si>
    <t xml:space="preserve">tt5040012</t>
  </si>
  <si>
    <t xml:space="preserve">F0251</t>
  </si>
  <si>
    <t xml:space="preserve">Dungeons &amp; Dragons: Honra Entre Rebeldes</t>
  </si>
  <si>
    <t xml:space="preserve">Dungeons &amp; Dragons: Honor Among Thieves</t>
  </si>
  <si>
    <t xml:space="preserve">2023 populares #21</t>
  </si>
  <si>
    <t xml:space="preserve">16–18 jun 2023 #7 (United States)</t>
  </si>
  <si>
    <t xml:space="preserve">tt2906216</t>
  </si>
  <si>
    <t xml:space="preserve">F0252</t>
  </si>
  <si>
    <t xml:space="preserve">O Projeto Adam</t>
  </si>
  <si>
    <t xml:space="preserve">The Adam Project</t>
  </si>
  <si>
    <t xml:space="preserve">2022 populares #43</t>
  </si>
  <si>
    <t xml:space="preserve">2022 #5</t>
  </si>
  <si>
    <t xml:space="preserve">18–20 mar 2022 #2 (United States)</t>
  </si>
  <si>
    <t xml:space="preserve">tt2463208</t>
  </si>
  <si>
    <t xml:space="preserve">F0253</t>
  </si>
  <si>
    <t xml:space="preserve">O Predador: A Caçada</t>
  </si>
  <si>
    <t xml:space="preserve">Prey</t>
  </si>
  <si>
    <t xml:space="preserve">2022 populares #25</t>
  </si>
  <si>
    <t xml:space="preserve">12–14 ago 2022 #2 (United States)</t>
  </si>
  <si>
    <t xml:space="preserve">tt11866324</t>
  </si>
  <si>
    <t xml:space="preserve">F0254</t>
  </si>
  <si>
    <t xml:space="preserve">Obsession</t>
  </si>
  <si>
    <t xml:space="preserve">#4 hoje</t>
  </si>
  <si>
    <t xml:space="preserve">sem título no Brasil nas fontes — conferir; 2026: dados parciais</t>
  </si>
  <si>
    <t xml:space="preserve">S059</t>
  </si>
  <si>
    <t xml:space="preserve">tt37287335</t>
  </si>
  <si>
    <t xml:space="preserve">F0255</t>
  </si>
  <si>
    <t xml:space="preserve">Os Smurfs</t>
  </si>
  <si>
    <t xml:space="preserve">The Smurfs</t>
  </si>
  <si>
    <t xml:space="preserve">tt0472181</t>
  </si>
  <si>
    <t xml:space="preserve">F0256</t>
  </si>
  <si>
    <t xml:space="preserve">Barbarian</t>
  </si>
  <si>
    <t xml:space="preserve">2022 populares #9</t>
  </si>
  <si>
    <t xml:space="preserve">#58 hoje</t>
  </si>
  <si>
    <t xml:space="preserve">tt15791034</t>
  </si>
  <si>
    <t xml:space="preserve">F0257</t>
  </si>
  <si>
    <t xml:space="preserve">Capitão América: Admirável Mundo Novo</t>
  </si>
  <si>
    <t xml:space="preserve">Captain America: Brave New World</t>
  </si>
  <si>
    <t xml:space="preserve">2025 populares #28</t>
  </si>
  <si>
    <t xml:space="preserve">tt14513804</t>
  </si>
  <si>
    <t xml:space="preserve">F0258</t>
  </si>
  <si>
    <t xml:space="preserve">O Esquadrão Suicida</t>
  </si>
  <si>
    <t xml:space="preserve">The Suicide Squad</t>
  </si>
  <si>
    <t xml:space="preserve">2021 populares #4</t>
  </si>
  <si>
    <t xml:space="preserve">tt6334354</t>
  </si>
  <si>
    <t xml:space="preserve">F0259</t>
  </si>
  <si>
    <t xml:space="preserve">A Era do Gelo</t>
  </si>
  <si>
    <t xml:space="preserve">Ice Age</t>
  </si>
  <si>
    <t xml:space="preserve">tt0268380</t>
  </si>
  <si>
    <t xml:space="preserve">F0260</t>
  </si>
  <si>
    <t xml:space="preserve">Shang-Chi e a Lenda dos Dez Anéis</t>
  </si>
  <si>
    <t xml:space="preserve">Shang-Chi and the Legend of the Ten Rings</t>
  </si>
  <si>
    <t xml:space="preserve">2021 populares #5</t>
  </si>
  <si>
    <t xml:space="preserve">tt9376612</t>
  </si>
  <si>
    <t xml:space="preserve">F0261</t>
  </si>
  <si>
    <t xml:space="preserve">Carros 2</t>
  </si>
  <si>
    <t xml:space="preserve">Cars 2</t>
  </si>
  <si>
    <t xml:space="preserve">tt1216475</t>
  </si>
  <si>
    <t xml:space="preserve">F0262</t>
  </si>
  <si>
    <t xml:space="preserve">007- Quantum of Solace</t>
  </si>
  <si>
    <t xml:space="preserve">Quantum of Solace</t>
  </si>
  <si>
    <t xml:space="preserve">tt0830515</t>
  </si>
  <si>
    <t xml:space="preserve">F0263</t>
  </si>
  <si>
    <t xml:space="preserve">Anjos e Demônios</t>
  </si>
  <si>
    <t xml:space="preserve">Angels &amp; Demons</t>
  </si>
  <si>
    <t xml:space="preserve">tt0808151</t>
  </si>
  <si>
    <t xml:space="preserve">F0264</t>
  </si>
  <si>
    <t xml:space="preserve">Mickey 17</t>
  </si>
  <si>
    <t xml:space="preserve">2025 populares #4</t>
  </si>
  <si>
    <t xml:space="preserve">#62 hoje</t>
  </si>
  <si>
    <t xml:space="preserve">tt12299608</t>
  </si>
  <si>
    <t xml:space="preserve">F0265</t>
  </si>
  <si>
    <t xml:space="preserve">Thunderbolts*</t>
  </si>
  <si>
    <t xml:space="preserve">2025 populares #8</t>
  </si>
  <si>
    <t xml:space="preserve">tt20969586</t>
  </si>
  <si>
    <t xml:space="preserve">F0266</t>
  </si>
  <si>
    <t xml:space="preserve">Gladiador Ii</t>
  </si>
  <si>
    <t xml:space="preserve">Gladiator II</t>
  </si>
  <si>
    <t xml:space="preserve">2024 populares #12</t>
  </si>
  <si>
    <t xml:space="preserve">S209</t>
  </si>
  <si>
    <t xml:space="preserve">tt9218128</t>
  </si>
  <si>
    <t xml:space="preserve">F0267</t>
  </si>
  <si>
    <t xml:space="preserve">Animais Fantásticos: Os Segredos de Dumbledore</t>
  </si>
  <si>
    <t xml:space="preserve">Fantastic Beasts: The Secrets of Dumbledore</t>
  </si>
  <si>
    <t xml:space="preserve">2022 populares #46</t>
  </si>
  <si>
    <t xml:space="preserve">17–19 jun 2022 #4 (United States); 15–17 jul 2022 #10 (United States)</t>
  </si>
  <si>
    <t xml:space="preserve">tt4123432</t>
  </si>
  <si>
    <t xml:space="preserve">F0268</t>
  </si>
  <si>
    <t xml:space="preserve">Uncharted: Fora do Mapa</t>
  </si>
  <si>
    <t xml:space="preserve">Uncharted</t>
  </si>
  <si>
    <t xml:space="preserve">2022 populares #30</t>
  </si>
  <si>
    <t xml:space="preserve">2022 #15</t>
  </si>
  <si>
    <t xml:space="preserve">12–14 ago 2022 #3 (United States)</t>
  </si>
  <si>
    <t xml:space="preserve">tt1464335</t>
  </si>
  <si>
    <t xml:space="preserve">F0269</t>
  </si>
  <si>
    <t xml:space="preserve">A Fantástica Fábrica de Chocolate</t>
  </si>
  <si>
    <t xml:space="preserve">Charlie and the Chocolate Factory</t>
  </si>
  <si>
    <t xml:space="preserve">tt0367594</t>
  </si>
  <si>
    <t xml:space="preserve">F0270</t>
  </si>
  <si>
    <t xml:space="preserve">King Kong</t>
  </si>
  <si>
    <t xml:space="preserve">tt0360717</t>
  </si>
  <si>
    <t xml:space="preserve">F0271</t>
  </si>
  <si>
    <t xml:space="preserve">O Exterminador do Futuro 3: A Rebelião das Máquinas</t>
  </si>
  <si>
    <t xml:space="preserve">Terminator 3: Rise of the Machines</t>
  </si>
  <si>
    <t xml:space="preserve">tt0181852</t>
  </si>
  <si>
    <t xml:space="preserve">F0272</t>
  </si>
  <si>
    <t xml:space="preserve">Sinais</t>
  </si>
  <si>
    <t xml:space="preserve">Signs</t>
  </si>
  <si>
    <t xml:space="preserve">tt0286106</t>
  </si>
  <si>
    <t xml:space="preserve">F0273</t>
  </si>
  <si>
    <t xml:space="preserve">Os Simpsons - O Filme</t>
  </si>
  <si>
    <t xml:space="preserve">The Simpsons Movie</t>
  </si>
  <si>
    <t xml:space="preserve">tt0462538</t>
  </si>
  <si>
    <t xml:space="preserve">F0274</t>
  </si>
  <si>
    <t xml:space="preserve">A.I. - Inteligência Artificial</t>
  </si>
  <si>
    <t xml:space="preserve">A.I. Artificial Intelligence</t>
  </si>
  <si>
    <t xml:space="preserve">#144 hoje</t>
  </si>
  <si>
    <t xml:space="preserve">S179</t>
  </si>
  <si>
    <t xml:space="preserve">tt0212720</t>
  </si>
  <si>
    <t xml:space="preserve">F0275</t>
  </si>
  <si>
    <t xml:space="preserve">Encanto</t>
  </si>
  <si>
    <t xml:space="preserve">2021 populares #42</t>
  </si>
  <si>
    <t xml:space="preserve">2022 #5; 2022 #1; 2023 #2; 2024 #6</t>
  </si>
  <si>
    <t xml:space="preserve">fim de semana 7–9 jan 2022 #1 (United States); 18–20 fev 2022 #5 (United States); 4–6 mar 2022 #8 (United States); 18–20 mar 2022 #6 (United States)</t>
  </si>
  <si>
    <t xml:space="preserve">tt2953050</t>
  </si>
  <si>
    <t xml:space="preserve">F0276</t>
  </si>
  <si>
    <t xml:space="preserve">Five Nights At Freddy's - O Pesadelo sem Fim</t>
  </si>
  <si>
    <t xml:space="preserve">Five Nights at Freddy's</t>
  </si>
  <si>
    <t xml:space="preserve">2023 populares #13</t>
  </si>
  <si>
    <t xml:space="preserve">tt4589218</t>
  </si>
  <si>
    <t xml:space="preserve">F0277</t>
  </si>
  <si>
    <t xml:space="preserve">Planeta dos Macacos: O Reinado</t>
  </si>
  <si>
    <t xml:space="preserve">Kingdom of the Planet of the Apes</t>
  </si>
  <si>
    <t xml:space="preserve">2024 populares #34</t>
  </si>
  <si>
    <t xml:space="preserve">tt11389872</t>
  </si>
  <si>
    <t xml:space="preserve">F0278</t>
  </si>
  <si>
    <t xml:space="preserve">F1 - O Filme</t>
  </si>
  <si>
    <t xml:space="preserve">F1</t>
  </si>
  <si>
    <t xml:space="preserve">tt16311594</t>
  </si>
  <si>
    <t xml:space="preserve">F0279</t>
  </si>
  <si>
    <t xml:space="preserve">Aves De Rapina (Arlequina E Sua Emancipação Fantabulosa)</t>
  </si>
  <si>
    <t xml:space="preserve">Birds of Prey and the Fantabulous Emancipation of One Harley Quinn</t>
  </si>
  <si>
    <t xml:space="preserve">2020 populares #3</t>
  </si>
  <si>
    <t xml:space="preserve">tt7713068</t>
  </si>
  <si>
    <t xml:space="preserve">F0280</t>
  </si>
  <si>
    <t xml:space="preserve">Bugonia</t>
  </si>
  <si>
    <t xml:space="preserve">2025 populares #15</t>
  </si>
  <si>
    <t xml:space="preserve">#37 hoje</t>
  </si>
  <si>
    <t xml:space="preserve">tt12300742</t>
  </si>
  <si>
    <t xml:space="preserve">F0281</t>
  </si>
  <si>
    <t xml:space="preserve">Luca</t>
  </si>
  <si>
    <t xml:space="preserve">2021 populares #7</t>
  </si>
  <si>
    <t xml:space="preserve">2021 #1; 2022 #9</t>
  </si>
  <si>
    <t xml:space="preserve">tt12801262</t>
  </si>
  <si>
    <t xml:space="preserve">F0282</t>
  </si>
  <si>
    <t xml:space="preserve">É Assim que Acaba</t>
  </si>
  <si>
    <t xml:space="preserve">It Ends with Us</t>
  </si>
  <si>
    <t xml:space="preserve">2024 populares #37</t>
  </si>
  <si>
    <t xml:space="preserve">tt10655524</t>
  </si>
  <si>
    <t xml:space="preserve">F0283</t>
  </si>
  <si>
    <t xml:space="preserve">Tenet</t>
  </si>
  <si>
    <t xml:space="preserve">2020 populares #1</t>
  </si>
  <si>
    <t xml:space="preserve">S053, S198</t>
  </si>
  <si>
    <t xml:space="preserve">tt6723592</t>
  </si>
  <si>
    <t xml:space="preserve">F0284</t>
  </si>
  <si>
    <t xml:space="preserve">Minority Report - A Nova Lei</t>
  </si>
  <si>
    <t xml:space="preserve">Minority Report</t>
  </si>
  <si>
    <t xml:space="preserve">tt0181689</t>
  </si>
  <si>
    <t xml:space="preserve">F0285</t>
  </si>
  <si>
    <t xml:space="preserve">O Retorno da Múmia</t>
  </si>
  <si>
    <t xml:space="preserve">The Mummy Returns</t>
  </si>
  <si>
    <t xml:space="preserve">tt0209163</t>
  </si>
  <si>
    <t xml:space="preserve">F0286</t>
  </si>
  <si>
    <t xml:space="preserve">Wonka</t>
  </si>
  <si>
    <t xml:space="preserve">2023 populares #23</t>
  </si>
  <si>
    <t xml:space="preserve">tt6166392</t>
  </si>
  <si>
    <t xml:space="preserve">F0287</t>
  </si>
  <si>
    <t xml:space="preserve">A Criada</t>
  </si>
  <si>
    <t xml:space="preserve">The Handmaiden</t>
  </si>
  <si>
    <t xml:space="preserve">2016 populares #34; 2016 mais bem avaliados #5</t>
  </si>
  <si>
    <t xml:space="preserve">#134 hoje</t>
  </si>
  <si>
    <t xml:space="preserve">tt4016934</t>
  </si>
  <si>
    <t xml:space="preserve">F0288</t>
  </si>
  <si>
    <t xml:space="preserve">Mulher-Maravilha 1984</t>
  </si>
  <si>
    <t xml:space="preserve">Wonder Woman 1984</t>
  </si>
  <si>
    <t xml:space="preserve">2020 populares #11</t>
  </si>
  <si>
    <t xml:space="preserve">S198, S199</t>
  </si>
  <si>
    <t xml:space="preserve">tt7126948</t>
  </si>
  <si>
    <t xml:space="preserve">F0289</t>
  </si>
  <si>
    <t xml:space="preserve">Mufasa: O Rei Leão</t>
  </si>
  <si>
    <t xml:space="preserve">Mufasa: The Lion King</t>
  </si>
  <si>
    <t xml:space="preserve">tt13186482</t>
  </si>
  <si>
    <t xml:space="preserve">F0290</t>
  </si>
  <si>
    <t xml:space="preserve">The Flash</t>
  </si>
  <si>
    <t xml:space="preserve">2023 populares #31</t>
  </si>
  <si>
    <t xml:space="preserve">tt0439572</t>
  </si>
  <si>
    <t xml:space="preserve">F0291</t>
  </si>
  <si>
    <t xml:space="preserve">Missão Impossível III</t>
  </si>
  <si>
    <t xml:space="preserve">Mission: Impossible III</t>
  </si>
  <si>
    <t xml:space="preserve">tt0317919</t>
  </si>
  <si>
    <t xml:space="preserve">F0292</t>
  </si>
  <si>
    <t xml:space="preserve">Superman: O Retorno</t>
  </si>
  <si>
    <t xml:space="preserve">Superman Returns</t>
  </si>
  <si>
    <t xml:space="preserve">tt0348150</t>
  </si>
  <si>
    <t xml:space="preserve">F0293</t>
  </si>
  <si>
    <t xml:space="preserve">Sonic - O Filme</t>
  </si>
  <si>
    <t xml:space="preserve">Sonic the Hedgehog</t>
  </si>
  <si>
    <t xml:space="preserve">2020 populares #20</t>
  </si>
  <si>
    <t xml:space="preserve">tt3794354</t>
  </si>
  <si>
    <t xml:space="preserve">F0294</t>
  </si>
  <si>
    <t xml:space="preserve">O Telefone Preto</t>
  </si>
  <si>
    <t xml:space="preserve">The Black Phone</t>
  </si>
  <si>
    <t xml:space="preserve">2022 populares #17</t>
  </si>
  <si>
    <t xml:space="preserve">12–14 ago 2022 #7 (United States)</t>
  </si>
  <si>
    <t xml:space="preserve">tt7144666</t>
  </si>
  <si>
    <t xml:space="preserve">F0295</t>
  </si>
  <si>
    <t xml:space="preserve">Red: Crescer é uma Fera</t>
  </si>
  <si>
    <t xml:space="preserve">Turning Red</t>
  </si>
  <si>
    <t xml:space="preserve">2022 populares #12</t>
  </si>
  <si>
    <t xml:space="preserve">2022 #2</t>
  </si>
  <si>
    <t xml:space="preserve">18–20 mar 2022 #1 (United States)</t>
  </si>
  <si>
    <t xml:space="preserve">tt8097030</t>
  </si>
  <si>
    <t xml:space="preserve">F0296</t>
  </si>
  <si>
    <t xml:space="preserve">Acompanhante Perfeita</t>
  </si>
  <si>
    <t xml:space="preserve">Companion</t>
  </si>
  <si>
    <t xml:space="preserve">2025 populares #12</t>
  </si>
  <si>
    <t xml:space="preserve">#122 hoje</t>
  </si>
  <si>
    <t xml:space="preserve">tt26584495</t>
  </si>
  <si>
    <t xml:space="preserve">F0297</t>
  </si>
  <si>
    <t xml:space="preserve">Pânico</t>
  </si>
  <si>
    <t xml:space="preserve">Scream</t>
  </si>
  <si>
    <t xml:space="preserve">2022 populares #23</t>
  </si>
  <si>
    <t xml:space="preserve">4–6 mar 2022 #6 (United States); 18–20 mar 2022 #7 (United States)</t>
  </si>
  <si>
    <t xml:space="preserve">tt11245972</t>
  </si>
  <si>
    <t xml:space="preserve">F0298</t>
  </si>
  <si>
    <t xml:space="preserve">Doze Homens e Outro Segredo</t>
  </si>
  <si>
    <t xml:space="preserve">Ocean's Twelve</t>
  </si>
  <si>
    <t xml:space="preserve">tt0349903</t>
  </si>
  <si>
    <t xml:space="preserve">F0299</t>
  </si>
  <si>
    <t xml:space="preserve">Coringa: Delírio a Dois</t>
  </si>
  <si>
    <t xml:space="preserve">Joker: Folie à Deux</t>
  </si>
  <si>
    <t xml:space="preserve">2024 populares #21</t>
  </si>
  <si>
    <t xml:space="preserve">tt11315808</t>
  </si>
  <si>
    <t xml:space="preserve">F0300</t>
  </si>
  <si>
    <t xml:space="preserve">Um Lugar Silencioso - Parte Ii</t>
  </si>
  <si>
    <t xml:space="preserve">A Quiet Place Part II</t>
  </si>
  <si>
    <t xml:space="preserve">2021 populares #12</t>
  </si>
  <si>
    <t xml:space="preserve">tt8332922</t>
  </si>
  <si>
    <t xml:space="preserve">F0301</t>
  </si>
  <si>
    <t xml:space="preserve">Pearl Harbor</t>
  </si>
  <si>
    <t xml:space="preserve">tt0213149</t>
  </si>
  <si>
    <t xml:space="preserve">F0302</t>
  </si>
  <si>
    <t xml:space="preserve">Todo Mundo em Pânico</t>
  </si>
  <si>
    <t xml:space="preserve">Scary Movie</t>
  </si>
  <si>
    <t xml:space="preserve">#69 hoje</t>
  </si>
  <si>
    <t xml:space="preserve">tt32093575</t>
  </si>
  <si>
    <t xml:space="preserve">F0303</t>
  </si>
  <si>
    <t xml:space="preserve">Raya e o Último Dragão</t>
  </si>
  <si>
    <t xml:space="preserve">Raya and the Last Dragon</t>
  </si>
  <si>
    <t xml:space="preserve">2021 populares #27</t>
  </si>
  <si>
    <t xml:space="preserve">2021 #3</t>
  </si>
  <si>
    <t xml:space="preserve">tt5109280</t>
  </si>
  <si>
    <t xml:space="preserve">F0304</t>
  </si>
  <si>
    <t xml:space="preserve">Jogos Vorazes – A Cantiga dos Pássaros e das Serpentes</t>
  </si>
  <si>
    <t xml:space="preserve">The Hunger Games: The Ballad of Songbirds &amp; Snakes</t>
  </si>
  <si>
    <t xml:space="preserve">2023 populares #10</t>
  </si>
  <si>
    <t xml:space="preserve">tt10545296</t>
  </si>
  <si>
    <t xml:space="preserve">F0305</t>
  </si>
  <si>
    <t xml:space="preserve">Matrix Resurrections</t>
  </si>
  <si>
    <t xml:space="preserve">The Matrix Resurrections</t>
  </si>
  <si>
    <t xml:space="preserve">2021 populares #38</t>
  </si>
  <si>
    <t xml:space="preserve">tt10838180</t>
  </si>
  <si>
    <t xml:space="preserve">F0306</t>
  </si>
  <si>
    <t xml:space="preserve">Entrando Numa Fria Maior Ainda</t>
  </si>
  <si>
    <t xml:space="preserve">Meet the Fockers</t>
  </si>
  <si>
    <t xml:space="preserve">S037, S183</t>
  </si>
  <si>
    <t xml:space="preserve">tt0290002</t>
  </si>
  <si>
    <t xml:space="preserve">F0307</t>
  </si>
  <si>
    <t xml:space="preserve">Godzilla e Kong: O Novo Império</t>
  </si>
  <si>
    <t xml:space="preserve">Godzilla x Kong: The New Empire</t>
  </si>
  <si>
    <t xml:space="preserve">tt14539740</t>
  </si>
  <si>
    <t xml:space="preserve">F0308</t>
  </si>
  <si>
    <t xml:space="preserve">007 - Um Novo Dia para Morrer</t>
  </si>
  <si>
    <t xml:space="preserve">Die Another Day</t>
  </si>
  <si>
    <t xml:space="preserve">S035, S181</t>
  </si>
  <si>
    <t xml:space="preserve">tt0246460</t>
  </si>
  <si>
    <t xml:space="preserve">F0309</t>
  </si>
  <si>
    <t xml:space="preserve">Missão: Impossível - O Acerto Final</t>
  </si>
  <si>
    <t xml:space="preserve">Mission: Impossible - The Final Reckoning</t>
  </si>
  <si>
    <t xml:space="preserve">2025 populares #29</t>
  </si>
  <si>
    <t xml:space="preserve">tt9603208</t>
  </si>
  <si>
    <t xml:space="preserve">F0310</t>
  </si>
  <si>
    <t xml:space="preserve">Jurassic Park III</t>
  </si>
  <si>
    <t xml:space="preserve">tt0163025</t>
  </si>
  <si>
    <t xml:space="preserve">F0311</t>
  </si>
  <si>
    <t xml:space="preserve">Demon Slayer: Kimetsu no Yaiba - Castelo Infinito</t>
  </si>
  <si>
    <t xml:space="preserve">Demon Slayer: Kimetsu No Yaiba Infinity Castle</t>
  </si>
  <si>
    <t xml:space="preserve">#50 hoje</t>
  </si>
  <si>
    <t xml:space="preserve">tt32820897</t>
  </si>
  <si>
    <t xml:space="preserve">F0312</t>
  </si>
  <si>
    <t xml:space="preserve">O Homem Invisível</t>
  </si>
  <si>
    <t xml:space="preserve">The Invisible Man</t>
  </si>
  <si>
    <t xml:space="preserve">2020 populares #4</t>
  </si>
  <si>
    <t xml:space="preserve">tt1051906</t>
  </si>
  <si>
    <t xml:space="preserve">F0313</t>
  </si>
  <si>
    <t xml:space="preserve">Guerreiras do K-Pop</t>
  </si>
  <si>
    <t xml:space="preserve">KPop Demon Hunters</t>
  </si>
  <si>
    <t xml:space="preserve">2025 populares #10</t>
  </si>
  <si>
    <t xml:space="preserve">2025 #1</t>
  </si>
  <si>
    <t xml:space="preserve">UCLA Teens &amp; Screens 2025 (top 25) 2025-10 (10-24)</t>
  </si>
  <si>
    <t xml:space="preserve">tt14205554</t>
  </si>
  <si>
    <t xml:space="preserve">F0314</t>
  </si>
  <si>
    <t xml:space="preserve">Elvis</t>
  </si>
  <si>
    <t xml:space="preserve">2022 populares #14</t>
  </si>
  <si>
    <t xml:space="preserve">tt3704428</t>
  </si>
  <si>
    <t xml:space="preserve">F0315</t>
  </si>
  <si>
    <t xml:space="preserve">Adoráveis Mulheres</t>
  </si>
  <si>
    <t xml:space="preserve">Little Women</t>
  </si>
  <si>
    <t xml:space="preserve">2019 populares #39; 2019 mais bem avaliados #3</t>
  </si>
  <si>
    <t xml:space="preserve">tt3281548</t>
  </si>
  <si>
    <t xml:space="preserve">F0316</t>
  </si>
  <si>
    <t xml:space="preserve">Besouro Azul</t>
  </si>
  <si>
    <t xml:space="preserve">Blue Beetle</t>
  </si>
  <si>
    <t xml:space="preserve">2023 populares #49</t>
  </si>
  <si>
    <t xml:space="preserve">tt9362930</t>
  </si>
  <si>
    <t xml:space="preserve">F0317</t>
  </si>
  <si>
    <t xml:space="preserve">Premonição 6: Laços de Sangue</t>
  </si>
  <si>
    <t xml:space="preserve">Final Destination: Bloodlines</t>
  </si>
  <si>
    <t xml:space="preserve">2025 populares #18</t>
  </si>
  <si>
    <t xml:space="preserve">tt9619824</t>
  </si>
  <si>
    <t xml:space="preserve">F0318</t>
  </si>
  <si>
    <t xml:space="preserve">Hitch - Conselheiro Amoroso</t>
  </si>
  <si>
    <t xml:space="preserve">Hitch</t>
  </si>
  <si>
    <t xml:space="preserve">tt0386588</t>
  </si>
  <si>
    <t xml:space="preserve">F0319</t>
  </si>
  <si>
    <t xml:space="preserve">Bom Comportamento</t>
  </si>
  <si>
    <t xml:space="preserve">Good Time</t>
  </si>
  <si>
    <t xml:space="preserve">2017 populares #34; 2017 mais bem avaliados #11</t>
  </si>
  <si>
    <t xml:space="preserve">#32 hoje</t>
  </si>
  <si>
    <t xml:space="preserve">tt4846232</t>
  </si>
  <si>
    <t xml:space="preserve">F0320</t>
  </si>
  <si>
    <t xml:space="preserve">Godzilla vs. Kong</t>
  </si>
  <si>
    <t xml:space="preserve">2021 populares #16</t>
  </si>
  <si>
    <t xml:space="preserve">tt5034838</t>
  </si>
  <si>
    <t xml:space="preserve">F0321</t>
  </si>
  <si>
    <t xml:space="preserve">Backrooms - Um Não-Lugar</t>
  </si>
  <si>
    <t xml:space="preserve">Backrooms</t>
  </si>
  <si>
    <t xml:space="preserve">#15 hoje</t>
  </si>
  <si>
    <t xml:space="preserve">tt26657236</t>
  </si>
  <si>
    <t xml:space="preserve">F0322</t>
  </si>
  <si>
    <t xml:space="preserve">Minions &amp; Monstros</t>
  </si>
  <si>
    <t xml:space="preserve">Minions &amp; Monsters</t>
  </si>
  <si>
    <t xml:space="preserve">tt32890033</t>
  </si>
  <si>
    <t xml:space="preserve">F0323</t>
  </si>
  <si>
    <t xml:space="preserve">Planeta dos Macacos</t>
  </si>
  <si>
    <t xml:space="preserve">Planet of the Apes</t>
  </si>
  <si>
    <t xml:space="preserve">tt0133152</t>
  </si>
  <si>
    <t xml:space="preserve">F0324</t>
  </si>
  <si>
    <t xml:space="preserve">Invocação do Mal 3: A Ordem do Demônio</t>
  </si>
  <si>
    <t xml:space="preserve">The Conjuring: The Devil Made Me Do It</t>
  </si>
  <si>
    <t xml:space="preserve">2021 populares #33</t>
  </si>
  <si>
    <t xml:space="preserve">tt7069210</t>
  </si>
  <si>
    <t xml:space="preserve">F0325</t>
  </si>
  <si>
    <t xml:space="preserve">Kung Fu Panda 4</t>
  </si>
  <si>
    <t xml:space="preserve">tt21692408</t>
  </si>
  <si>
    <t xml:space="preserve">F0326</t>
  </si>
  <si>
    <t xml:space="preserve">Faça Ela Voltar</t>
  </si>
  <si>
    <t xml:space="preserve">Bring Her Back</t>
  </si>
  <si>
    <t xml:space="preserve">2025 populares #21</t>
  </si>
  <si>
    <t xml:space="preserve">#120 hoje</t>
  </si>
  <si>
    <t xml:space="preserve">tt32246771</t>
  </si>
  <si>
    <t xml:space="preserve">F0327</t>
  </si>
  <si>
    <t xml:space="preserve">Mestres do Universo</t>
  </si>
  <si>
    <t xml:space="preserve">Masters of the Universe</t>
  </si>
  <si>
    <t xml:space="preserve">#59 hoje</t>
  </si>
  <si>
    <t xml:space="preserve">tt0427340</t>
  </si>
  <si>
    <t xml:space="preserve">F0328</t>
  </si>
  <si>
    <t xml:space="preserve">O Espanta Tubarões</t>
  </si>
  <si>
    <t xml:space="preserve">Shark Tale</t>
  </si>
  <si>
    <t xml:space="preserve">tt0307453</t>
  </si>
  <si>
    <t xml:space="preserve">F0329</t>
  </si>
  <si>
    <t xml:space="preserve">Hamnet: A Vida Antes de Hamlet</t>
  </si>
  <si>
    <t xml:space="preserve">Hamnet</t>
  </si>
  <si>
    <t xml:space="preserve">2025 mais bem avaliados #7</t>
  </si>
  <si>
    <t xml:space="preserve">#48 hoje</t>
  </si>
  <si>
    <t xml:space="preserve">tt14905854</t>
  </si>
  <si>
    <t xml:space="preserve">F0330</t>
  </si>
  <si>
    <t xml:space="preserve">Bad Boys Para Sempre</t>
  </si>
  <si>
    <t xml:space="preserve">Bad Boys for Life</t>
  </si>
  <si>
    <t xml:space="preserve">2020 populares #44</t>
  </si>
  <si>
    <t xml:space="preserve">tt1502397</t>
  </si>
  <si>
    <t xml:space="preserve">F0331</t>
  </si>
  <si>
    <t xml:space="preserve">As Crônicas de Nárnia: Príncipe Caspian</t>
  </si>
  <si>
    <t xml:space="preserve">The Chronicles of Narnia: Prince Caspian</t>
  </si>
  <si>
    <t xml:space="preserve">tt0499448</t>
  </si>
  <si>
    <t xml:space="preserve">F0332</t>
  </si>
  <si>
    <t xml:space="preserve">Dois Irmãos: Uma Jornada Fantástica</t>
  </si>
  <si>
    <t xml:space="preserve">Onward</t>
  </si>
  <si>
    <t xml:space="preserve">2020 populares #7</t>
  </si>
  <si>
    <t xml:space="preserve">2020 #4</t>
  </si>
  <si>
    <t xml:space="preserve">tt7146812</t>
  </si>
  <si>
    <t xml:space="preserve">F0333</t>
  </si>
  <si>
    <t xml:space="preserve">Assassino por Acaso</t>
  </si>
  <si>
    <t xml:space="preserve">Hit Man</t>
  </si>
  <si>
    <t xml:space="preserve">2024 populares #29</t>
  </si>
  <si>
    <t xml:space="preserve">#88 hoje</t>
  </si>
  <si>
    <t xml:space="preserve">tt20215968</t>
  </si>
  <si>
    <t xml:space="preserve">F0334</t>
  </si>
  <si>
    <t xml:space="preserve">Lightyear</t>
  </si>
  <si>
    <t xml:space="preserve">2022 populares #34</t>
  </si>
  <si>
    <t xml:space="preserve">12–14 ago 2022 #4 (United States)</t>
  </si>
  <si>
    <t xml:space="preserve">tt10298810</t>
  </si>
  <si>
    <t xml:space="preserve">F0335</t>
  </si>
  <si>
    <t xml:space="preserve">O Convite</t>
  </si>
  <si>
    <t xml:space="preserve">The Invitation</t>
  </si>
  <si>
    <t xml:space="preserve">2016 populares #36</t>
  </si>
  <si>
    <t xml:space="preserve">#2 hoje</t>
  </si>
  <si>
    <t xml:space="preserve">tt2400463</t>
  </si>
  <si>
    <t xml:space="preserve">F0336</t>
  </si>
  <si>
    <t xml:space="preserve">Five Nights at Freddy's 2</t>
  </si>
  <si>
    <t xml:space="preserve">2025 populares #32</t>
  </si>
  <si>
    <t xml:space="preserve">tt30274401</t>
  </si>
  <si>
    <t xml:space="preserve">F0337</t>
  </si>
  <si>
    <t xml:space="preserve">Hannibal</t>
  </si>
  <si>
    <t xml:space="preserve">tt0212985</t>
  </si>
  <si>
    <t xml:space="preserve">F0338</t>
  </si>
  <si>
    <t xml:space="preserve">Morbius</t>
  </si>
  <si>
    <t xml:space="preserve">2022 populares #38</t>
  </si>
  <si>
    <t xml:space="preserve">tt5108870</t>
  </si>
  <si>
    <t xml:space="preserve">F0339</t>
  </si>
  <si>
    <t xml:space="preserve">Dia D</t>
  </si>
  <si>
    <t xml:space="preserve">Disclosure Day</t>
  </si>
  <si>
    <t xml:space="preserve">#13 hoje</t>
  </si>
  <si>
    <t xml:space="preserve">tt15047880</t>
  </si>
  <si>
    <t xml:space="preserve">F0340</t>
  </si>
  <si>
    <t xml:space="preserve">Sing 2</t>
  </si>
  <si>
    <t xml:space="preserve">2022 #3; 2023 #6</t>
  </si>
  <si>
    <t xml:space="preserve">S054, S200</t>
  </si>
  <si>
    <t xml:space="preserve">tt6467266</t>
  </si>
  <si>
    <t xml:space="preserve">F0341</t>
  </si>
  <si>
    <t xml:space="preserve">Fresh</t>
  </si>
  <si>
    <t xml:space="preserve">2022 populares #20</t>
  </si>
  <si>
    <t xml:space="preserve">4–6 mar 2022 #2 (United States)</t>
  </si>
  <si>
    <t xml:space="preserve">tt13403046</t>
  </si>
  <si>
    <t xml:space="preserve">F0342</t>
  </si>
  <si>
    <t xml:space="preserve">Happy Feet - O Pinguim</t>
  </si>
  <si>
    <t xml:space="preserve">Happy Feet</t>
  </si>
  <si>
    <t xml:space="preserve">tt0366548</t>
  </si>
  <si>
    <t xml:space="preserve">F0343</t>
  </si>
  <si>
    <t xml:space="preserve">Verity</t>
  </si>
  <si>
    <t xml:space="preserve">#17 hoje</t>
  </si>
  <si>
    <t xml:space="preserve">tt32261958</t>
  </si>
  <si>
    <t xml:space="preserve">F0344</t>
  </si>
  <si>
    <t xml:space="preserve">Casamento Grego</t>
  </si>
  <si>
    <t xml:space="preserve">My Big Fat Greek Wedding</t>
  </si>
  <si>
    <t xml:space="preserve">tt0259446</t>
  </si>
  <si>
    <t xml:space="preserve">F0345</t>
  </si>
  <si>
    <t xml:space="preserve">Resident Evil</t>
  </si>
  <si>
    <t xml:space="preserve">#12 hoje</t>
  </si>
  <si>
    <t xml:space="preserve">tt35538033</t>
  </si>
  <si>
    <t xml:space="preserve">F0346</t>
  </si>
  <si>
    <t xml:space="preserve">O Drama</t>
  </si>
  <si>
    <t xml:space="preserve">The Drama</t>
  </si>
  <si>
    <t xml:space="preserve">#19 hoje</t>
  </si>
  <si>
    <t xml:space="preserve">tt33071426</t>
  </si>
  <si>
    <t xml:space="preserve">F0347</t>
  </si>
  <si>
    <t xml:space="preserve">Os Novos Mutantes</t>
  </si>
  <si>
    <t xml:space="preserve">The New Mutants</t>
  </si>
  <si>
    <t xml:space="preserve">2020 populares #35</t>
  </si>
  <si>
    <t xml:space="preserve">tt4682266</t>
  </si>
  <si>
    <t xml:space="preserve">F0348</t>
  </si>
  <si>
    <t xml:space="preserve">Bacurau</t>
  </si>
  <si>
    <t xml:space="preserve">2020 populares #22; 2020 mais bem avaliados #5</t>
  </si>
  <si>
    <t xml:space="preserve">S194, S198, S208</t>
  </si>
  <si>
    <t xml:space="preserve">tt2762506</t>
  </si>
  <si>
    <t xml:space="preserve">F0349</t>
  </si>
  <si>
    <t xml:space="preserve">Patrulha Canina - O Filme</t>
  </si>
  <si>
    <t xml:space="preserve">PAW Patrol: The Movie</t>
  </si>
  <si>
    <t xml:space="preserve">2024 #8</t>
  </si>
  <si>
    <t xml:space="preserve">tt11832046</t>
  </si>
  <si>
    <t xml:space="preserve">F0350</t>
  </si>
  <si>
    <t xml:space="preserve">Aquarius</t>
  </si>
  <si>
    <t xml:space="preserve">2016 mais bem avaliados #7</t>
  </si>
  <si>
    <t xml:space="preserve">tt5221584</t>
  </si>
  <si>
    <t xml:space="preserve">F0351</t>
  </si>
  <si>
    <t xml:space="preserve">A Vida Invisível</t>
  </si>
  <si>
    <t xml:space="preserve">Invisible Life</t>
  </si>
  <si>
    <t xml:space="preserve">2019 mais bem avaliados #13</t>
  </si>
  <si>
    <t xml:space="preserve">S198, S208</t>
  </si>
  <si>
    <t xml:space="preserve">tt6390668</t>
  </si>
  <si>
    <t xml:space="preserve">F0352</t>
  </si>
  <si>
    <t xml:space="preserve">Marte um</t>
  </si>
  <si>
    <t xml:space="preserve">Mars One</t>
  </si>
  <si>
    <t xml:space="preserve">2022 mais bem avaliados #4</t>
  </si>
  <si>
    <t xml:space="preserve">tt16377816</t>
  </si>
  <si>
    <t xml:space="preserve">F0353</t>
  </si>
  <si>
    <t xml:space="preserve">Dolittle</t>
  </si>
  <si>
    <t xml:space="preserve">tt6673612</t>
  </si>
  <si>
    <t xml:space="preserve">Ano de estreia</t>
  </si>
  <si>
    <t xml:space="preserve">Origem / canal</t>
  </si>
  <si>
    <t xml:space="preserve">Netflix: views 91 dias (maior temporada)</t>
  </si>
  <si>
    <t xml:space="preserve">Netflix: posição no Top 10 histórico</t>
  </si>
  <si>
    <t xml:space="preserve">Audiência média por temporada (maior)</t>
  </si>
  <si>
    <t xml:space="preserve">Tipo da audiência média</t>
  </si>
  <si>
    <t xml:space="preserve">Nielsen: melhor posição</t>
  </si>
  <si>
    <t xml:space="preserve">Nielsen: tamanho da lista</t>
  </si>
  <si>
    <t xml:space="preserve">Nielsen: aparições</t>
  </si>
  <si>
    <t xml:space="preserve">Pontuação Netflix</t>
  </si>
  <si>
    <t xml:space="preserve">Pontuação Nielsen</t>
  </si>
  <si>
    <t xml:space="preserve">Pontuação audiência média</t>
  </si>
  <si>
    <t xml:space="preserve">Audiência oficial (melhor)</t>
  </si>
  <si>
    <t xml:space="preserve">Alertas de conteúdo</t>
  </si>
  <si>
    <t xml:space="preserve">Conferir</t>
  </si>
  <si>
    <t xml:space="preserve">S0001</t>
  </si>
  <si>
    <t xml:space="preserve">Stranger Things</t>
  </si>
  <si>
    <t xml:space="preserve">Netflix</t>
  </si>
  <si>
    <t xml:space="preserve">Audiência oficial (coleta)</t>
  </si>
  <si>
    <t xml:space="preserve">2022 #1; 2025 #3; 2025 #1</t>
  </si>
  <si>
    <t xml:space="preserve">YPulse 2024-02 (13-17) #1; YPulse 2024-02 (18-24) #3; YPulse Media Consumption Monitor 2022-10 (Gen Z (faixa não explicitada; amostra 13-39)) #1; YPulse 2023-11 (13-17); YPulse 2023-11 (18-24); YPulse 2024-09 (Gen Z teens and young adults (faixa não explicitada)); YPulse 2025-02 (Gen Z (faixa não explicitada)); YPulse 2016-09 (teens (13-17 presumido; amostra 13-33)); UCLA Center for Scholars &amp; Storytellers 2025-10 (10-24) #1; UCLA Teens &amp; Screens 2023 2023-10 (10-24); Morning Consult 2022-12 (13-25) #6</t>
  </si>
  <si>
    <t xml:space="preserve">2020 (ano) #1; fev 2020 #2</t>
  </si>
  <si>
    <t xml:space="preserve">semana encerrada 19 jun 2022 #3 (United States); semana encerrada 17 jul 2022 #1 (United States); semana encerrada 24 jul 2022 #3 (United States)</t>
  </si>
  <si>
    <t xml:space="preserve">coral/antologia</t>
  </si>
  <si>
    <t xml:space="preserve">S030</t>
  </si>
  <si>
    <t xml:space="preserve">tt4574334</t>
  </si>
  <si>
    <t xml:space="preserve">S0002</t>
  </si>
  <si>
    <t xml:space="preserve">The Big Bang Theory</t>
  </si>
  <si>
    <t xml:space="preserve">CBS</t>
  </si>
  <si>
    <t xml:space="preserve">2009-10 #14; 2010-11 #14; 2011-12 #8; 2012-13 #3; 2013-14 #3; 2014-15 #2; 2015-16 #3; 2016-17 #1; 2017-18 #1; 2018-19 #2; 2023 #6; 2024 #7; 2025 #8</t>
  </si>
  <si>
    <t xml:space="preserve">Q1 2022 #21; Q2 2023 #25</t>
  </si>
  <si>
    <t xml:space="preserve">#92 hoje</t>
  </si>
  <si>
    <t xml:space="preserve">S021</t>
  </si>
  <si>
    <t xml:space="preserve">tt0898266</t>
  </si>
  <si>
    <t xml:space="preserve">S0003</t>
  </si>
  <si>
    <t xml:space="preserve">The Boys</t>
  </si>
  <si>
    <t xml:space="preserve">Prime Video</t>
  </si>
  <si>
    <t xml:space="preserve">2022 #11; 2024 #3</t>
  </si>
  <si>
    <t xml:space="preserve">YPulse 2024-02 (18-24) #8</t>
  </si>
  <si>
    <t xml:space="preserve">2020 (ano); ago 2020; fev 2021</t>
  </si>
  <si>
    <t xml:space="preserve">semana encerrada 19 jun 2022 #1 (United States); semana encerrada 17 jul 2022 #3 (United States); semana encerrada 24 jul 2022 #6 (United States); 2020 (ano) #1 (United States)</t>
  </si>
  <si>
    <t xml:space="preserve">Classificação alta — pistas suaves</t>
  </si>
  <si>
    <t xml:space="preserve">S024</t>
  </si>
  <si>
    <t xml:space="preserve">tt1190634</t>
  </si>
  <si>
    <t xml:space="preserve">S0004</t>
  </si>
  <si>
    <t xml:space="preserve">The Office</t>
  </si>
  <si>
    <t xml:space="preserve">NBC</t>
  </si>
  <si>
    <t xml:space="preserve">2020 #1</t>
  </si>
  <si>
    <t xml:space="preserve">YPulse 2020-05 (Gen Z (subgrupos 13-18 e 19-25 só em imagem)) #3</t>
  </si>
  <si>
    <t xml:space="preserve">S022</t>
  </si>
  <si>
    <t xml:space="preserve">tt0386676</t>
  </si>
  <si>
    <t xml:space="preserve">S0005</t>
  </si>
  <si>
    <t xml:space="preserve">Round 6</t>
  </si>
  <si>
    <t xml:space="preserve">Squid Game</t>
  </si>
  <si>
    <t xml:space="preserve">2021 #2; 2025 #2</t>
  </si>
  <si>
    <t xml:space="preserve">YPulse 2025-02 (Gen Z (faixa não explicitada)); YPulse 2025-09 (Gen Z (faixa não explicitada)); UCLA Teens &amp; Screens 2025 (top 25) 2025-10 (10-24)</t>
  </si>
  <si>
    <t xml:space="preserve">semana 18–24 out 2021 #2 (France); semana 25–31 out 2021 #3 (Italy); semana 1–7 nov 2021 #4 (Spain); semana 8–14 nov 2021 #5 (Germany); semana 15–21 nov 2021 #8 (France)</t>
  </si>
  <si>
    <t xml:space="preserve">claro</t>
  </si>
  <si>
    <t xml:space="preserve">S031</t>
  </si>
  <si>
    <t xml:space="preserve">tt10919420</t>
  </si>
  <si>
    <t xml:space="preserve">S0006</t>
  </si>
  <si>
    <t xml:space="preserve">The Walking Dead</t>
  </si>
  <si>
    <t xml:space="preserve">AMC</t>
  </si>
  <si>
    <t xml:space="preserve">YPulse Media Consumption Monitor 2022-10 (Gen Z (faixa não explicitada; amostra 13-39)) #5; YPulse 2017-10 (Gen Z (faixa não explicitada; amostra 13-35)); YPulse 2016-09 (teens (13-17 presumido; amostra 13-33)) #1</t>
  </si>
  <si>
    <t xml:space="preserve">09 fev–09 mar 2023 #4</t>
  </si>
  <si>
    <t xml:space="preserve">S028</t>
  </si>
  <si>
    <t xml:space="preserve">tt1520211</t>
  </si>
  <si>
    <t xml:space="preserve">S0007</t>
  </si>
  <si>
    <t xml:space="preserve">Game of Thrones</t>
  </si>
  <si>
    <t xml:space="preserve">HBO</t>
  </si>
  <si>
    <t xml:space="preserve">09 fev–09 mar 2023 #5</t>
  </si>
  <si>
    <t xml:space="preserve">S006, S025</t>
  </si>
  <si>
    <t xml:space="preserve">tt0944947</t>
  </si>
  <si>
    <t xml:space="preserve">S0008</t>
  </si>
  <si>
    <t xml:space="preserve">Chernobyl</t>
  </si>
  <si>
    <t xml:space="preserve">Curadoria</t>
  </si>
  <si>
    <t xml:space="preserve">Evento real</t>
  </si>
  <si>
    <t xml:space="preserve">Resgatada manualmente (lista aprovada em 13/10/2026); conferir ano e título no Brasil</t>
  </si>
  <si>
    <t xml:space="preserve">tt7366338</t>
  </si>
  <si>
    <t xml:space="preserve">S0009</t>
  </si>
  <si>
    <t xml:space="preserve">The Last of Us</t>
  </si>
  <si>
    <t xml:space="preserve">09 fev–09 mar 2023 #1</t>
  </si>
  <si>
    <t xml:space="preserve">dupla</t>
  </si>
  <si>
    <t xml:space="preserve">S026</t>
  </si>
  <si>
    <t xml:space="preserve">tt3581920</t>
  </si>
  <si>
    <t xml:space="preserve">S0010</t>
  </si>
  <si>
    <t xml:space="preserve">The Mandalorian</t>
  </si>
  <si>
    <t xml:space="preserve">Disney+</t>
  </si>
  <si>
    <t xml:space="preserve">2020 #13; 2020 #5; 2023 #8</t>
  </si>
  <si>
    <t xml:space="preserve">2020 (ano); nov 2020–jan 2021; 09 fev–09 mar 2023 #3</t>
  </si>
  <si>
    <t xml:space="preserve">2020 (ano) #1 (United States); 1 jan–30 nov 2023 #1 (United States)</t>
  </si>
  <si>
    <t xml:space="preserve">S027</t>
  </si>
  <si>
    <t xml:space="preserve">tt8111088</t>
  </si>
  <si>
    <t xml:space="preserve">S0011</t>
  </si>
  <si>
    <t xml:space="preserve">Better Call Saul</t>
  </si>
  <si>
    <t xml:space="preserve">tt3032476</t>
  </si>
  <si>
    <t xml:space="preserve">S0012</t>
  </si>
  <si>
    <t xml:space="preserve">Sherlock</t>
  </si>
  <si>
    <t xml:space="preserve">BBC One</t>
  </si>
  <si>
    <t xml:space="preserve">#148 hoje</t>
  </si>
  <si>
    <t xml:space="preserve">S019</t>
  </si>
  <si>
    <t xml:space="preserve">tt1475582</t>
  </si>
  <si>
    <t xml:space="preserve">S0013</t>
  </si>
  <si>
    <t xml:space="preserve">Breaking Bad</t>
  </si>
  <si>
    <t xml:space="preserve">S005, S011</t>
  </si>
  <si>
    <t xml:space="preserve">tt0903747</t>
  </si>
  <si>
    <t xml:space="preserve">S0014</t>
  </si>
  <si>
    <t xml:space="preserve">Attack on Titan</t>
  </si>
  <si>
    <t xml:space="preserve">MBS (anime)</t>
  </si>
  <si>
    <t xml:space="preserve">Q1 2022 #1</t>
  </si>
  <si>
    <t xml:space="preserve">#93 hoje</t>
  </si>
  <si>
    <t xml:space="preserve">conferir ano e título no Brasil</t>
  </si>
  <si>
    <t xml:space="preserve">tt2560140</t>
  </si>
  <si>
    <t xml:space="preserve">S0015</t>
  </si>
  <si>
    <t xml:space="preserve">True Detective</t>
  </si>
  <si>
    <t xml:space="preserve">#56 hoje</t>
  </si>
  <si>
    <t xml:space="preserve">tt2356777</t>
  </si>
  <si>
    <t xml:space="preserve">S0016</t>
  </si>
  <si>
    <t xml:space="preserve">Sobrenatural</t>
  </si>
  <si>
    <t xml:space="preserve">Supernatural</t>
  </si>
  <si>
    <t xml:space="preserve">The WB / The CW</t>
  </si>
  <si>
    <t xml:space="preserve">2020 #7; 2022 #11; 2022 #8; 2023 #10</t>
  </si>
  <si>
    <t xml:space="preserve">YPulse 2016-09 (teens (13-17 presumido; amostra 13-33))</t>
  </si>
  <si>
    <t xml:space="preserve">Q2 2023 #10</t>
  </si>
  <si>
    <t xml:space="preserve">#36 hoje</t>
  </si>
  <si>
    <t xml:space="preserve">S020</t>
  </si>
  <si>
    <t xml:space="preserve">tt0460681</t>
  </si>
  <si>
    <t xml:space="preserve">S0017</t>
  </si>
  <si>
    <t xml:space="preserve">Suits</t>
  </si>
  <si>
    <t xml:space="preserve">2023 #1</t>
  </si>
  <si>
    <t xml:space="preserve">#157 hoje</t>
  </si>
  <si>
    <t xml:space="preserve">tt1632701</t>
  </si>
  <si>
    <t xml:space="preserve">S0018</t>
  </si>
  <si>
    <t xml:space="preserve">Black Mirror</t>
  </si>
  <si>
    <t xml:space="preserve">Channel 4 / Netflix</t>
  </si>
  <si>
    <t xml:space="preserve">1 jan–30 nov 2023 #6 (United States)</t>
  </si>
  <si>
    <t xml:space="preserve">tt2085059</t>
  </si>
  <si>
    <t xml:space="preserve">S0019</t>
  </si>
  <si>
    <t xml:space="preserve">Wandinha</t>
  </si>
  <si>
    <t xml:space="preserve">Wednesday</t>
  </si>
  <si>
    <t xml:space="preserve">2022 #12; 2022 #3; 2025 #3</t>
  </si>
  <si>
    <t xml:space="preserve">UCLA Center for Scholars &amp; Storytellers 2025-10 (10-24) #2</t>
  </si>
  <si>
    <t xml:space="preserve">tt13443470</t>
  </si>
  <si>
    <t xml:space="preserve">S0020</t>
  </si>
  <si>
    <t xml:space="preserve">Rick e Morty</t>
  </si>
  <si>
    <t xml:space="preserve">Rick and Morty</t>
  </si>
  <si>
    <t xml:space="preserve">Adicionado por: Geração Z</t>
  </si>
  <si>
    <t xml:space="preserve">YPulse 2024-02 (18-24) #5; YPulse Media Consumption Monitor 2022-10 (Gen Z (faixa não explicitada; amostra 13-39)) #3; YPulse 2020-05 (13-18 e 19-25); YPulse 2017-10 (Gen Z (faixa não explicitada; amostra 13-35))</t>
  </si>
  <si>
    <t xml:space="preserve">#66 hoje</t>
  </si>
  <si>
    <t xml:space="preserve">tt2861424</t>
  </si>
  <si>
    <t xml:space="preserve">S0021</t>
  </si>
  <si>
    <t xml:space="preserve">Grey's Anatomy</t>
  </si>
  <si>
    <t xml:space="preserve">ABC</t>
  </si>
  <si>
    <t xml:space="preserve">2004-05 #8; 2005-06 #5; 2006-07 #7; 2007-08 #9; 2008-09 #10; 2009-10 #11; 2010-11 #17; 2011-12 #21; 2012-13 #18; 2013-14 #11; 2014-15 #17; 2015-16 #11; 2016-17 #16; 2017-18 #12; 2018-19 #20; 2019-20 #22; 2020 #2; 2021 #3; 2022 #6; 2022 #3; 2023 #4; 2024 #2; 2025 #2</t>
  </si>
  <si>
    <t xml:space="preserve">YPulse 2024-02 (13-17) #5; YPulse 2024-02 (18-24) #1; YPulse Media Consumption Monitor 2022-10 (Gen Z (faixa não explicitada; amostra 13-39)) #7; YPulse 2025-02 (Gen Z (faixa não explicitada)); YPulse 2018-10 (18-24)</t>
  </si>
  <si>
    <t xml:space="preserve">nov 2020–jan 2021; 2022 (ano) #6; Q1 2024</t>
  </si>
  <si>
    <t xml:space="preserve">S007</t>
  </si>
  <si>
    <t xml:space="preserve">tt0413573</t>
  </si>
  <si>
    <t xml:space="preserve">S0022</t>
  </si>
  <si>
    <t xml:space="preserve">Lucifer</t>
  </si>
  <si>
    <t xml:space="preserve">FOX / Netflix</t>
  </si>
  <si>
    <t xml:space="preserve">2020 #8; 2020 #2; 2021 #1</t>
  </si>
  <si>
    <t xml:space="preserve">ago 2020 #2</t>
  </si>
  <si>
    <t xml:space="preserve">semana 25–31 out 2021 #4 (Italy); semana 8–14 nov 2021 #1 (Germany); semana 15–21 nov 2021 #7 (France); 2020 (ano) #1 (United States)</t>
  </si>
  <si>
    <t xml:space="preserve">tt4052886</t>
  </si>
  <si>
    <t xml:space="preserve">S0023</t>
  </si>
  <si>
    <t xml:space="preserve">La Casa de Papel</t>
  </si>
  <si>
    <t xml:space="preserve">Money Heist (La casa de papel)</t>
  </si>
  <si>
    <t xml:space="preserve">2018 (ano) #1</t>
  </si>
  <si>
    <t xml:space="preserve">semana 29 nov–5 dez 2021 #1 (Spain)</t>
  </si>
  <si>
    <t xml:space="preserve">tt6468322</t>
  </si>
  <si>
    <t xml:space="preserve">S0024</t>
  </si>
  <si>
    <t xml:space="preserve">Dr. House</t>
  </si>
  <si>
    <t xml:space="preserve">House</t>
  </si>
  <si>
    <t xml:space="preserve">FOX</t>
  </si>
  <si>
    <t xml:space="preserve">2004-05 #23; 2005-06 #9; 2006-07 #8; 2007-08 #8; 2008-09 #17; 2009-10 #22</t>
  </si>
  <si>
    <t xml:space="preserve">#146 hoje</t>
  </si>
  <si>
    <t xml:space="preserve">S015</t>
  </si>
  <si>
    <t xml:space="preserve">tt0412142</t>
  </si>
  <si>
    <t xml:space="preserve">S0025</t>
  </si>
  <si>
    <t xml:space="preserve">Lost</t>
  </si>
  <si>
    <t xml:space="preserve">2004-05 #13; 2005-06 #18; 2006-07 #22; 2007-08 #20; 2008-09 #29; 2009-10 #24</t>
  </si>
  <si>
    <t xml:space="preserve">S016</t>
  </si>
  <si>
    <t xml:space="preserve">tt0411008</t>
  </si>
  <si>
    <t xml:space="preserve">S0026</t>
  </si>
  <si>
    <t xml:space="preserve">Ozark</t>
  </si>
  <si>
    <t xml:space="preserve">2020 #4; 2020 #1; 2022 #4; 2022 #2</t>
  </si>
  <si>
    <t xml:space="preserve">semana 17–23 jan 2022 #4 (Germany); semana 17–23 jan 2022 #1 (United States); semana encerrada 20 fev 2022 #6 (United States); semana encerrada 19 jun 2022 #10 (United States); 2020 (ano) #3 (United States)</t>
  </si>
  <si>
    <t xml:space="preserve">tt5071412</t>
  </si>
  <si>
    <t xml:space="preserve">S0027</t>
  </si>
  <si>
    <t xml:space="preserve">The Witcher</t>
  </si>
  <si>
    <t xml:space="preserve">2021 #15</t>
  </si>
  <si>
    <t xml:space="preserve">fev 2020 #3</t>
  </si>
  <si>
    <t xml:space="preserve">semana 3–9 jan 2022 #2 (United States); 1 jan–30 nov 2023 #10 (United States)</t>
  </si>
  <si>
    <t xml:space="preserve">tt5180504</t>
  </si>
  <si>
    <t xml:space="preserve">S0028</t>
  </si>
  <si>
    <t xml:space="preserve">Fallout</t>
  </si>
  <si>
    <t xml:space="preserve">2024 #5</t>
  </si>
  <si>
    <t xml:space="preserve">semana encerrada 12 mai 2024 #5 (United States)</t>
  </si>
  <si>
    <t xml:space="preserve">tt12637874</t>
  </si>
  <si>
    <t xml:space="preserve">S0029</t>
  </si>
  <si>
    <t xml:space="preserve">Dexter</t>
  </si>
  <si>
    <t xml:space="preserve">Showtime</t>
  </si>
  <si>
    <t xml:space="preserve">S012</t>
  </si>
  <si>
    <t xml:space="preserve">tt0773262</t>
  </si>
  <si>
    <t xml:space="preserve">S0030</t>
  </si>
  <si>
    <t xml:space="preserve">Reacher</t>
  </si>
  <si>
    <t xml:space="preserve">2024 #10; 2025 #5</t>
  </si>
  <si>
    <t xml:space="preserve">YPulse 2024-02 (18-24) #10</t>
  </si>
  <si>
    <t xml:space="preserve">semana encerrada 20 fev 2022 #7 (United States)</t>
  </si>
  <si>
    <t xml:space="preserve">tt9288030</t>
  </si>
  <si>
    <t xml:space="preserve">S0031</t>
  </si>
  <si>
    <t xml:space="preserve">Peaky Blinders: Sangue, Apostas e Navalhas</t>
  </si>
  <si>
    <t xml:space="preserve">Peaky Blinders</t>
  </si>
  <si>
    <t xml:space="preserve">BBC Two / BBC One</t>
  </si>
  <si>
    <t xml:space="preserve">Resgatada manualmente (lista aprovada em 13/10/2026)</t>
  </si>
  <si>
    <t xml:space="preserve">S017</t>
  </si>
  <si>
    <t xml:space="preserve">tt2442560</t>
  </si>
  <si>
    <t xml:space="preserve">S0032</t>
  </si>
  <si>
    <t xml:space="preserve">Prison Break</t>
  </si>
  <si>
    <t xml:space="preserve">tt0455275</t>
  </si>
  <si>
    <t xml:space="preserve">S0033</t>
  </si>
  <si>
    <t xml:space="preserve">How I Met Your Mother</t>
  </si>
  <si>
    <t xml:space="preserve">2013-14 #28</t>
  </si>
  <si>
    <t xml:space="preserve">tt0460649</t>
  </si>
  <si>
    <t xml:space="preserve">S0034</t>
  </si>
  <si>
    <t xml:space="preserve">WandaVision</t>
  </si>
  <si>
    <t xml:space="preserve">2021 #14</t>
  </si>
  <si>
    <t xml:space="preserve">2021 (ano) #1; fev 2021 #1; ago 2021; fev 2022</t>
  </si>
  <si>
    <t xml:space="preserve">19–21 mar 2021 #4 (Germany); 19–21 mar 2021 #5 (Italy); 19–21 mar 2021 #4 (Spain)</t>
  </si>
  <si>
    <t xml:space="preserve">tt9140560</t>
  </si>
  <si>
    <t xml:space="preserve">S0035</t>
  </si>
  <si>
    <t xml:space="preserve">Você</t>
  </si>
  <si>
    <t xml:space="preserve">You</t>
  </si>
  <si>
    <t xml:space="preserve">Lifetime / Netflix</t>
  </si>
  <si>
    <t xml:space="preserve">2020 #20; 2021 #6</t>
  </si>
  <si>
    <t xml:space="preserve">semana 18–24 out 2021 #1 (France); semana 25–31 out 2021 #2 (Italy); semana 1–7 nov 2021 #1 (Spain); semana 8–14 nov 2021 #2 (Germany); semana 15–21 nov 2021 #3 (France); semana 22–28 nov 2021 #5 (Italy); semana 29 nov–5 dez 2021 #6 (Spain); 2020 (ano) #4 (United States); 1 jan–30 nov 2023 #4 (United States)</t>
  </si>
  <si>
    <t xml:space="preserve">tt7335184</t>
  </si>
  <si>
    <t xml:space="preserve">S0036</t>
  </si>
  <si>
    <t xml:space="preserve">Vikings</t>
  </si>
  <si>
    <t xml:space="preserve">History</t>
  </si>
  <si>
    <t xml:space="preserve">tt2306299</t>
  </si>
  <si>
    <t xml:space="preserve">S0037</t>
  </si>
  <si>
    <t xml:space="preserve">Cobra Kai</t>
  </si>
  <si>
    <t xml:space="preserve">YouTube Red / Netflix</t>
  </si>
  <si>
    <t xml:space="preserve">2021 #7; 2022 #14; 2022 #4</t>
  </si>
  <si>
    <t xml:space="preserve">YPulse Media Consumption Monitor 2022-10 (Gen Z (faixa não explicitada; amostra 13-39)) #2</t>
  </si>
  <si>
    <t xml:space="preserve">semana 3–9 jan 2022 #1 (United States)</t>
  </si>
  <si>
    <t xml:space="preserve">tt7221388</t>
  </si>
  <si>
    <t xml:space="preserve">S0038</t>
  </si>
  <si>
    <t xml:space="preserve">A Casa do Dragão</t>
  </si>
  <si>
    <t xml:space="preserve">House of the Dragon</t>
  </si>
  <si>
    <t xml:space="preserve">#27 hoje</t>
  </si>
  <si>
    <t xml:space="preserve">S009</t>
  </si>
  <si>
    <t xml:space="preserve">tt11198330</t>
  </si>
  <si>
    <t xml:space="preserve">S0039</t>
  </si>
  <si>
    <t xml:space="preserve">Criminal Minds</t>
  </si>
  <si>
    <t xml:space="preserve">2005-06 #27; 2006-07 #18; 2007-08 #18; 2008-09 #11; 2009-10 #14; 2010-11 #10; 2011-12 #13; 2012-13 #17; 2013-14 #13; 2014-15 #8; 2015-16 #13; 2016-17 #17; 2017-18 #25; 2020 #3; 2021 #1; 2022 #7; 2022 #4; 2024 #9; 2025 #10</t>
  </si>
  <si>
    <t xml:space="preserve">#67 hoje</t>
  </si>
  <si>
    <t xml:space="preserve">tt0452046</t>
  </si>
  <si>
    <t xml:space="preserve">S0040</t>
  </si>
  <si>
    <t xml:space="preserve">Bridgerton</t>
  </si>
  <si>
    <t xml:space="preserve">2021 #5; 2022 #5; 2024 #1</t>
  </si>
  <si>
    <t xml:space="preserve">2021 (ano); ago 2021</t>
  </si>
  <si>
    <t xml:space="preserve">tt8740790</t>
  </si>
  <si>
    <t xml:space="preserve">S0041</t>
  </si>
  <si>
    <t xml:space="preserve">O Mentalista</t>
  </si>
  <si>
    <t xml:space="preserve">The Mentalist</t>
  </si>
  <si>
    <t xml:space="preserve">2008-09 #6; 2009-10 #6; 2010-11 #8; 2011-12 #9; 2012-13 #18; 2013-14 #23; 2014-15 #25</t>
  </si>
  <si>
    <t xml:space="preserve">tt1196946</t>
  </si>
  <si>
    <t xml:space="preserve">S0042</t>
  </si>
  <si>
    <t xml:space="preserve">O Conto da Aia</t>
  </si>
  <si>
    <t xml:space="preserve">The Handmaid's Tale</t>
  </si>
  <si>
    <t xml:space="preserve">2021 #10</t>
  </si>
  <si>
    <t xml:space="preserve">2020 (ano) #2 (United States)</t>
  </si>
  <si>
    <t xml:space="preserve">#28 hoje</t>
  </si>
  <si>
    <t xml:space="preserve">tt5834204</t>
  </si>
  <si>
    <t xml:space="preserve">S0043</t>
  </si>
  <si>
    <t xml:space="preserve">Dark</t>
  </si>
  <si>
    <t xml:space="preserve">Netflix (Alemanha)</t>
  </si>
  <si>
    <t xml:space="preserve">ago 2020 #3</t>
  </si>
  <si>
    <t xml:space="preserve">tt5753856</t>
  </si>
  <si>
    <t xml:space="preserve">S0044</t>
  </si>
  <si>
    <t xml:space="preserve">Euphoria</t>
  </si>
  <si>
    <t xml:space="preserve">YPulse Media Consumption Monitor 2022-10 (Gen Z (faixa não explicitada; amostra 13-39)) #6</t>
  </si>
  <si>
    <t xml:space="preserve">S003</t>
  </si>
  <si>
    <t xml:space="preserve">tt8772296</t>
  </si>
  <si>
    <t xml:space="preserve">S0045</t>
  </si>
  <si>
    <t xml:space="preserve">The Umbrella Academy</t>
  </si>
  <si>
    <t xml:space="preserve">2020 #16; 2022 #13</t>
  </si>
  <si>
    <t xml:space="preserve">ago 2020 #1; fev 2021</t>
  </si>
  <si>
    <t xml:space="preserve">semana encerrada 17 jul 2022 #5 (United States); semana encerrada 24 jul 2022 #5 (United States); 2020 (ano) #2 (United States)</t>
  </si>
  <si>
    <t xml:space="preserve">tt1312171</t>
  </si>
  <si>
    <t xml:space="preserve">S0046</t>
  </si>
  <si>
    <t xml:space="preserve">Loki</t>
  </si>
  <si>
    <t xml:space="preserve">ago 2021 #1</t>
  </si>
  <si>
    <t xml:space="preserve">1 jan–30 nov 2023 #2 (United States)</t>
  </si>
  <si>
    <t xml:space="preserve">tt9140554</t>
  </si>
  <si>
    <t xml:space="preserve">S0047</t>
  </si>
  <si>
    <t xml:space="preserve">O Gambito da Rainha</t>
  </si>
  <si>
    <t xml:space="preserve">The Queen's Gambit</t>
  </si>
  <si>
    <t xml:space="preserve">tt10048342</t>
  </si>
  <si>
    <t xml:space="preserve">S0048</t>
  </si>
  <si>
    <t xml:space="preserve">Pessoa de Interesse</t>
  </si>
  <si>
    <t xml:space="preserve">Person of Interest</t>
  </si>
  <si>
    <t xml:space="preserve">2011-12 #12; 2012-13 #5; 2013-14 #7; 2014-15 #20</t>
  </si>
  <si>
    <t xml:space="preserve">#80 hoje</t>
  </si>
  <si>
    <t xml:space="preserve">tt1839578</t>
  </si>
  <si>
    <t xml:space="preserve">S0049</t>
  </si>
  <si>
    <t xml:space="preserve">The Vampire Diaries</t>
  </si>
  <si>
    <t xml:space="preserve">The CW</t>
  </si>
  <si>
    <t xml:space="preserve">2020 #15</t>
  </si>
  <si>
    <t xml:space="preserve">S023</t>
  </si>
  <si>
    <t xml:space="preserve">tt1405406</t>
  </si>
  <si>
    <t xml:space="preserve">S0050</t>
  </si>
  <si>
    <t xml:space="preserve">Ginny &amp; Georgia</t>
  </si>
  <si>
    <t xml:space="preserve">2023 #3; 2025 #6</t>
  </si>
  <si>
    <t xml:space="preserve">YPulse 2024-02 (13-17) #9</t>
  </si>
  <si>
    <t xml:space="preserve">19–21 mar 2021 #4 (France); 19–21 mar 2021 #4 (Italy)</t>
  </si>
  <si>
    <t xml:space="preserve">tt10813940</t>
  </si>
  <si>
    <t xml:space="preserve">S0051</t>
  </si>
  <si>
    <t xml:space="preserve">This Is Us</t>
  </si>
  <si>
    <t xml:space="preserve">2016-17 #6; 2017-18 #4; 2018-19 #6; 2019-20 #8</t>
  </si>
  <si>
    <t xml:space="preserve">YPulse 2018-10 (13-17) #1; YPulse 2018-10 (18-24) #1</t>
  </si>
  <si>
    <t xml:space="preserve">tt5555260</t>
  </si>
  <si>
    <t xml:space="preserve">S0052</t>
  </si>
  <si>
    <t xml:space="preserve">Jovem Sheldon</t>
  </si>
  <si>
    <t xml:space="preserve">Young Sheldon</t>
  </si>
  <si>
    <t xml:space="preserve">2017-18 #6; 2018-19 #4; 2019-20 #9; 2024 #6</t>
  </si>
  <si>
    <t xml:space="preserve">YPulse 2024-02 (13-17) #2; YPulse 2024-02 (18-24) #4</t>
  </si>
  <si>
    <t xml:space="preserve">tt6226232</t>
  </si>
  <si>
    <t xml:space="preserve">S0053</t>
  </si>
  <si>
    <t xml:space="preserve">Heroes</t>
  </si>
  <si>
    <t xml:space="preserve">2006-07 #23; 2007-08 #22</t>
  </si>
  <si>
    <t xml:space="preserve">tt0813715</t>
  </si>
  <si>
    <t xml:space="preserve">S0054</t>
  </si>
  <si>
    <t xml:space="preserve">Outer Banks</t>
  </si>
  <si>
    <t xml:space="preserve">2021 #11; 2023 #9</t>
  </si>
  <si>
    <t xml:space="preserve">YPulse Media Consumption Monitor 2022-10 (Gen Z (faixa não explicitada; amostra 13-39)) #4; YPulse 2023-04 (Gen Z (faixa não explicitada)) #1; YPulse 2025-02 (Gen Z (faixa não explicitada)); YPulse 2020-05 (Gen Z (subgrupos 13-18 e 19-25 só em imagem)) #1</t>
  </si>
  <si>
    <t xml:space="preserve">tt10293938</t>
  </si>
  <si>
    <t xml:space="preserve">S0055</t>
  </si>
  <si>
    <t xml:space="preserve">Bob's Burgers</t>
  </si>
  <si>
    <t xml:space="preserve">2024 #4; 2025 #6</t>
  </si>
  <si>
    <t xml:space="preserve">YPulse 2024-02 (13-17) #8</t>
  </si>
  <si>
    <t xml:space="preserve">tt1561755</t>
  </si>
  <si>
    <t xml:space="preserve">S0056</t>
  </si>
  <si>
    <t xml:space="preserve">Avatar: A Lenda de Aang</t>
  </si>
  <si>
    <t xml:space="preserve">Avatar: The Last Airbender</t>
  </si>
  <si>
    <t xml:space="preserve">Nickelodeon</t>
  </si>
  <si>
    <t xml:space="preserve">semana encerrada 17 mar 2024 #8 (United States)</t>
  </si>
  <si>
    <t xml:space="preserve">S002</t>
  </si>
  <si>
    <t xml:space="preserve">tt0417299</t>
  </si>
  <si>
    <t xml:space="preserve">S0057</t>
  </si>
  <si>
    <t xml:space="preserve">tt3107288</t>
  </si>
  <si>
    <t xml:space="preserve">S0058</t>
  </si>
  <si>
    <t xml:space="preserve">Amigos</t>
  </si>
  <si>
    <t xml:space="preserve">Friends</t>
  </si>
  <si>
    <t xml:space="preserve">2001-02 #1; 2002-03 #2; 2003-04 #4; 2022 #11; 2023 #8</t>
  </si>
  <si>
    <t xml:space="preserve">tt0315608</t>
  </si>
  <si>
    <t xml:space="preserve">S0059</t>
  </si>
  <si>
    <t xml:space="preserve">American Horror Story</t>
  </si>
  <si>
    <t xml:space="preserve">FX</t>
  </si>
  <si>
    <t xml:space="preserve">2023 (ano)</t>
  </si>
  <si>
    <t xml:space="preserve">tt1844624</t>
  </si>
  <si>
    <t xml:space="preserve">S0060</t>
  </si>
  <si>
    <t xml:space="preserve">Virgin River</t>
  </si>
  <si>
    <t xml:space="preserve">2021 #4; 2022 #6; 2023 #4</t>
  </si>
  <si>
    <t xml:space="preserve">semana encerrada 24 jul 2022 #1 (United States); semana encerrada 14 ago 2022 #7 (United States)</t>
  </si>
  <si>
    <t xml:space="preserve">tt9077530</t>
  </si>
  <si>
    <t xml:space="preserve">S0061</t>
  </si>
  <si>
    <t xml:space="preserve">O Último Reino</t>
  </si>
  <si>
    <t xml:space="preserve">The Last Kingdom</t>
  </si>
  <si>
    <t xml:space="preserve">2022 #14</t>
  </si>
  <si>
    <t xml:space="preserve">semana encerrada 20 mar 2022 #2 (United States)</t>
  </si>
  <si>
    <t xml:space="preserve">tt4179452</t>
  </si>
  <si>
    <t xml:space="preserve">S0062</t>
  </si>
  <si>
    <t xml:space="preserve">Bluey</t>
  </si>
  <si>
    <t xml:space="preserve">2022 #8; 2022 #5; 2023 #2; 2024 #1; 2025 #1</t>
  </si>
  <si>
    <t xml:space="preserve">YPulse 2025-02 (Gen Z (faixa não explicitada))</t>
  </si>
  <si>
    <t xml:space="preserve">tt7678620</t>
  </si>
  <si>
    <t xml:space="preserve">S0063</t>
  </si>
  <si>
    <t xml:space="preserve">Inventando Anna</t>
  </si>
  <si>
    <t xml:space="preserve">Inventing Anna</t>
  </si>
  <si>
    <t xml:space="preserve">2022 #9</t>
  </si>
  <si>
    <t xml:space="preserve">semana encerrada 20 fev 2022 #3 (United States); semana encerrada 6 mar 2022 #6 (United States)</t>
  </si>
  <si>
    <t xml:space="preserve">tt8740976</t>
  </si>
  <si>
    <t xml:space="preserve">S0064</t>
  </si>
  <si>
    <t xml:space="preserve">Maid</t>
  </si>
  <si>
    <t xml:space="preserve">2021 #13</t>
  </si>
  <si>
    <t xml:space="preserve">semana 25–31 out 2021 #6 (Italy); semana 1–7 nov 2021 #5 (Spain)</t>
  </si>
  <si>
    <t xml:space="preserve">tt11337908</t>
  </si>
  <si>
    <t xml:space="preserve">S0065</t>
  </si>
  <si>
    <t xml:space="preserve">O Urso</t>
  </si>
  <si>
    <t xml:space="preserve">The Bear</t>
  </si>
  <si>
    <t xml:space="preserve">FX / Hulu</t>
  </si>
  <si>
    <t xml:space="preserve">semana encerrada 17 jul 2022 #10 (United States); semana encerrada 24 jul 2022 #10 (United States); 1 jan–30 nov 2023 #8 (United States)</t>
  </si>
  <si>
    <t xml:space="preserve">tt14452776</t>
  </si>
  <si>
    <t xml:space="preserve">S0066</t>
  </si>
  <si>
    <t xml:space="preserve">Orange Is the New Black</t>
  </si>
  <si>
    <t xml:space="preserve">tt2372162</t>
  </si>
  <si>
    <t xml:space="preserve">S0067</t>
  </si>
  <si>
    <t xml:space="preserve">Evil: Contatos Sobrenaturais</t>
  </si>
  <si>
    <t xml:space="preserve">Evil</t>
  </si>
  <si>
    <t xml:space="preserve">tt9055008</t>
  </si>
  <si>
    <t xml:space="preserve">S0068</t>
  </si>
  <si>
    <t xml:space="preserve">I Will Find You</t>
  </si>
  <si>
    <t xml:space="preserve">tt34771210</t>
  </si>
  <si>
    <t xml:space="preserve">S0069</t>
  </si>
  <si>
    <t xml:space="preserve">Gossip Girl: A Garota do Blog</t>
  </si>
  <si>
    <t xml:space="preserve">Gossip Girl</t>
  </si>
  <si>
    <t xml:space="preserve">semana 29 nov–5 dez 2021 #9 (Spain)</t>
  </si>
  <si>
    <t xml:space="preserve">S014</t>
  </si>
  <si>
    <t xml:space="preserve">tt0397442</t>
  </si>
  <si>
    <t xml:space="preserve">S0070</t>
  </si>
  <si>
    <t xml:space="preserve">Gavião Arqueiro</t>
  </si>
  <si>
    <t xml:space="preserve">Hawkeye</t>
  </si>
  <si>
    <t xml:space="preserve">Adicionado por: Parrot Analytics (Brasil)</t>
  </si>
  <si>
    <t xml:space="preserve">fev 2022</t>
  </si>
  <si>
    <t xml:space="preserve">semana 22–28 nov 2021 #2 (Italy); semana 29 nov–5 dez 2021 #2 (Spain); semana 22–28 nov 2021 #1 (United States)</t>
  </si>
  <si>
    <t xml:space="preserve">tt10160804</t>
  </si>
  <si>
    <t xml:space="preserve">S0071</t>
  </si>
  <si>
    <t xml:space="preserve">Silo</t>
  </si>
  <si>
    <t xml:space="preserve">1 jan–30 nov 2023 #15 (United States)</t>
  </si>
  <si>
    <t xml:space="preserve">tt14688458</t>
  </si>
  <si>
    <t xml:space="preserve">S0072</t>
  </si>
  <si>
    <t xml:space="preserve">SEAL Team: Soldados de Elite</t>
  </si>
  <si>
    <t xml:space="preserve">SEAL Team</t>
  </si>
  <si>
    <t xml:space="preserve">2017-18 #23</t>
  </si>
  <si>
    <t xml:space="preserve">#53 hoje</t>
  </si>
  <si>
    <t xml:space="preserve">tt6473344</t>
  </si>
  <si>
    <t xml:space="preserve">S0073</t>
  </si>
  <si>
    <t xml:space="preserve">O Livro de Boba Fett</t>
  </si>
  <si>
    <t xml:space="preserve">The Book of Boba Fett</t>
  </si>
  <si>
    <t xml:space="preserve">fev 2022 #1</t>
  </si>
  <si>
    <t xml:space="preserve">semana 17–23 jan 2022 #1 (Germany); semana 3–9 jan 2022 #3 (United States); semana 17–23 jan 2022 #2 (United States)</t>
  </si>
  <si>
    <t xml:space="preserve">tt13668894</t>
  </si>
  <si>
    <t xml:space="preserve">S0074</t>
  </si>
  <si>
    <t xml:space="preserve">semana encerrada 17 mar 2024 #6 (United States)</t>
  </si>
  <si>
    <t xml:space="preserve">tt13210838</t>
  </si>
  <si>
    <t xml:space="preserve">S0075</t>
  </si>
  <si>
    <t xml:space="preserve">Pacificador</t>
  </si>
  <si>
    <t xml:space="preserve">Peacemaker</t>
  </si>
  <si>
    <t xml:space="preserve">fev 2022 #3</t>
  </si>
  <si>
    <t xml:space="preserve">semana 17–23 jan 2022 #3 (United States); semana encerrada 20 fev 2022 #2 (United States)</t>
  </si>
  <si>
    <t xml:space="preserve">tt13146488</t>
  </si>
  <si>
    <t xml:space="preserve">S0076</t>
  </si>
  <si>
    <t xml:space="preserve">The Expanse</t>
  </si>
  <si>
    <t xml:space="preserve">semana 17–23 jan 2022 #10 (Germany); 2020 (ano) #4 (United States)</t>
  </si>
  <si>
    <t xml:space="preserve">#117 hoje</t>
  </si>
  <si>
    <t xml:space="preserve">tt3230854</t>
  </si>
  <si>
    <t xml:space="preserve">S0077</t>
  </si>
  <si>
    <t xml:space="preserve">The Rookie</t>
  </si>
  <si>
    <t xml:space="preserve">YPulse 2025-09 (Gen Z (faixa não explicitada))</t>
  </si>
  <si>
    <t xml:space="preserve">tt7587890</t>
  </si>
  <si>
    <t xml:space="preserve">S0078</t>
  </si>
  <si>
    <t xml:space="preserve">Star Trek: Strange New Worlds</t>
  </si>
  <si>
    <t xml:space="preserve">semana encerrada 19 jun 2022 #8 (United States)</t>
  </si>
  <si>
    <t xml:space="preserve">#42 hoje</t>
  </si>
  <si>
    <t xml:space="preserve">tt12327578</t>
  </si>
  <si>
    <t xml:space="preserve">S0079</t>
  </si>
  <si>
    <t xml:space="preserve">Heartstopper</t>
  </si>
  <si>
    <t xml:space="preserve">tt10638036</t>
  </si>
  <si>
    <t xml:space="preserve">S0080</t>
  </si>
  <si>
    <t xml:space="preserve">O Verão que Mudou Minha Vida</t>
  </si>
  <si>
    <t xml:space="preserve">The Summer I Turned Pretty</t>
  </si>
  <si>
    <t xml:space="preserve">YPulse 2023-11 (18-24); YPulse 2025-09 (Gen Z (faixa não explicitada)); UCLA Teens &amp; Screens 2023 2023-10 (10-24)</t>
  </si>
  <si>
    <t xml:space="preserve">semana encerrada 19 jun 2022 #9 (United States)</t>
  </si>
  <si>
    <t xml:space="preserve">tt14016500</t>
  </si>
  <si>
    <t xml:space="preserve">S0081</t>
  </si>
  <si>
    <t xml:space="preserve">X-Men '97</t>
  </si>
  <si>
    <t xml:space="preserve">semana encerrada 12 mai 2024 #1 (United States)</t>
  </si>
  <si>
    <t xml:space="preserve">tt16026746</t>
  </si>
  <si>
    <t xml:space="preserve">S0082</t>
  </si>
  <si>
    <t xml:space="preserve">Abbott Elementary</t>
  </si>
  <si>
    <t xml:space="preserve">YPulse 2024-02 (18-24) #9</t>
  </si>
  <si>
    <t xml:space="preserve">tt14218830</t>
  </si>
  <si>
    <t xml:space="preserve">S0083</t>
  </si>
  <si>
    <t xml:space="preserve">Percy Jackson e os Olimpianos</t>
  </si>
  <si>
    <t xml:space="preserve">Percy Jackson and the Olympians</t>
  </si>
  <si>
    <t xml:space="preserve">YPulse 2024-02 (13-17) #4</t>
  </si>
  <si>
    <t xml:space="preserve">tt12324366</t>
  </si>
  <si>
    <t xml:space="preserve">S0084</t>
  </si>
  <si>
    <t xml:space="preserve">iCarly</t>
  </si>
  <si>
    <t xml:space="preserve">YPulse 2023-11 (18-24)</t>
  </si>
  <si>
    <t xml:space="preserve">S010</t>
  </si>
  <si>
    <t xml:space="preserve">tt0972534</t>
  </si>
  <si>
    <t xml:space="preserve">Tipo</t>
  </si>
  <si>
    <t xml:space="preserve">Nº de bases</t>
  </si>
  <si>
    <t xml:space="preserve">Bases em que aparece</t>
  </si>
  <si>
    <t xml:space="preserve">Motivo</t>
  </si>
  <si>
    <t xml:space="preserve">Filme</t>
  </si>
  <si>
    <t xml:space="preserve">Os Suspeitos</t>
  </si>
  <si>
    <t xml:space="preserve">Prisoners</t>
  </si>
  <si>
    <t xml:space="preserve">IMDb, JustWatch</t>
  </si>
  <si>
    <t xml:space="preserve">aparece em 2 base(s); mínimo 3 e sem selo Geração Z</t>
  </si>
  <si>
    <t xml:space="preserve">tt1392214</t>
  </si>
  <si>
    <t xml:space="preserve">Entre Facas e Segredos</t>
  </si>
  <si>
    <t xml:space="preserve">Knives Out</t>
  </si>
  <si>
    <t xml:space="preserve">IMDb, Letterboxd</t>
  </si>
  <si>
    <t xml:space="preserve">tt8946378</t>
  </si>
  <si>
    <t xml:space="preserve">A Chegada</t>
  </si>
  <si>
    <t xml:space="preserve">Arrival</t>
  </si>
  <si>
    <t xml:space="preserve">tt2543164</t>
  </si>
  <si>
    <t xml:space="preserve">Corra!</t>
  </si>
  <si>
    <t xml:space="preserve">Get Out</t>
  </si>
  <si>
    <t xml:space="preserve">tt5052448</t>
  </si>
  <si>
    <t xml:space="preserve">Dunkirk</t>
  </si>
  <si>
    <t xml:space="preserve">tt5013056</t>
  </si>
  <si>
    <t xml:space="preserve">Homem-Aranha: No Aranhaverso</t>
  </si>
  <si>
    <t xml:space="preserve">Spider-Man: Into the Spider-Verse</t>
  </si>
  <si>
    <t xml:space="preserve">tt4633694</t>
  </si>
  <si>
    <t xml:space="preserve">La La Land - Cantando Estações</t>
  </si>
  <si>
    <t xml:space="preserve">La La Land</t>
  </si>
  <si>
    <t xml:space="preserve">tt3783958</t>
  </si>
  <si>
    <t xml:space="preserve">Blade Runner 2049</t>
  </si>
  <si>
    <t xml:space="preserve">tt1856101</t>
  </si>
  <si>
    <t xml:space="preserve">Viva: A Vida é uma Festa</t>
  </si>
  <si>
    <t xml:space="preserve">Coco</t>
  </si>
  <si>
    <t xml:space="preserve">tt2380307</t>
  </si>
  <si>
    <t xml:space="preserve">Em Ritmo de Fuga</t>
  </si>
  <si>
    <t xml:space="preserve">Baby Driver</t>
  </si>
  <si>
    <t xml:space="preserve">tt3890160</t>
  </si>
  <si>
    <t xml:space="preserve">Um Lugar Silencioso</t>
  </si>
  <si>
    <t xml:space="preserve">A Quiet Place</t>
  </si>
  <si>
    <t xml:space="preserve">tt6644200</t>
  </si>
  <si>
    <t xml:space="preserve">Tudo em Todo Lugar ao Mesmo Tempo</t>
  </si>
  <si>
    <t xml:space="preserve">Everything Everywhere All at Once</t>
  </si>
  <si>
    <t xml:space="preserve">tt6710474</t>
  </si>
  <si>
    <t xml:space="preserve">Fragmentado</t>
  </si>
  <si>
    <t xml:space="preserve">Split</t>
  </si>
  <si>
    <t xml:space="preserve">tt4972582</t>
  </si>
  <si>
    <t xml:space="preserve">Três Anúncios para um Crime</t>
  </si>
  <si>
    <t xml:space="preserve">Three Billboards Outside Ebbing, Missouri</t>
  </si>
  <si>
    <t xml:space="preserve">tt5027774</t>
  </si>
  <si>
    <t xml:space="preserve">Ford vs. Ferrari</t>
  </si>
  <si>
    <t xml:space="preserve">Ford v Ferrari</t>
  </si>
  <si>
    <t xml:space="preserve">tt1950186</t>
  </si>
  <si>
    <t xml:space="preserve">John Wick: Um Novo Dia para Matar</t>
  </si>
  <si>
    <t xml:space="preserve">John Wick: Chapter 2</t>
  </si>
  <si>
    <t xml:space="preserve">tt4425200</t>
  </si>
  <si>
    <t xml:space="preserve">Filhos da Esperança</t>
  </si>
  <si>
    <t xml:space="preserve">Children of Men</t>
  </si>
  <si>
    <t xml:space="preserve">tt0206634</t>
  </si>
  <si>
    <t xml:space="preserve">Jogador Nº 1</t>
  </si>
  <si>
    <t xml:space="preserve">Ready Player One</t>
  </si>
  <si>
    <t xml:space="preserve">tt1677720</t>
  </si>
  <si>
    <t xml:space="preserve">Trem-Bala</t>
  </si>
  <si>
    <t xml:space="preserve">Bullet Train</t>
  </si>
  <si>
    <t xml:space="preserve">tt12593682</t>
  </si>
  <si>
    <t xml:space="preserve">Glass Onion: Um Mistério Knives Out</t>
  </si>
  <si>
    <t xml:space="preserve">Glass Onion</t>
  </si>
  <si>
    <t xml:space="preserve">tt11564570</t>
  </si>
  <si>
    <t xml:space="preserve">Midsommar: O Mal Não Espera a Noite</t>
  </si>
  <si>
    <t xml:space="preserve">Midsommar</t>
  </si>
  <si>
    <t xml:space="preserve">tt8772262</t>
  </si>
  <si>
    <t xml:space="preserve">Jojo Rabbit</t>
  </si>
  <si>
    <t xml:space="preserve">tt2584384</t>
  </si>
  <si>
    <t xml:space="preserve">John Wick 3: Parabellum</t>
  </si>
  <si>
    <t xml:space="preserve">John Wick: Chapter 3 - Parabellum</t>
  </si>
  <si>
    <t xml:space="preserve">tt6146586</t>
  </si>
  <si>
    <t xml:space="preserve">Liga da Justiça de Zack Snyder</t>
  </si>
  <si>
    <t xml:space="preserve">Zack Snyder's Justice League</t>
  </si>
  <si>
    <t xml:space="preserve">tt12361974</t>
  </si>
  <si>
    <t xml:space="preserve">A Forma da Água</t>
  </si>
  <si>
    <t xml:space="preserve">The Shape of Water</t>
  </si>
  <si>
    <t xml:space="preserve">tt5580390</t>
  </si>
  <si>
    <t xml:space="preserve">O Irlandês</t>
  </si>
  <si>
    <t xml:space="preserve">The Irishman</t>
  </si>
  <si>
    <t xml:space="preserve">tt1302006</t>
  </si>
  <si>
    <t xml:space="preserve">A Culpa é das Estrelas</t>
  </si>
  <si>
    <t xml:space="preserve">The Fault in Our Stars</t>
  </si>
  <si>
    <t xml:space="preserve">Público BR, IMDb</t>
  </si>
  <si>
    <t xml:space="preserve">tt2582846</t>
  </si>
  <si>
    <t xml:space="preserve">Soul</t>
  </si>
  <si>
    <t xml:space="preserve">tt2948372</t>
  </si>
  <si>
    <t xml:space="preserve">Atração Perigosa</t>
  </si>
  <si>
    <t xml:space="preserve">The Town</t>
  </si>
  <si>
    <t xml:space="preserve">tt0840361</t>
  </si>
  <si>
    <t xml:space="preserve">Nasce uma Estrela</t>
  </si>
  <si>
    <t xml:space="preserve">A Star Is Born</t>
  </si>
  <si>
    <t xml:space="preserve">tt1517451</t>
  </si>
  <si>
    <t xml:space="preserve">Questão de Tempo</t>
  </si>
  <si>
    <t xml:space="preserve">About Time</t>
  </si>
  <si>
    <t xml:space="preserve">tt2194499</t>
  </si>
  <si>
    <t xml:space="preserve">Cinquenta Tons de Cinza</t>
  </si>
  <si>
    <t xml:space="preserve">Fifty Shades of Grey</t>
  </si>
  <si>
    <t xml:space="preserve">tt2322441</t>
  </si>
  <si>
    <t xml:space="preserve">Invocação do Mal: O Último Ritual</t>
  </si>
  <si>
    <t xml:space="preserve">Público BR</t>
  </si>
  <si>
    <t xml:space="preserve">aparece em 1 base(s); mínimo 3 e sem selo Geração Z</t>
  </si>
  <si>
    <t xml:space="preserve">Dois Caras Legais</t>
  </si>
  <si>
    <t xml:space="preserve">The Nice Guys</t>
  </si>
  <si>
    <t xml:space="preserve">tt3799694</t>
  </si>
  <si>
    <t xml:space="preserve">Pobres Criaturas</t>
  </si>
  <si>
    <t xml:space="preserve">Poor Things</t>
  </si>
  <si>
    <t xml:space="preserve">tt14230458</t>
  </si>
  <si>
    <t xml:space="preserve">Como Treinar seu Dragão 2</t>
  </si>
  <si>
    <t xml:space="preserve">Han Solo: Uma História Star Wars</t>
  </si>
  <si>
    <t xml:space="preserve">Solo: A Star Wars Story</t>
  </si>
  <si>
    <t xml:space="preserve">tt3778644</t>
  </si>
  <si>
    <t xml:space="preserve">Your Name</t>
  </si>
  <si>
    <t xml:space="preserve">Your Name.</t>
  </si>
  <si>
    <t xml:space="preserve">tt5311514</t>
  </si>
  <si>
    <t xml:space="preserve">Kingsman: O Círculo Dourado</t>
  </si>
  <si>
    <t xml:space="preserve">Kingsman: The Golden Circle</t>
  </si>
  <si>
    <t xml:space="preserve">tt4649466</t>
  </si>
  <si>
    <t xml:space="preserve">Anônimo</t>
  </si>
  <si>
    <t xml:space="preserve">Nobody</t>
  </si>
  <si>
    <t xml:space="preserve">tt7888964</t>
  </si>
  <si>
    <t xml:space="preserve">Nós</t>
  </si>
  <si>
    <t xml:space="preserve">Us</t>
  </si>
  <si>
    <t xml:space="preserve">tt6857112</t>
  </si>
  <si>
    <t xml:space="preserve">O Gato de Botas</t>
  </si>
  <si>
    <t xml:space="preserve">Aniquilação</t>
  </si>
  <si>
    <t xml:space="preserve">Annihilation</t>
  </si>
  <si>
    <t xml:space="preserve">tt2798920</t>
  </si>
  <si>
    <t xml:space="preserve">Rua Cloverfield, 10</t>
  </si>
  <si>
    <t xml:space="preserve">10 Cloverfield Lane</t>
  </si>
  <si>
    <t xml:space="preserve">tt1179933</t>
  </si>
  <si>
    <t xml:space="preserve">Super 8</t>
  </si>
  <si>
    <t xml:space="preserve">tt1650062</t>
  </si>
  <si>
    <t xml:space="preserve">Kong: A Ilha da Caveira</t>
  </si>
  <si>
    <t xml:space="preserve">Kong: Skull Island</t>
  </si>
  <si>
    <t xml:space="preserve">tt3731562</t>
  </si>
  <si>
    <t xml:space="preserve">Wolverine Imortal</t>
  </si>
  <si>
    <t xml:space="preserve">The Wolverine</t>
  </si>
  <si>
    <t xml:space="preserve">tt1430132</t>
  </si>
  <si>
    <t xml:space="preserve">História de um Casamento</t>
  </si>
  <si>
    <t xml:space="preserve">Marriage Story</t>
  </si>
  <si>
    <t xml:space="preserve">tt7653254</t>
  </si>
  <si>
    <t xml:space="preserve">Lady Bird: A Hora de Voar</t>
  </si>
  <si>
    <t xml:space="preserve">Lady Bird</t>
  </si>
  <si>
    <t xml:space="preserve">tt4925292</t>
  </si>
  <si>
    <t xml:space="preserve">Me Chame pelo Seu Nome</t>
  </si>
  <si>
    <t xml:space="preserve">Call Me by Your Name</t>
  </si>
  <si>
    <t xml:space="preserve">tt5726616</t>
  </si>
  <si>
    <t xml:space="preserve">Manchester à Beira-Mar</t>
  </si>
  <si>
    <t xml:space="preserve">Manchester by the Sea</t>
  </si>
  <si>
    <t xml:space="preserve">tt4034228</t>
  </si>
  <si>
    <t xml:space="preserve">Joias Brutas</t>
  </si>
  <si>
    <t xml:space="preserve">Uncut Gems</t>
  </si>
  <si>
    <t xml:space="preserve">tt5727208</t>
  </si>
  <si>
    <t xml:space="preserve">A Bruxa</t>
  </si>
  <si>
    <t xml:space="preserve">The Witch</t>
  </si>
  <si>
    <t xml:space="preserve">tt4263482</t>
  </si>
  <si>
    <t xml:space="preserve">Rio</t>
  </si>
  <si>
    <t xml:space="preserve">tt1436562</t>
  </si>
  <si>
    <t xml:space="preserve">Homem-Formiga</t>
  </si>
  <si>
    <t xml:space="preserve">Ant-Man</t>
  </si>
  <si>
    <t xml:space="preserve">tt0478970</t>
  </si>
  <si>
    <t xml:space="preserve">Moonlight: Sob a Luz do Luar</t>
  </si>
  <si>
    <t xml:space="preserve">Moonlight</t>
  </si>
  <si>
    <t xml:space="preserve">tt4975722</t>
  </si>
  <si>
    <t xml:space="preserve">Alien: Covenant</t>
  </si>
  <si>
    <t xml:space="preserve">tt2316204</t>
  </si>
  <si>
    <t xml:space="preserve">X-Men Origens: Wolverine</t>
  </si>
  <si>
    <t xml:space="preserve">X-Men Origins: Wolverine</t>
  </si>
  <si>
    <t xml:space="preserve">tt0458525</t>
  </si>
  <si>
    <t xml:space="preserve">O Predestinado</t>
  </si>
  <si>
    <t xml:space="preserve">Predestination</t>
  </si>
  <si>
    <t xml:space="preserve">tt2397535</t>
  </si>
  <si>
    <t xml:space="preserve">O Regresso</t>
  </si>
  <si>
    <t xml:space="preserve">The Revenant</t>
  </si>
  <si>
    <t xml:space="preserve">tt1663202</t>
  </si>
  <si>
    <t xml:space="preserve">Frankenstein</t>
  </si>
  <si>
    <t xml:space="preserve">tt1312221</t>
  </si>
  <si>
    <t xml:space="preserve">Valente</t>
  </si>
  <si>
    <t xml:space="preserve">Brave</t>
  </si>
  <si>
    <t xml:space="preserve">tt1217209</t>
  </si>
  <si>
    <t xml:space="preserve">O Lagosta</t>
  </si>
  <si>
    <t xml:space="preserve">The Lobster</t>
  </si>
  <si>
    <t xml:space="preserve">tt3464902</t>
  </si>
  <si>
    <t xml:space="preserve">Detona Ralph</t>
  </si>
  <si>
    <t xml:space="preserve">Wreck-It Ralph</t>
  </si>
  <si>
    <t xml:space="preserve">tt1772341</t>
  </si>
  <si>
    <t xml:space="preserve">O Homem nas Trevas</t>
  </si>
  <si>
    <t xml:space="preserve">Don't Breathe</t>
  </si>
  <si>
    <t xml:space="preserve">tt4160708</t>
  </si>
  <si>
    <t xml:space="preserve">O Poço</t>
  </si>
  <si>
    <t xml:space="preserve">The Platform</t>
  </si>
  <si>
    <t xml:space="preserve">tt8228288</t>
  </si>
  <si>
    <t xml:space="preserve">Planeta dos Macacos: A Guerra</t>
  </si>
  <si>
    <t xml:space="preserve">War for the Planet of the Apes</t>
  </si>
  <si>
    <t xml:space="preserve">tt3450958</t>
  </si>
  <si>
    <t xml:space="preserve">Furiosa: Uma Saga Mad Max</t>
  </si>
  <si>
    <t xml:space="preserve">Furiosa: A Mad Max Saga</t>
  </si>
  <si>
    <t xml:space="preserve">tt12037194</t>
  </si>
  <si>
    <t xml:space="preserve">Alita: Anjo de Combate</t>
  </si>
  <si>
    <t xml:space="preserve">Alita: Battle Angel</t>
  </si>
  <si>
    <t xml:space="preserve">tt0437086</t>
  </si>
  <si>
    <t xml:space="preserve">Como eu era antes de você</t>
  </si>
  <si>
    <t xml:space="preserve">Me Before You</t>
  </si>
  <si>
    <t xml:space="preserve">tt2674426</t>
  </si>
  <si>
    <t xml:space="preserve">Sully: O Herói do Rio Hudson</t>
  </si>
  <si>
    <t xml:space="preserve">Sully</t>
  </si>
  <si>
    <t xml:space="preserve">tt3263904</t>
  </si>
  <si>
    <t xml:space="preserve">X-Men: Primeira Classe</t>
  </si>
  <si>
    <t xml:space="preserve">X-Men: First Class</t>
  </si>
  <si>
    <t xml:space="preserve">tt1270798</t>
  </si>
  <si>
    <t xml:space="preserve">Assassinato no Expresso do Oriente</t>
  </si>
  <si>
    <t xml:space="preserve">Murder on the Orient Express</t>
  </si>
  <si>
    <t xml:space="preserve">tt3402236</t>
  </si>
  <si>
    <t xml:space="preserve">Noé</t>
  </si>
  <si>
    <t xml:space="preserve">Noah</t>
  </si>
  <si>
    <t xml:space="preserve">tt1959490</t>
  </si>
  <si>
    <t xml:space="preserve">Não! Não Olhe!</t>
  </si>
  <si>
    <t xml:space="preserve">Nope</t>
  </si>
  <si>
    <t xml:space="preserve">tt10954984</t>
  </si>
  <si>
    <t xml:space="preserve">Terra Selvagem</t>
  </si>
  <si>
    <t xml:space="preserve">Wind River</t>
  </si>
  <si>
    <t xml:space="preserve">tt5362988</t>
  </si>
  <si>
    <t xml:space="preserve">Guerra mundial z</t>
  </si>
  <si>
    <t xml:space="preserve">World War Z</t>
  </si>
  <si>
    <t xml:space="preserve">tt0816711</t>
  </si>
  <si>
    <t xml:space="preserve">Resident Evil: O Hóspede Maldito</t>
  </si>
  <si>
    <t xml:space="preserve">tt0120804</t>
  </si>
  <si>
    <t xml:space="preserve">Infiltrado na Klan</t>
  </si>
  <si>
    <t xml:space="preserve">BlacKkKlansman</t>
  </si>
  <si>
    <t xml:space="preserve">tt7349662</t>
  </si>
  <si>
    <t xml:space="preserve">Assassinos da Lua das Flores</t>
  </si>
  <si>
    <t xml:space="preserve">Killers of the Flower Moon</t>
  </si>
  <si>
    <t xml:space="preserve">tt5537002</t>
  </si>
  <si>
    <t xml:space="preserve">Quarteto Fantástico: Primeiros Passos</t>
  </si>
  <si>
    <t xml:space="preserve">The Fantastic Four: First Steps</t>
  </si>
  <si>
    <t xml:space="preserve">tt10676052</t>
  </si>
  <si>
    <t xml:space="preserve">O Farol</t>
  </si>
  <si>
    <t xml:space="preserve">The Lighthouse</t>
  </si>
  <si>
    <t xml:space="preserve">tt7984734</t>
  </si>
  <si>
    <t xml:space="preserve">Anora</t>
  </si>
  <si>
    <t xml:space="preserve">tt28607951</t>
  </si>
  <si>
    <t xml:space="preserve">Vidro</t>
  </si>
  <si>
    <t xml:space="preserve">Glass</t>
  </si>
  <si>
    <t xml:space="preserve">tt6823368</t>
  </si>
  <si>
    <t xml:space="preserve">Bob Esponja: Um Herói Fora d’água</t>
  </si>
  <si>
    <t xml:space="preserve">Cruella</t>
  </si>
  <si>
    <t xml:space="preserve">tt3228774</t>
  </si>
  <si>
    <t xml:space="preserve">Os Banshees de Inisherin</t>
  </si>
  <si>
    <t xml:space="preserve">The Banshees of Inisherin</t>
  </si>
  <si>
    <t xml:space="preserve">tt11813216</t>
  </si>
  <si>
    <t xml:space="preserve">Warcraft - O Primeiro Encontro de Dois Mundos</t>
  </si>
  <si>
    <t xml:space="preserve">Warcraft</t>
  </si>
  <si>
    <t xml:space="preserve">tt0803096</t>
  </si>
  <si>
    <t xml:space="preserve">Alien: Romulus</t>
  </si>
  <si>
    <t xml:space="preserve">tt18412256</t>
  </si>
  <si>
    <t xml:space="preserve">De Pernas para o Ar</t>
  </si>
  <si>
    <t xml:space="preserve">007 Contra Spectre</t>
  </si>
  <si>
    <t xml:space="preserve">Spectre</t>
  </si>
  <si>
    <t xml:space="preserve">Bilheteria mundial, IMDb</t>
  </si>
  <si>
    <t xml:space="preserve">tt2379713</t>
  </si>
  <si>
    <t xml:space="preserve">Resgate</t>
  </si>
  <si>
    <t xml:space="preserve">Extraction</t>
  </si>
  <si>
    <t xml:space="preserve">tt8936646</t>
  </si>
  <si>
    <t xml:space="preserve">Conclave</t>
  </si>
  <si>
    <t xml:space="preserve">tt20215234</t>
  </si>
  <si>
    <t xml:space="preserve">Planeta dos Macacos: A Origem</t>
  </si>
  <si>
    <t xml:space="preserve">Rise of the Planet of the Apes</t>
  </si>
  <si>
    <t xml:space="preserve">tt1318514</t>
  </si>
  <si>
    <t xml:space="preserve">A Freira</t>
  </si>
  <si>
    <t xml:space="preserve">The Nun</t>
  </si>
  <si>
    <t xml:space="preserve">tt5814060</t>
  </si>
  <si>
    <t xml:space="preserve">A Noite do Jogo</t>
  </si>
  <si>
    <t xml:space="preserve">Game Night</t>
  </si>
  <si>
    <t xml:space="preserve">tt2704998</t>
  </si>
  <si>
    <t xml:space="preserve">Ad Astra - Rumo às Estrelas</t>
  </si>
  <si>
    <t xml:space="preserve">Ad Astra</t>
  </si>
  <si>
    <t xml:space="preserve">tt2935510</t>
  </si>
  <si>
    <t xml:space="preserve">A Qualquer Custo</t>
  </si>
  <si>
    <t xml:space="preserve">Hell or High Water</t>
  </si>
  <si>
    <t xml:space="preserve">tt2582782</t>
  </si>
  <si>
    <t xml:space="preserve">Vida</t>
  </si>
  <si>
    <t xml:space="preserve">Life</t>
  </si>
  <si>
    <t xml:space="preserve">tt5442430</t>
  </si>
  <si>
    <t xml:space="preserve">Os Mercenários 2</t>
  </si>
  <si>
    <t xml:space="preserve">The Expendables 2</t>
  </si>
  <si>
    <t xml:space="preserve">tt1764651</t>
  </si>
  <si>
    <t xml:space="preserve">Até que a sorte nos separe 3</t>
  </si>
  <si>
    <t xml:space="preserve">Quarteto Fantástico</t>
  </si>
  <si>
    <t xml:space="preserve">Fantastic Four</t>
  </si>
  <si>
    <t xml:space="preserve">tt0120667</t>
  </si>
  <si>
    <t xml:space="preserve">O Dublê</t>
  </si>
  <si>
    <t xml:space="preserve">The Fall Guy</t>
  </si>
  <si>
    <t xml:space="preserve">tt1684562</t>
  </si>
  <si>
    <t xml:space="preserve">Guerra Civil</t>
  </si>
  <si>
    <t xml:space="preserve">Civil War</t>
  </si>
  <si>
    <t xml:space="preserve">tt17279496</t>
  </si>
  <si>
    <t xml:space="preserve">Os Rejeitados</t>
  </si>
  <si>
    <t xml:space="preserve">The Holdovers</t>
  </si>
  <si>
    <t xml:space="preserve">tt14849194</t>
  </si>
  <si>
    <t xml:space="preserve">Saltburn</t>
  </si>
  <si>
    <t xml:space="preserve">tt17351924</t>
  </si>
  <si>
    <t xml:space="preserve">Star Trek: Sem Fronteiras</t>
  </si>
  <si>
    <t xml:space="preserve">Star Trek Beyond</t>
  </si>
  <si>
    <t xml:space="preserve">tt2660888</t>
  </si>
  <si>
    <t xml:space="preserve">Mãe!</t>
  </si>
  <si>
    <t xml:space="preserve">Mother!</t>
  </si>
  <si>
    <t xml:space="preserve">tt5109784</t>
  </si>
  <si>
    <t xml:space="preserve">O Curioso Caso de Benjamin Button</t>
  </si>
  <si>
    <t xml:space="preserve">The Curious Case of Benjamin Button</t>
  </si>
  <si>
    <t xml:space="preserve">tt0421715</t>
  </si>
  <si>
    <t xml:space="preserve">Casamento Sangrento</t>
  </si>
  <si>
    <t xml:space="preserve">Ready or Not</t>
  </si>
  <si>
    <t xml:space="preserve">tt7798634</t>
  </si>
  <si>
    <t xml:space="preserve">Oito Mulheres e um Segredo</t>
  </si>
  <si>
    <t xml:space="preserve">Ocean's Eight</t>
  </si>
  <si>
    <t xml:space="preserve">tt5164214</t>
  </si>
  <si>
    <t xml:space="preserve">Se beber, não case! Parte 3</t>
  </si>
  <si>
    <t xml:space="preserve">Wifi Ralph</t>
  </si>
  <si>
    <t xml:space="preserve">Ralph Breaks the Internet</t>
  </si>
  <si>
    <t xml:space="preserve">tt5848272</t>
  </si>
  <si>
    <t xml:space="preserve">Vivo ou Morto: Um Mistério Knives Out</t>
  </si>
  <si>
    <t xml:space="preserve">Wake Up Dead Man</t>
  </si>
  <si>
    <t xml:space="preserve">tt14364480</t>
  </si>
  <si>
    <t xml:space="preserve">A Favorita</t>
  </si>
  <si>
    <t xml:space="preserve">The Favourite</t>
  </si>
  <si>
    <t xml:space="preserve">tt5083738</t>
  </si>
  <si>
    <t xml:space="preserve">Incêndios</t>
  </si>
  <si>
    <t xml:space="preserve">Incendies</t>
  </si>
  <si>
    <t xml:space="preserve">tt1255953</t>
  </si>
  <si>
    <t xml:space="preserve">Caça-Fantasmas</t>
  </si>
  <si>
    <t xml:space="preserve">Ghostbusters</t>
  </si>
  <si>
    <t xml:space="preserve">tt1289401</t>
  </si>
  <si>
    <t xml:space="preserve">Jason Bourne</t>
  </si>
  <si>
    <t xml:space="preserve">tt4196776</t>
  </si>
  <si>
    <t xml:space="preserve">Bela Vingança</t>
  </si>
  <si>
    <t xml:space="preserve">Promising Young Woman</t>
  </si>
  <si>
    <t xml:space="preserve">tt9620292</t>
  </si>
  <si>
    <t xml:space="preserve">Náufrago</t>
  </si>
  <si>
    <t xml:space="preserve">Cast Away</t>
  </si>
  <si>
    <t xml:space="preserve">tt0162222</t>
  </si>
  <si>
    <t xml:space="preserve">Os Mistérios de Enola Holmes</t>
  </si>
  <si>
    <t xml:space="preserve">Enola Holmes</t>
  </si>
  <si>
    <t xml:space="preserve">tt7846844</t>
  </si>
  <si>
    <t xml:space="preserve">Capitão Fantástico</t>
  </si>
  <si>
    <t xml:space="preserve">Captain Fantastic</t>
  </si>
  <si>
    <t xml:space="preserve">tt3553976</t>
  </si>
  <si>
    <t xml:space="preserve">Cinderela</t>
  </si>
  <si>
    <t xml:space="preserve">Cinderella</t>
  </si>
  <si>
    <t xml:space="preserve">tt1661199</t>
  </si>
  <si>
    <t xml:space="preserve">Sorria</t>
  </si>
  <si>
    <t xml:space="preserve">Smile</t>
  </si>
  <si>
    <t xml:space="preserve">tt15474916</t>
  </si>
  <si>
    <t xml:space="preserve">Constantine</t>
  </si>
  <si>
    <t xml:space="preserve">tt0360486</t>
  </si>
  <si>
    <t xml:space="preserve">Meu Pai</t>
  </si>
  <si>
    <t xml:space="preserve">The Father</t>
  </si>
  <si>
    <t xml:space="preserve">tt10272386</t>
  </si>
  <si>
    <t xml:space="preserve">João e Maria: Caçadores de Bruxas</t>
  </si>
  <si>
    <t xml:space="preserve">Hansel &amp; Gretel: Witch Hunters</t>
  </si>
  <si>
    <t xml:space="preserve">tt1428538</t>
  </si>
  <si>
    <t xml:space="preserve">Sete Homens e um Destino</t>
  </si>
  <si>
    <t xml:space="preserve">The Magnificent Seven</t>
  </si>
  <si>
    <t xml:space="preserve">tt2404435</t>
  </si>
  <si>
    <t xml:space="preserve">Tropa de Elite 2</t>
  </si>
  <si>
    <t xml:space="preserve">Elite Squad 2: The Enemy Within</t>
  </si>
  <si>
    <t xml:space="preserve">tt1555149</t>
  </si>
  <si>
    <t xml:space="preserve">Doutor Sono</t>
  </si>
  <si>
    <t xml:space="preserve">Doctor Sleep</t>
  </si>
  <si>
    <t xml:space="preserve">tt5606664</t>
  </si>
  <si>
    <t xml:space="preserve">O Mundo Depois de Nós</t>
  </si>
  <si>
    <t xml:space="preserve">Leave the World Behind</t>
  </si>
  <si>
    <t xml:space="preserve">tt12747748</t>
  </si>
  <si>
    <t xml:space="preserve">Extraordinário</t>
  </si>
  <si>
    <t xml:space="preserve">Wonder</t>
  </si>
  <si>
    <t xml:space="preserve">tt2543472</t>
  </si>
  <si>
    <t xml:space="preserve">Ataque dos Cães</t>
  </si>
  <si>
    <t xml:space="preserve">The Power of the Dog</t>
  </si>
  <si>
    <t xml:space="preserve">tt10293406</t>
  </si>
  <si>
    <t xml:space="preserve">Tomb Raider: A Origem</t>
  </si>
  <si>
    <t xml:space="preserve">Tomb Raider</t>
  </si>
  <si>
    <t xml:space="preserve">tt1365519</t>
  </si>
  <si>
    <t xml:space="preserve">Ghostbusters: Mais Além</t>
  </si>
  <si>
    <t xml:space="preserve">Ghostbusters: Afterlife</t>
  </si>
  <si>
    <t xml:space="preserve">IMDb, Whip</t>
  </si>
  <si>
    <t xml:space="preserve">tt4513678</t>
  </si>
  <si>
    <t xml:space="preserve">Malévola: Dona do Mal</t>
  </si>
  <si>
    <t xml:space="preserve">Maleficent: Mistress of Evil</t>
  </si>
  <si>
    <t xml:space="preserve">tt4777008</t>
  </si>
  <si>
    <t xml:space="preserve">As Tartarugas Ninja</t>
  </si>
  <si>
    <t xml:space="preserve">Teenage Mutant Ninja Turtles</t>
  </si>
  <si>
    <t xml:space="preserve">tt1291150</t>
  </si>
  <si>
    <t xml:space="preserve">X-Men: Fênix Negra</t>
  </si>
  <si>
    <t xml:space="preserve">X-Men: Dark Phoenix</t>
  </si>
  <si>
    <t xml:space="preserve">tt6565702</t>
  </si>
  <si>
    <t xml:space="preserve">A Vigilante do Amanhã</t>
  </si>
  <si>
    <t xml:space="preserve">Ghost in the Shell</t>
  </si>
  <si>
    <t xml:space="preserve">tt1219827</t>
  </si>
  <si>
    <t xml:space="preserve">Gravidade</t>
  </si>
  <si>
    <t xml:space="preserve">Gravity</t>
  </si>
  <si>
    <t xml:space="preserve">tt1454468</t>
  </si>
  <si>
    <t xml:space="preserve">Herege</t>
  </si>
  <si>
    <t xml:space="preserve">Heretic</t>
  </si>
  <si>
    <t xml:space="preserve">tt28015403</t>
  </si>
  <si>
    <t xml:space="preserve">Robô Selvagem</t>
  </si>
  <si>
    <t xml:space="preserve">The Wild Robot</t>
  </si>
  <si>
    <t xml:space="preserve">tt29623480</t>
  </si>
  <si>
    <t xml:space="preserve">Upgrade: Atualização</t>
  </si>
  <si>
    <t xml:space="preserve">Upgrade</t>
  </si>
  <si>
    <t xml:space="preserve">tt6499752</t>
  </si>
  <si>
    <t xml:space="preserve">A Forja</t>
  </si>
  <si>
    <t xml:space="preserve">Anatomia de uma Queda</t>
  </si>
  <si>
    <t xml:space="preserve">Anatomy of a Fall</t>
  </si>
  <si>
    <t xml:space="preserve">tt17009710</t>
  </si>
  <si>
    <t xml:space="preserve">Indiana Jones e a Relíquia do Destino</t>
  </si>
  <si>
    <t xml:space="preserve">Indiana Jones and the Dial of Destiny</t>
  </si>
  <si>
    <t xml:space="preserve">tt1462764</t>
  </si>
  <si>
    <t xml:space="preserve">Longlegs - Vínculo Mortal</t>
  </si>
  <si>
    <t xml:space="preserve">Longlegs</t>
  </si>
  <si>
    <t xml:space="preserve">tt23468450</t>
  </si>
  <si>
    <t xml:space="preserve">Godzilla II: Rei dos Monstros</t>
  </si>
  <si>
    <t xml:space="preserve">Godzilla: King of the Monsters</t>
  </si>
  <si>
    <t xml:space="preserve">tt3741700</t>
  </si>
  <si>
    <t xml:space="preserve">Annabelle</t>
  </si>
  <si>
    <t xml:space="preserve">tt3322940</t>
  </si>
  <si>
    <t xml:space="preserve">Megatubarão</t>
  </si>
  <si>
    <t xml:space="preserve">The Meg</t>
  </si>
  <si>
    <t xml:space="preserve">tt4779682</t>
  </si>
  <si>
    <t xml:space="preserve">Godzilla Minus One</t>
  </si>
  <si>
    <t xml:space="preserve">tt23289160</t>
  </si>
  <si>
    <t xml:space="preserve">Click</t>
  </si>
  <si>
    <t xml:space="preserve">tt0389860</t>
  </si>
  <si>
    <t xml:space="preserve">A Série Divergente - Insurgente</t>
  </si>
  <si>
    <t xml:space="preserve">The Divergent Series: Insurgent</t>
  </si>
  <si>
    <t xml:space="preserve">tt2908446</t>
  </si>
  <si>
    <t xml:space="preserve">Druk</t>
  </si>
  <si>
    <t xml:space="preserve">Another Round</t>
  </si>
  <si>
    <t xml:space="preserve">tt10288566</t>
  </si>
  <si>
    <t xml:space="preserve">Hotel Transilvânia</t>
  </si>
  <si>
    <t xml:space="preserve">Hotel Transylvania</t>
  </si>
  <si>
    <t xml:space="preserve">tt0837562</t>
  </si>
  <si>
    <t xml:space="preserve">X - A Marca da Morte</t>
  </si>
  <si>
    <t xml:space="preserve">X</t>
  </si>
  <si>
    <t xml:space="preserve">tt13560574</t>
  </si>
  <si>
    <t xml:space="preserve">Zumbilândia: Atire Duas Vezes</t>
  </si>
  <si>
    <t xml:space="preserve">Zombieland: Double Tap</t>
  </si>
  <si>
    <t xml:space="preserve">tt1560220</t>
  </si>
  <si>
    <t xml:space="preserve">Extermínio: A Evolução</t>
  </si>
  <si>
    <t xml:space="preserve">28 Years Later</t>
  </si>
  <si>
    <t xml:space="preserve">tt10548174</t>
  </si>
  <si>
    <t xml:space="preserve">Branca de Neve e o Caçador</t>
  </si>
  <si>
    <t xml:space="preserve">Snow White and the Huntsman</t>
  </si>
  <si>
    <t xml:space="preserve">tt1735898</t>
  </si>
  <si>
    <t xml:space="preserve">Cruzada</t>
  </si>
  <si>
    <t xml:space="preserve">Kingdom of Heaven</t>
  </si>
  <si>
    <t xml:space="preserve">tt0320661</t>
  </si>
  <si>
    <t xml:space="preserve">Festa da Salsicha</t>
  </si>
  <si>
    <t xml:space="preserve">Sausage Party</t>
  </si>
  <si>
    <t xml:space="preserve">tt1700841</t>
  </si>
  <si>
    <t xml:space="preserve">O Assassino</t>
  </si>
  <si>
    <t xml:space="preserve">The Killer</t>
  </si>
  <si>
    <t xml:space="preserve">tt1136617</t>
  </si>
  <si>
    <t xml:space="preserve">RRR: Revolta, Rebelião, Revolução</t>
  </si>
  <si>
    <t xml:space="preserve">RRR</t>
  </si>
  <si>
    <t xml:space="preserve">tt8178634</t>
  </si>
  <si>
    <t xml:space="preserve">Crepúsculo</t>
  </si>
  <si>
    <t xml:space="preserve">Twilight</t>
  </si>
  <si>
    <t xml:space="preserve">tt1099212</t>
  </si>
  <si>
    <t xml:space="preserve">Fale Comigo</t>
  </si>
  <si>
    <t xml:space="preserve">Talk to Me</t>
  </si>
  <si>
    <t xml:space="preserve">tt10638522</t>
  </si>
  <si>
    <t xml:space="preserve">Velozes &amp; Furiosos: Hobbs &amp; Shaw</t>
  </si>
  <si>
    <t xml:space="preserve">Fast &amp; Furious Presents: Hobbs &amp; Shaw</t>
  </si>
  <si>
    <t xml:space="preserve">tt6806448</t>
  </si>
  <si>
    <t xml:space="preserve">Fúria de Titãs</t>
  </si>
  <si>
    <t xml:space="preserve">Clash of the Titans</t>
  </si>
  <si>
    <t xml:space="preserve">tt0800320</t>
  </si>
  <si>
    <t xml:space="preserve">Os Croods</t>
  </si>
  <si>
    <t xml:space="preserve">The Croods</t>
  </si>
  <si>
    <t xml:space="preserve">tt0481499</t>
  </si>
  <si>
    <t xml:space="preserve">Velozes e Furiosos 4</t>
  </si>
  <si>
    <t xml:space="preserve">Fast &amp; Furious</t>
  </si>
  <si>
    <t xml:space="preserve">tt1013752</t>
  </si>
  <si>
    <t xml:space="preserve">Combate mortal</t>
  </si>
  <si>
    <t xml:space="preserve">Mortal Kombat</t>
  </si>
  <si>
    <t xml:space="preserve">tt0293429</t>
  </si>
  <si>
    <t xml:space="preserve">À Procura da Felicidade</t>
  </si>
  <si>
    <t xml:space="preserve">The Pursuit of Happyness</t>
  </si>
  <si>
    <t xml:space="preserve">tt0454921</t>
  </si>
  <si>
    <t xml:space="preserve">Robocop</t>
  </si>
  <si>
    <t xml:space="preserve">RoboCop</t>
  </si>
  <si>
    <t xml:space="preserve">tt1234721</t>
  </si>
  <si>
    <t xml:space="preserve">300: A Ascenção do Império</t>
  </si>
  <si>
    <t xml:space="preserve">Rio 2</t>
  </si>
  <si>
    <t xml:space="preserve">tt2357291</t>
  </si>
  <si>
    <t xml:space="preserve">Que Horas Eu Te Pego?</t>
  </si>
  <si>
    <t xml:space="preserve">No Hard Feelings</t>
  </si>
  <si>
    <t xml:space="preserve">tt15671028</t>
  </si>
  <si>
    <t xml:space="preserve">Nomadland</t>
  </si>
  <si>
    <t xml:space="preserve">tt9770150</t>
  </si>
  <si>
    <t xml:space="preserve">Idiocracia</t>
  </si>
  <si>
    <t xml:space="preserve">Idiocracy</t>
  </si>
  <si>
    <t xml:space="preserve">tt0387808</t>
  </si>
  <si>
    <t xml:space="preserve">Atômica</t>
  </si>
  <si>
    <t xml:space="preserve">Atomic Blonde</t>
  </si>
  <si>
    <t xml:space="preserve">tt2406566</t>
  </si>
  <si>
    <t xml:space="preserve">Corpo Fechado</t>
  </si>
  <si>
    <t xml:space="preserve">Unbreakable</t>
  </si>
  <si>
    <t xml:space="preserve">tt0217869</t>
  </si>
  <si>
    <t xml:space="preserve">Triângulo da Tristeza</t>
  </si>
  <si>
    <t xml:space="preserve">Triangle of Sadness</t>
  </si>
  <si>
    <t xml:space="preserve">tt7322224</t>
  </si>
  <si>
    <t xml:space="preserve">Operação Red Sparrow</t>
  </si>
  <si>
    <t xml:space="preserve">Red Sparrow</t>
  </si>
  <si>
    <t xml:space="preserve">tt2873282</t>
  </si>
  <si>
    <t xml:space="preserve">O Primeiro Homem</t>
  </si>
  <si>
    <t xml:space="preserve">First Man</t>
  </si>
  <si>
    <t xml:space="preserve">tt1213641</t>
  </si>
  <si>
    <t xml:space="preserve">Hotel Transilvânia 3: Férias Monstruosas</t>
  </si>
  <si>
    <t xml:space="preserve">Hotel Transylvania 3: Summer Vacation</t>
  </si>
  <si>
    <t xml:space="preserve">tt5220122</t>
  </si>
  <si>
    <t xml:space="preserve">Palm Springs</t>
  </si>
  <si>
    <t xml:space="preserve">tt9484998</t>
  </si>
  <si>
    <t xml:space="preserve">O Sacrifício do Cervo Sagrado</t>
  </si>
  <si>
    <t xml:space="preserve">The Killing of a Sacred Deer</t>
  </si>
  <si>
    <t xml:space="preserve">tt5715874</t>
  </si>
  <si>
    <t xml:space="preserve">Cinquenta Tons Mais Escuros</t>
  </si>
  <si>
    <t xml:space="preserve">Fifty Shades Darker</t>
  </si>
  <si>
    <t xml:space="preserve">tt4465564</t>
  </si>
  <si>
    <t xml:space="preserve">Morte no Nilo</t>
  </si>
  <si>
    <t xml:space="preserve">Death on the Nile</t>
  </si>
  <si>
    <t xml:space="preserve">tt7657566</t>
  </si>
  <si>
    <t xml:space="preserve">Ilha dos Cachorros</t>
  </si>
  <si>
    <t xml:space="preserve">Isle of Dogs</t>
  </si>
  <si>
    <t xml:space="preserve">tt5104604</t>
  </si>
  <si>
    <t xml:space="preserve">The Old Guard</t>
  </si>
  <si>
    <t xml:space="preserve">tt7556122</t>
  </si>
  <si>
    <t xml:space="preserve">Rocketman: A Ascensão Meteórica de Uma Estrela</t>
  </si>
  <si>
    <t xml:space="preserve">Rocketman</t>
  </si>
  <si>
    <t xml:space="preserve">tt2066051</t>
  </si>
  <si>
    <t xml:space="preserve">Podres de Ricos</t>
  </si>
  <si>
    <t xml:space="preserve">Crazy Rich Asians</t>
  </si>
  <si>
    <t xml:space="preserve">tt3104988</t>
  </si>
  <si>
    <t xml:space="preserve">Valerian e a Cidade dos Mil Planetas</t>
  </si>
  <si>
    <t xml:space="preserve">Valerian and the City of a Thousand Planets</t>
  </si>
  <si>
    <t xml:space="preserve">tt2239822</t>
  </si>
  <si>
    <t xml:space="preserve">O Último Duelo</t>
  </si>
  <si>
    <t xml:space="preserve">The Last Duel</t>
  </si>
  <si>
    <t xml:space="preserve">tt4244994</t>
  </si>
  <si>
    <t xml:space="preserve">Os 7 de Chicago</t>
  </si>
  <si>
    <t xml:space="preserve">The Trial of the Chicago 7</t>
  </si>
  <si>
    <t xml:space="preserve">tt1070874</t>
  </si>
  <si>
    <t xml:space="preserve">Branca de Neve</t>
  </si>
  <si>
    <t xml:space="preserve">Snow White</t>
  </si>
  <si>
    <t xml:space="preserve">tt6208148</t>
  </si>
  <si>
    <t xml:space="preserve">Resistência</t>
  </si>
  <si>
    <t xml:space="preserve">The Creator</t>
  </si>
  <si>
    <t xml:space="preserve">tt11858890</t>
  </si>
  <si>
    <t xml:space="preserve">A Era do Gelo - O Big Bang</t>
  </si>
  <si>
    <t xml:space="preserve">Ice Age: Collision Course</t>
  </si>
  <si>
    <t xml:space="preserve">tt3416828</t>
  </si>
  <si>
    <t xml:space="preserve">Army of the Dead: Invasão em Las Vegas</t>
  </si>
  <si>
    <t xml:space="preserve">Army of the Dead</t>
  </si>
  <si>
    <t xml:space="preserve">tt0993840</t>
  </si>
  <si>
    <t xml:space="preserve">Noite Passada em Soho</t>
  </si>
  <si>
    <t xml:space="preserve">Last Night in Soho</t>
  </si>
  <si>
    <t xml:space="preserve">tt9639470</t>
  </si>
  <si>
    <t xml:space="preserve">Independence Day: O Ressurgimento</t>
  </si>
  <si>
    <t xml:space="preserve">Independence Day: Resurgence</t>
  </si>
  <si>
    <t xml:space="preserve">tt1628841</t>
  </si>
  <si>
    <t xml:space="preserve">O Diabo Veste Prada</t>
  </si>
  <si>
    <t xml:space="preserve">The Devil Wears Prada</t>
  </si>
  <si>
    <t xml:space="preserve">tt0458352</t>
  </si>
  <si>
    <t xml:space="preserve">Uma Noite no Museu 2</t>
  </si>
  <si>
    <t xml:space="preserve">Night at the Museum: Battle of the Smithsonian</t>
  </si>
  <si>
    <t xml:space="preserve">tt1078912</t>
  </si>
  <si>
    <t xml:space="preserve">Twisters</t>
  </si>
  <si>
    <t xml:space="preserve">tt12584954</t>
  </si>
  <si>
    <t xml:space="preserve">Pokémon: Detetive Pikachu</t>
  </si>
  <si>
    <t xml:space="preserve">Pokémon: Detective Pikachu</t>
  </si>
  <si>
    <t xml:space="preserve">tt5884052</t>
  </si>
  <si>
    <t xml:space="preserve">Hotel Transilvânia 2</t>
  </si>
  <si>
    <t xml:space="preserve">Hotel Transylvania 2</t>
  </si>
  <si>
    <t xml:space="preserve">tt2510894</t>
  </si>
  <si>
    <t xml:space="preserve">Os Outros</t>
  </si>
  <si>
    <t xml:space="preserve">The Others</t>
  </si>
  <si>
    <t xml:space="preserve">tt0230600</t>
  </si>
  <si>
    <t xml:space="preserve">Bagagem de Risco</t>
  </si>
  <si>
    <t xml:space="preserve">Carry-On</t>
  </si>
  <si>
    <t xml:space="preserve">tt21382296</t>
  </si>
  <si>
    <t xml:space="preserve">Quarteto Fantástico e o Surfista Prateado</t>
  </si>
  <si>
    <t xml:space="preserve">Fantastic Four: Rise of the Silver Surfer</t>
  </si>
  <si>
    <t xml:space="preserve">tt0486576</t>
  </si>
  <si>
    <t xml:space="preserve">King's Man: A Origem</t>
  </si>
  <si>
    <t xml:space="preserve">The King's Man</t>
  </si>
  <si>
    <t xml:space="preserve">tt6856242</t>
  </si>
  <si>
    <t xml:space="preserve">Lego Batman: O Filme</t>
  </si>
  <si>
    <t xml:space="preserve">The Lego Batman Movie</t>
  </si>
  <si>
    <t xml:space="preserve">tt4116284</t>
  </si>
  <si>
    <t xml:space="preserve">O bom dinossauro</t>
  </si>
  <si>
    <t xml:space="preserve">The Good Dinosaur</t>
  </si>
  <si>
    <t xml:space="preserve">tt1979388</t>
  </si>
  <si>
    <t xml:space="preserve">Meu Passado Me Condena 2</t>
  </si>
  <si>
    <t xml:space="preserve">O Poderoso Chefinho</t>
  </si>
  <si>
    <t xml:space="preserve">The Boss Baby</t>
  </si>
  <si>
    <t xml:space="preserve">tt3874544</t>
  </si>
  <si>
    <t xml:space="preserve">Buscando...</t>
  </si>
  <si>
    <t xml:space="preserve">Searching</t>
  </si>
  <si>
    <t xml:space="preserve">tt7668870</t>
  </si>
  <si>
    <t xml:space="preserve">Zona de Interesse</t>
  </si>
  <si>
    <t xml:space="preserve">The Zone of Interest</t>
  </si>
  <si>
    <t xml:space="preserve">tt7160372</t>
  </si>
  <si>
    <t xml:space="preserve">Príncipe da Pérsia: As Areias do Tempo</t>
  </si>
  <si>
    <t xml:space="preserve">Prince of Persia: The Sands of Time</t>
  </si>
  <si>
    <t xml:space="preserve">tt0473075</t>
  </si>
  <si>
    <t xml:space="preserve">Matador de Aluguel</t>
  </si>
  <si>
    <t xml:space="preserve">Road House</t>
  </si>
  <si>
    <t xml:space="preserve">tt3359350</t>
  </si>
  <si>
    <t xml:space="preserve">Um Pequeno Favor</t>
  </si>
  <si>
    <t xml:space="preserve">A Simple Favor</t>
  </si>
  <si>
    <t xml:space="preserve">tt7040874</t>
  </si>
  <si>
    <t xml:space="preserve">Napoleão</t>
  </si>
  <si>
    <t xml:space="preserve">Napoleon</t>
  </si>
  <si>
    <t xml:space="preserve">tt13287846</t>
  </si>
  <si>
    <t xml:space="preserve">O Chamado</t>
  </si>
  <si>
    <t xml:space="preserve">The Ring</t>
  </si>
  <si>
    <t xml:space="preserve">tt0298130</t>
  </si>
  <si>
    <t xml:space="preserve">Annabelle 2: A criação do mal</t>
  </si>
  <si>
    <t xml:space="preserve">Annabelle: Creation</t>
  </si>
  <si>
    <t xml:space="preserve">tt5140878</t>
  </si>
  <si>
    <t xml:space="preserve">Nada a Perder</t>
  </si>
  <si>
    <t xml:space="preserve">Nothing to Lose</t>
  </si>
  <si>
    <t xml:space="preserve">tt6910020</t>
  </si>
  <si>
    <t xml:space="preserve">O Som do Silêncio</t>
  </si>
  <si>
    <t xml:space="preserve">Sound of Metal</t>
  </si>
  <si>
    <t xml:space="preserve">tt5363618</t>
  </si>
  <si>
    <t xml:space="preserve">Halloween</t>
  </si>
  <si>
    <t xml:space="preserve">tt1502407</t>
  </si>
  <si>
    <t xml:space="preserve">A Balada de Buster Scruggs</t>
  </si>
  <si>
    <t xml:space="preserve">The Ballad of Buster Scruggs</t>
  </si>
  <si>
    <t xml:space="preserve">tt6412452</t>
  </si>
  <si>
    <t xml:space="preserve">Scooby-Doo</t>
  </si>
  <si>
    <t xml:space="preserve">tt0267913</t>
  </si>
  <si>
    <t xml:space="preserve">Yesterday - A Trilha do Sucesso</t>
  </si>
  <si>
    <t xml:space="preserve">Yesterday</t>
  </si>
  <si>
    <t xml:space="preserve">tt8079248</t>
  </si>
  <si>
    <t xml:space="preserve">Tempo</t>
  </si>
  <si>
    <t xml:space="preserve">Old</t>
  </si>
  <si>
    <t xml:space="preserve">tt10954652</t>
  </si>
  <si>
    <t xml:space="preserve">Debi e Lóide 2</t>
  </si>
  <si>
    <t xml:space="preserve">Dumb and Dumber To</t>
  </si>
  <si>
    <t xml:space="preserve">tt2096672</t>
  </si>
  <si>
    <t xml:space="preserve">Rivais</t>
  </si>
  <si>
    <t xml:space="preserve">Challengers</t>
  </si>
  <si>
    <t xml:space="preserve">tt16426418</t>
  </si>
  <si>
    <t xml:space="preserve">O Beco do Pesadelo</t>
  </si>
  <si>
    <t xml:space="preserve">Nightmare Alley</t>
  </si>
  <si>
    <t xml:space="preserve">tt7740496</t>
  </si>
  <si>
    <t xml:space="preserve">Um Lugar Silencioso: Dia Um</t>
  </si>
  <si>
    <t xml:space="preserve">A Quiet Place: Day One</t>
  </si>
  <si>
    <t xml:space="preserve">tt13433802</t>
  </si>
  <si>
    <t xml:space="preserve">Fúria de Titãs 2</t>
  </si>
  <si>
    <t xml:space="preserve">Wrath of the Titans</t>
  </si>
  <si>
    <t xml:space="preserve">tt1646987</t>
  </si>
  <si>
    <t xml:space="preserve">Entre Montanhas</t>
  </si>
  <si>
    <t xml:space="preserve">The Gorge</t>
  </si>
  <si>
    <t xml:space="preserve">tt13654226</t>
  </si>
  <si>
    <t xml:space="preserve">Alvin e os Esquilos 2</t>
  </si>
  <si>
    <t xml:space="preserve">Alvin and the Chipmunks: The Squeakquel</t>
  </si>
  <si>
    <t xml:space="preserve">tt1231580</t>
  </si>
  <si>
    <t xml:space="preserve">O Incrível Hulk</t>
  </si>
  <si>
    <t xml:space="preserve">The Incredible Hulk</t>
  </si>
  <si>
    <t xml:space="preserve">tt0800080</t>
  </si>
  <si>
    <t xml:space="preserve">O Peso do Talento</t>
  </si>
  <si>
    <t xml:space="preserve">The Unbearable Weight of Massive Talent</t>
  </si>
  <si>
    <t xml:space="preserve">tt11291274</t>
  </si>
  <si>
    <t xml:space="preserve">A Proposta</t>
  </si>
  <si>
    <t xml:space="preserve">The Proposal</t>
  </si>
  <si>
    <t xml:space="preserve">tt1041829</t>
  </si>
  <si>
    <t xml:space="preserve">Não Se Preocupe, Querida</t>
  </si>
  <si>
    <t xml:space="preserve">Don't Worry Darling</t>
  </si>
  <si>
    <t xml:space="preserve">tt10731256</t>
  </si>
  <si>
    <t xml:space="preserve">Cinquenta Tons de Liberdade</t>
  </si>
  <si>
    <t xml:space="preserve">Fifty Shades Freed</t>
  </si>
  <si>
    <t xml:space="preserve">tt4477536</t>
  </si>
  <si>
    <t xml:space="preserve">O Culpado</t>
  </si>
  <si>
    <t xml:space="preserve">The Guilty</t>
  </si>
  <si>
    <t xml:space="preserve">tt9421570</t>
  </si>
  <si>
    <t xml:space="preserve">Maus Momentos no Hotel Royale</t>
  </si>
  <si>
    <t xml:space="preserve">Bad Times at the El Royale</t>
  </si>
  <si>
    <t xml:space="preserve">tt6628394</t>
  </si>
  <si>
    <t xml:space="preserve">Os Fantasmas Ainda se Divertem: Beetlejuice Beetlejuice</t>
  </si>
  <si>
    <t xml:space="preserve">Beetlejuice Beetlejuice</t>
  </si>
  <si>
    <t xml:space="preserve">tt2049403</t>
  </si>
  <si>
    <t xml:space="preserve">Coerência</t>
  </si>
  <si>
    <t xml:space="preserve">Coherence</t>
  </si>
  <si>
    <t xml:space="preserve">tt2866360</t>
  </si>
  <si>
    <t xml:space="preserve">Roma</t>
  </si>
  <si>
    <t xml:space="preserve">tt6155172</t>
  </si>
  <si>
    <t xml:space="preserve">Cidade Perdida</t>
  </si>
  <si>
    <t xml:space="preserve">The Lost City</t>
  </si>
  <si>
    <t xml:space="preserve">tt13320622</t>
  </si>
  <si>
    <t xml:space="preserve">A Morte do Demônio: A Ascensão</t>
  </si>
  <si>
    <t xml:space="preserve">Evil Dead Rise</t>
  </si>
  <si>
    <t xml:space="preserve">tt13345606</t>
  </si>
  <si>
    <t xml:space="preserve">Vidas Passadas</t>
  </si>
  <si>
    <t xml:space="preserve">Past Lives</t>
  </si>
  <si>
    <t xml:space="preserve">tt13238346</t>
  </si>
  <si>
    <t xml:space="preserve">Logan Lucky: Roubo em Família</t>
  </si>
  <si>
    <t xml:space="preserve">Logan Lucky</t>
  </si>
  <si>
    <t xml:space="preserve">tt5439796</t>
  </si>
  <si>
    <t xml:space="preserve">Casa Gucci</t>
  </si>
  <si>
    <t xml:space="preserve">House of Gucci</t>
  </si>
  <si>
    <t xml:space="preserve">tt11214590</t>
  </si>
  <si>
    <t xml:space="preserve">Os Sem-Floresta</t>
  </si>
  <si>
    <t xml:space="preserve">Over the Hedge</t>
  </si>
  <si>
    <t xml:space="preserve">tt0327084</t>
  </si>
  <si>
    <t xml:space="preserve">Motoqueiro Fantasma</t>
  </si>
  <si>
    <t xml:space="preserve">Ghost Rider</t>
  </si>
  <si>
    <t xml:space="preserve">tt0259324</t>
  </si>
  <si>
    <t xml:space="preserve">Karate Kid</t>
  </si>
  <si>
    <t xml:space="preserve">The Karate Kid</t>
  </si>
  <si>
    <t xml:space="preserve">tt1155076</t>
  </si>
  <si>
    <t xml:space="preserve">Resgate 2</t>
  </si>
  <si>
    <t xml:space="preserve">Extraction II</t>
  </si>
  <si>
    <t xml:space="preserve">tt12263384</t>
  </si>
  <si>
    <t xml:space="preserve">Sonic 2 - O Filme</t>
  </si>
  <si>
    <t xml:space="preserve">Sonic the Hedgehog 2</t>
  </si>
  <si>
    <t xml:space="preserve">tt12412888</t>
  </si>
  <si>
    <t xml:space="preserve">O Diabo de Cada Dia</t>
  </si>
  <si>
    <t xml:space="preserve">The Devil All the Time</t>
  </si>
  <si>
    <t xml:space="preserve">tt7395114</t>
  </si>
  <si>
    <t xml:space="preserve">O Motoqueiro Fantasma 2</t>
  </si>
  <si>
    <t xml:space="preserve">Hulk</t>
  </si>
  <si>
    <t xml:space="preserve">tt0286716</t>
  </si>
  <si>
    <t xml:space="preserve">Os Pinguins de Madagascar</t>
  </si>
  <si>
    <t xml:space="preserve">Penguins of Madagascar</t>
  </si>
  <si>
    <t xml:space="preserve">tt1911658</t>
  </si>
  <si>
    <t xml:space="preserve">Uma Noite no Museu 3: O Segredo da Tumba</t>
  </si>
  <si>
    <t xml:space="preserve">Night at the Museum: Secret of the Tomb</t>
  </si>
  <si>
    <t xml:space="preserve">tt2692250</t>
  </si>
  <si>
    <t xml:space="preserve">Armadilha</t>
  </si>
  <si>
    <t xml:space="preserve">Trap</t>
  </si>
  <si>
    <t xml:space="preserve">tt26753003</t>
  </si>
  <si>
    <t xml:space="preserve">Artista do Desastre</t>
  </si>
  <si>
    <t xml:space="preserve">The Disaster Artist</t>
  </si>
  <si>
    <t xml:space="preserve">tt3521126</t>
  </si>
  <si>
    <t xml:space="preserve">Do Que as Mulheres Gostam</t>
  </si>
  <si>
    <t xml:space="preserve">What Women Want</t>
  </si>
  <si>
    <t xml:space="preserve">tt0207201</t>
  </si>
  <si>
    <t xml:space="preserve">Minha Mãe É uma Peça 3</t>
  </si>
  <si>
    <t xml:space="preserve">My Mom is a Character 3</t>
  </si>
  <si>
    <t xml:space="preserve">tt10611372</t>
  </si>
  <si>
    <t xml:space="preserve">tt0275847</t>
  </si>
  <si>
    <t xml:space="preserve">Venom: A Última Rodada</t>
  </si>
  <si>
    <t xml:space="preserve">Venom: The Last Dance</t>
  </si>
  <si>
    <t xml:space="preserve">tt16366836</t>
  </si>
  <si>
    <t xml:space="preserve">A Crônica Francesa</t>
  </si>
  <si>
    <t xml:space="preserve">The French Dispatch</t>
  </si>
  <si>
    <t xml:space="preserve">tt8847712</t>
  </si>
  <si>
    <t xml:space="preserve">A Cabana</t>
  </si>
  <si>
    <t xml:space="preserve">The Shack</t>
  </si>
  <si>
    <t xml:space="preserve">tt2872518</t>
  </si>
  <si>
    <t xml:space="preserve">Mulan</t>
  </si>
  <si>
    <t xml:space="preserve">tt4566758</t>
  </si>
  <si>
    <t xml:space="preserve">Duro de Matar 4.0</t>
  </si>
  <si>
    <t xml:space="preserve">Live Free or Die Hard</t>
  </si>
  <si>
    <t xml:space="preserve">tt0337978</t>
  </si>
  <si>
    <t xml:space="preserve">Minha Mãe É uma Peça 2</t>
  </si>
  <si>
    <t xml:space="preserve">My Mom Is a Character 2</t>
  </si>
  <si>
    <t xml:space="preserve">tt3212812</t>
  </si>
  <si>
    <t xml:space="preserve">Pinóquio</t>
  </si>
  <si>
    <t xml:space="preserve">Guillermo del Toro's Pinocchio</t>
  </si>
  <si>
    <t xml:space="preserve">tt1488589</t>
  </si>
  <si>
    <t xml:space="preserve">Borat 2: Fita de Cinema Seguinte</t>
  </si>
  <si>
    <t xml:space="preserve">Borat Subsequent Moviefilm</t>
  </si>
  <si>
    <t xml:space="preserve">tt13143964</t>
  </si>
  <si>
    <t xml:space="preserve">Garfield – O Filme</t>
  </si>
  <si>
    <t xml:space="preserve">Garfield: The Movie</t>
  </si>
  <si>
    <t xml:space="preserve">tt0356634</t>
  </si>
  <si>
    <t xml:space="preserve">Pearl</t>
  </si>
  <si>
    <t xml:space="preserve">tt18925334</t>
  </si>
  <si>
    <t xml:space="preserve">Van Helsing - O Caçador de Monstros</t>
  </si>
  <si>
    <t xml:space="preserve">Van Helsing</t>
  </si>
  <si>
    <t xml:space="preserve">tt0338526</t>
  </si>
  <si>
    <t xml:space="preserve">O Brutalista</t>
  </si>
  <si>
    <t xml:space="preserve">The Brutalist</t>
  </si>
  <si>
    <t xml:space="preserve">tt8999762</t>
  </si>
  <si>
    <t xml:space="preserve">Trama Fantasma</t>
  </si>
  <si>
    <t xml:space="preserve">Phantom Thread</t>
  </si>
  <si>
    <t xml:space="preserve">tt5776858</t>
  </si>
  <si>
    <t xml:space="preserve">Licorice Pizza</t>
  </si>
  <si>
    <t xml:space="preserve">tt11271038</t>
  </si>
  <si>
    <t xml:space="preserve">Imortais</t>
  </si>
  <si>
    <t xml:space="preserve">Immortals</t>
  </si>
  <si>
    <t xml:space="preserve">tt1253864</t>
  </si>
  <si>
    <t xml:space="preserve">Bailarina</t>
  </si>
  <si>
    <t xml:space="preserve">Ballerina</t>
  </si>
  <si>
    <t xml:space="preserve">tt7181546</t>
  </si>
  <si>
    <t xml:space="preserve">Operação Natal</t>
  </si>
  <si>
    <t xml:space="preserve">Red One</t>
  </si>
  <si>
    <t xml:space="preserve">IMDb, Nielsen</t>
  </si>
  <si>
    <t xml:space="preserve">tt14948432</t>
  </si>
  <si>
    <t xml:space="preserve">Eu Me Importo</t>
  </si>
  <si>
    <t xml:space="preserve">I Care a Lot</t>
  </si>
  <si>
    <t xml:space="preserve">tt9893250</t>
  </si>
  <si>
    <t xml:space="preserve">Percy Jackson e o Ladrão de Raios</t>
  </si>
  <si>
    <t xml:space="preserve">Percy Jackson &amp; the Olympians: The Lightning Thief</t>
  </si>
  <si>
    <t xml:space="preserve">tt0814255</t>
  </si>
  <si>
    <t xml:space="preserve">Som da Liberdade</t>
  </si>
  <si>
    <t xml:space="preserve">Sound of Freedom</t>
  </si>
  <si>
    <t xml:space="preserve">tt7599146</t>
  </si>
  <si>
    <t xml:space="preserve">Alvin e os Esquilos 3</t>
  </si>
  <si>
    <t xml:space="preserve">Alvin and the Chipmunks: Chipwrecked</t>
  </si>
  <si>
    <t xml:space="preserve">tt1615918</t>
  </si>
  <si>
    <t xml:space="preserve">Socorro!</t>
  </si>
  <si>
    <t xml:space="preserve">Send Help</t>
  </si>
  <si>
    <t xml:space="preserve">tt8036976</t>
  </si>
  <si>
    <t xml:space="preserve">A Caçada</t>
  </si>
  <si>
    <t xml:space="preserve">The Hunt</t>
  </si>
  <si>
    <t xml:space="preserve">tt8244784</t>
  </si>
  <si>
    <t xml:space="preserve">A Incrível Aventura de Rick Baker</t>
  </si>
  <si>
    <t xml:space="preserve">Hunt for the Wilderpeople</t>
  </si>
  <si>
    <t xml:space="preserve">tt4698684</t>
  </si>
  <si>
    <t xml:space="preserve">Pânico VI</t>
  </si>
  <si>
    <t xml:space="preserve">Scream VI</t>
  </si>
  <si>
    <t xml:space="preserve">tt17663992</t>
  </si>
  <si>
    <t xml:space="preserve">Sala Verde</t>
  </si>
  <si>
    <t xml:space="preserve">Green Room</t>
  </si>
  <si>
    <t xml:space="preserve">tt4062536</t>
  </si>
  <si>
    <t xml:space="preserve">Águas Rasas</t>
  </si>
  <si>
    <t xml:space="preserve">The Shallows</t>
  </si>
  <si>
    <t xml:space="preserve">tt4052882</t>
  </si>
  <si>
    <t xml:space="preserve">Sorria 2</t>
  </si>
  <si>
    <t xml:space="preserve">Smile 2</t>
  </si>
  <si>
    <t xml:space="preserve">tt29268110</t>
  </si>
  <si>
    <t xml:space="preserve">Entrevista com o Demônio</t>
  </si>
  <si>
    <t xml:space="preserve">Late Night with the Devil</t>
  </si>
  <si>
    <t xml:space="preserve">tt14966898</t>
  </si>
  <si>
    <t xml:space="preserve">A Longa Marcha - Caminhe ou Morra</t>
  </si>
  <si>
    <t xml:space="preserve">The Long Walk</t>
  </si>
  <si>
    <t xml:space="preserve">tt10374610</t>
  </si>
  <si>
    <t xml:space="preserve">Os Dez Mandamentos - O Filme</t>
  </si>
  <si>
    <t xml:space="preserve">tt5431016</t>
  </si>
  <si>
    <t xml:space="preserve">O Amor Não Tira Férias</t>
  </si>
  <si>
    <t xml:space="preserve">The Holiday</t>
  </si>
  <si>
    <t xml:space="preserve">tt0457939</t>
  </si>
  <si>
    <t xml:space="preserve">Treze Homens e um Novo Segredo</t>
  </si>
  <si>
    <t xml:space="preserve">Ocean's Thirteen</t>
  </si>
  <si>
    <t xml:space="preserve">tt0496806</t>
  </si>
  <si>
    <t xml:space="preserve">Todos Menos Você</t>
  </si>
  <si>
    <t xml:space="preserve">Anyone But You</t>
  </si>
  <si>
    <t xml:space="preserve">tt26047818</t>
  </si>
  <si>
    <t xml:space="preserve">O Touro Ferdinando</t>
  </si>
  <si>
    <t xml:space="preserve">Ferdinand</t>
  </si>
  <si>
    <t xml:space="preserve">tt3411444</t>
  </si>
  <si>
    <t xml:space="preserve">A Múmia: A Tumba do Imperador Dragão</t>
  </si>
  <si>
    <t xml:space="preserve">O Menino e a Garça</t>
  </si>
  <si>
    <t xml:space="preserve">The Boy and the Heron</t>
  </si>
  <si>
    <t xml:space="preserve">tt6587046</t>
  </si>
  <si>
    <t xml:space="preserve">Carandiru</t>
  </si>
  <si>
    <t xml:space="preserve">tt0293007</t>
  </si>
  <si>
    <t xml:space="preserve">Doentes de Amor</t>
  </si>
  <si>
    <t xml:space="preserve">The Big Sick</t>
  </si>
  <si>
    <t xml:space="preserve">tt5462602</t>
  </si>
  <si>
    <t xml:space="preserve">American Pie 2 - A Segunda Vez é Ainda Melhor</t>
  </si>
  <si>
    <t xml:space="preserve">American Pie 2</t>
  </si>
  <si>
    <t xml:space="preserve">tt0252866</t>
  </si>
  <si>
    <t xml:space="preserve">Ave, César!</t>
  </si>
  <si>
    <t xml:space="preserve">Hail, Caesar!</t>
  </si>
  <si>
    <t xml:space="preserve">tt0475290</t>
  </si>
  <si>
    <t xml:space="preserve">Projeto Flórida</t>
  </si>
  <si>
    <t xml:space="preserve">The Florida Project</t>
  </si>
  <si>
    <t xml:space="preserve">tt5649144</t>
  </si>
  <si>
    <t xml:space="preserve">O Último Caçador de Bruxas</t>
  </si>
  <si>
    <t xml:space="preserve">The Last Witch Hunter</t>
  </si>
  <si>
    <t xml:space="preserve">tt1618442</t>
  </si>
  <si>
    <t xml:space="preserve">Os Normais 2</t>
  </si>
  <si>
    <t xml:space="preserve">Não Fale o Mal</t>
  </si>
  <si>
    <t xml:space="preserve">Speak No Evil</t>
  </si>
  <si>
    <t xml:space="preserve">tt27534307</t>
  </si>
  <si>
    <t xml:space="preserve">Shazam! Fúria dos Deuses</t>
  </si>
  <si>
    <t xml:space="preserve">Shazam! Fury of the Gods</t>
  </si>
  <si>
    <t xml:space="preserve">tt10151854</t>
  </si>
  <si>
    <t xml:space="preserve">Kubo e as Cordas Mágicas</t>
  </si>
  <si>
    <t xml:space="preserve">Kubo and the Two Strings</t>
  </si>
  <si>
    <t xml:space="preserve">tt4302938</t>
  </si>
  <si>
    <t xml:space="preserve">A Vila</t>
  </si>
  <si>
    <t xml:space="preserve">The Village</t>
  </si>
  <si>
    <t xml:space="preserve">tt0368447</t>
  </si>
  <si>
    <t xml:space="preserve">Asteroid City</t>
  </si>
  <si>
    <t xml:space="preserve">tt14230388</t>
  </si>
  <si>
    <t xml:space="preserve">2 Filhos de Francisco: a História de Zezé Di Camargo e Luciano</t>
  </si>
  <si>
    <t xml:space="preserve">Two Sons of Francisco</t>
  </si>
  <si>
    <t xml:space="preserve">tt0439547</t>
  </si>
  <si>
    <t xml:space="preserve">A Família Mitchell e a Revolta das Máquinas</t>
  </si>
  <si>
    <t xml:space="preserve">The Mitchells vs. the Machines</t>
  </si>
  <si>
    <t xml:space="preserve">tt7979580</t>
  </si>
  <si>
    <t xml:space="preserve">Se Eu Fosse Você 2</t>
  </si>
  <si>
    <t xml:space="preserve">If I Were You 2</t>
  </si>
  <si>
    <t xml:space="preserve">tt1099227</t>
  </si>
  <si>
    <t xml:space="preserve">Amor, Sublime Amor</t>
  </si>
  <si>
    <t xml:space="preserve">West Side Story</t>
  </si>
  <si>
    <t xml:space="preserve">tt3581652</t>
  </si>
  <si>
    <t xml:space="preserve">A Noite das Bruxas</t>
  </si>
  <si>
    <t xml:space="preserve">A Haunting in Venice</t>
  </si>
  <si>
    <t xml:space="preserve">tt22687790</t>
  </si>
  <si>
    <t xml:space="preserve">Batem à Porta</t>
  </si>
  <si>
    <t xml:space="preserve">Knock at the Cabin</t>
  </si>
  <si>
    <t xml:space="preserve">tt8272064</t>
  </si>
  <si>
    <t xml:space="preserve">Okja</t>
  </si>
  <si>
    <t xml:space="preserve">tt3967856</t>
  </si>
  <si>
    <t xml:space="preserve">A Verdade Nua e Crua</t>
  </si>
  <si>
    <t xml:space="preserve">The Ugly Truth</t>
  </si>
  <si>
    <t xml:space="preserve">tt1142988</t>
  </si>
  <si>
    <t xml:space="preserve">Demon Slayer: Kimetsu no Yaiba – The Movie: Infinity Castle</t>
  </si>
  <si>
    <t xml:space="preserve">Bilheteria mundial</t>
  </si>
  <si>
    <t xml:space="preserve">A Freira 2</t>
  </si>
  <si>
    <t xml:space="preserve">The Nun II</t>
  </si>
  <si>
    <t xml:space="preserve">tt10160976</t>
  </si>
  <si>
    <t xml:space="preserve">T2: Trainspotting</t>
  </si>
  <si>
    <t xml:space="preserve">T2 Trainspotting</t>
  </si>
  <si>
    <t xml:space="preserve">tt2763304</t>
  </si>
  <si>
    <t xml:space="preserve">Tá chovendo hambúrguer 2</t>
  </si>
  <si>
    <t xml:space="preserve">Cloudy with a Chance of Meatballs 2</t>
  </si>
  <si>
    <t xml:space="preserve">tt1985966</t>
  </si>
  <si>
    <t xml:space="preserve">Um Cadáver Para Sobreviver</t>
  </si>
  <si>
    <t xml:space="preserve">Swiss Army Man</t>
  </si>
  <si>
    <t xml:space="preserve">tt4034354</t>
  </si>
  <si>
    <t xml:space="preserve">Todo Mundo em Pânico 2</t>
  </si>
  <si>
    <t xml:space="preserve">Scary Movie 2</t>
  </si>
  <si>
    <t xml:space="preserve">tt0257106</t>
  </si>
  <si>
    <t xml:space="preserve">Os Homens que Encaravam Cabras</t>
  </si>
  <si>
    <t xml:space="preserve">The Men Who Stare at Goats</t>
  </si>
  <si>
    <t xml:space="preserve">tt1234548</t>
  </si>
  <si>
    <t xml:space="preserve">Fora de Série</t>
  </si>
  <si>
    <t xml:space="preserve">Booksmart</t>
  </si>
  <si>
    <t xml:space="preserve">tt1489887</t>
  </si>
  <si>
    <t xml:space="preserve">Círculo de Fogo: A Revolta</t>
  </si>
  <si>
    <t xml:space="preserve">Pacific Rim: Uprising</t>
  </si>
  <si>
    <t xml:space="preserve">tt2557478</t>
  </si>
  <si>
    <t xml:space="preserve">As crônicas de Nárnia: A viagem do Peregrino da Alvorada</t>
  </si>
  <si>
    <t xml:space="preserve">The Chronicles of Narnia: The Voyage of the Dawn Treader</t>
  </si>
  <si>
    <t xml:space="preserve">tt0980970</t>
  </si>
  <si>
    <t xml:space="preserve">Tropa de Elite</t>
  </si>
  <si>
    <t xml:space="preserve">Elite Squad</t>
  </si>
  <si>
    <t xml:space="preserve">tt0861739</t>
  </si>
  <si>
    <t xml:space="preserve">As Panteras Detonando</t>
  </si>
  <si>
    <t xml:space="preserve">Charlie's Angels: Full Throttle</t>
  </si>
  <si>
    <t xml:space="preserve">tt0305357</t>
  </si>
  <si>
    <t xml:space="preserve">Bee Movie - A História de uma Abelha</t>
  </si>
  <si>
    <t xml:space="preserve">Bee Movie</t>
  </si>
  <si>
    <t xml:space="preserve">tt0389790</t>
  </si>
  <si>
    <t xml:space="preserve">Os Fabelmans</t>
  </si>
  <si>
    <t xml:space="preserve">The Fabelmans</t>
  </si>
  <si>
    <t xml:space="preserve">tt14208870</t>
  </si>
  <si>
    <t xml:space="preserve">Você Nunca Esteve Realmente Aqui</t>
  </si>
  <si>
    <t xml:space="preserve">You Were Never Really Here</t>
  </si>
  <si>
    <t xml:space="preserve">tt5742374</t>
  </si>
  <si>
    <t xml:space="preserve">Silêncio</t>
  </si>
  <si>
    <t xml:space="preserve">Silence</t>
  </si>
  <si>
    <t xml:space="preserve">tt0490215</t>
  </si>
  <si>
    <t xml:space="preserve">Corra que a Polícia Vem Aí!</t>
  </si>
  <si>
    <t xml:space="preserve">The Naked Gun</t>
  </si>
  <si>
    <t xml:space="preserve">tt3402138</t>
  </si>
  <si>
    <t xml:space="preserve">Com Amor, Simon</t>
  </si>
  <si>
    <t xml:space="preserve">Love, Simon</t>
  </si>
  <si>
    <t xml:space="preserve">tt5164432</t>
  </si>
  <si>
    <t xml:space="preserve">Minha Mãe É uma Peça</t>
  </si>
  <si>
    <t xml:space="preserve">My Mom Is a Character</t>
  </si>
  <si>
    <t xml:space="preserve">tt2464018</t>
  </si>
  <si>
    <t xml:space="preserve">Pisque Duas Vezes</t>
  </si>
  <si>
    <t xml:space="preserve">Blink Twice</t>
  </si>
  <si>
    <t xml:space="preserve">tt14858658</t>
  </si>
  <si>
    <t xml:space="preserve">A Lenda do Cavaleiro Verde</t>
  </si>
  <si>
    <t xml:space="preserve">The Green Knight</t>
  </si>
  <si>
    <t xml:space="preserve">tt9243804</t>
  </si>
  <si>
    <t xml:space="preserve">A Bússola de Ouro</t>
  </si>
  <si>
    <t xml:space="preserve">The Golden Compass</t>
  </si>
  <si>
    <t xml:space="preserve">tt0385752</t>
  </si>
  <si>
    <t xml:space="preserve">Aftersun</t>
  </si>
  <si>
    <t xml:space="preserve">tt19770238</t>
  </si>
  <si>
    <t xml:space="preserve">A Pior Pessoa do Mundo</t>
  </si>
  <si>
    <t xml:space="preserve">The Worst Person in the World</t>
  </si>
  <si>
    <t xml:space="preserve">tt10370710</t>
  </si>
  <si>
    <t xml:space="preserve">Retrato de uma Jovem em Chamas</t>
  </si>
  <si>
    <t xml:space="preserve">Portrait of a Lady on Fire</t>
  </si>
  <si>
    <t xml:space="preserve">tt8613070</t>
  </si>
  <si>
    <t xml:space="preserve">Triplo X</t>
  </si>
  <si>
    <t xml:space="preserve">xXx</t>
  </si>
  <si>
    <t xml:space="preserve">tt0295701</t>
  </si>
  <si>
    <t xml:space="preserve">Minha Vida em Marte</t>
  </si>
  <si>
    <t xml:space="preserve">tt8619812</t>
  </si>
  <si>
    <t xml:space="preserve">Miss Simpatia</t>
  </si>
  <si>
    <t xml:space="preserve">Miss Congeniality</t>
  </si>
  <si>
    <t xml:space="preserve">tt0212346</t>
  </si>
  <si>
    <t xml:space="preserve">Tick, Tick... Boom!</t>
  </si>
  <si>
    <t xml:space="preserve">tick, tick... BOOM!</t>
  </si>
  <si>
    <t xml:space="preserve">tt8721424</t>
  </si>
  <si>
    <t xml:space="preserve">Casal Improvável</t>
  </si>
  <si>
    <t xml:space="preserve">Long Shot</t>
  </si>
  <si>
    <t xml:space="preserve">tt2139881</t>
  </si>
  <si>
    <t xml:space="preserve">O Urso do Pó Branco</t>
  </si>
  <si>
    <t xml:space="preserve">Cocaine Bear</t>
  </si>
  <si>
    <t xml:space="preserve">tt14209916</t>
  </si>
  <si>
    <t xml:space="preserve">A Morte de Stalin</t>
  </si>
  <si>
    <t xml:space="preserve">The Death of Stalin</t>
  </si>
  <si>
    <t xml:space="preserve">tt4686844</t>
  </si>
  <si>
    <t xml:space="preserve">Minari - Em Busca da Felicidade</t>
  </si>
  <si>
    <t xml:space="preserve">Minari</t>
  </si>
  <si>
    <t xml:space="preserve">tt10633456</t>
  </si>
  <si>
    <t xml:space="preserve">A Cura</t>
  </si>
  <si>
    <t xml:space="preserve">A Cure for Wellness</t>
  </si>
  <si>
    <t xml:space="preserve">tt4731136</t>
  </si>
  <si>
    <t xml:space="preserve">Abigail</t>
  </si>
  <si>
    <t xml:space="preserve">tt27489557</t>
  </si>
  <si>
    <t xml:space="preserve">Maligno</t>
  </si>
  <si>
    <t xml:space="preserve">Malignant</t>
  </si>
  <si>
    <t xml:space="preserve">tt3811906</t>
  </si>
  <si>
    <t xml:space="preserve">Mamma Mia! Lá Vamos Nós de Novo</t>
  </si>
  <si>
    <t xml:space="preserve">Mamma Mia! Here We Go Again</t>
  </si>
  <si>
    <t xml:space="preserve">tt6911608</t>
  </si>
  <si>
    <t xml:space="preserve">Nada a Perder 2</t>
  </si>
  <si>
    <t xml:space="preserve">Nothing to Lose 2</t>
  </si>
  <si>
    <t xml:space="preserve">tt10738914</t>
  </si>
  <si>
    <t xml:space="preserve">Renfield - Dando Sangue pelo Chefe</t>
  </si>
  <si>
    <t xml:space="preserve">Renfield</t>
  </si>
  <si>
    <t xml:space="preserve">tt11358390</t>
  </si>
  <si>
    <t xml:space="preserve">Nuremberg</t>
  </si>
  <si>
    <t xml:space="preserve">tt29567915</t>
  </si>
  <si>
    <t xml:space="preserve">As Ovelhas Detetives</t>
  </si>
  <si>
    <t xml:space="preserve">The Sheep Detectives</t>
  </si>
  <si>
    <t xml:space="preserve">tt32565993</t>
  </si>
  <si>
    <t xml:space="preserve">Marley &amp; Eu</t>
  </si>
  <si>
    <t xml:space="preserve">Marley &amp; Me</t>
  </si>
  <si>
    <t xml:space="preserve">tt0822832</t>
  </si>
  <si>
    <t xml:space="preserve">Aquaman 2: O Reino Perdido</t>
  </si>
  <si>
    <t xml:space="preserve">Aquaman and the Lost Kingdom</t>
  </si>
  <si>
    <t xml:space="preserve">tt9663764</t>
  </si>
  <si>
    <t xml:space="preserve">Os Smurfs 2</t>
  </si>
  <si>
    <t xml:space="preserve">The Smurfs 2</t>
  </si>
  <si>
    <t xml:space="preserve">tt2017020</t>
  </si>
  <si>
    <t xml:space="preserve">Star Wars: O Mandaloriano e Grogu</t>
  </si>
  <si>
    <t xml:space="preserve">Star Wars: The Mandalorian and Grogu</t>
  </si>
  <si>
    <t xml:space="preserve">tt30825738</t>
  </si>
  <si>
    <t xml:space="preserve">Mamma Mia!</t>
  </si>
  <si>
    <t xml:space="preserve">tt0795421</t>
  </si>
  <si>
    <t xml:space="preserve">O Lobisomem</t>
  </si>
  <si>
    <t xml:space="preserve">The Wolfman</t>
  </si>
  <si>
    <t xml:space="preserve">tt0780653</t>
  </si>
  <si>
    <t xml:space="preserve">De Pernas pro Ar 2</t>
  </si>
  <si>
    <t xml:space="preserve">Head Over Heels 2</t>
  </si>
  <si>
    <t xml:space="preserve">tt2296709</t>
  </si>
  <si>
    <t xml:space="preserve">Madame Teia</t>
  </si>
  <si>
    <t xml:space="preserve">Madame Web</t>
  </si>
  <si>
    <t xml:space="preserve">tt11057302</t>
  </si>
  <si>
    <t xml:space="preserve">O Dia em que A Terra Parou</t>
  </si>
  <si>
    <t xml:space="preserve">The Day the Earth Stood Still</t>
  </si>
  <si>
    <t xml:space="preserve">tt0970416</t>
  </si>
  <si>
    <t xml:space="preserve">O Auto da Compadecida 2</t>
  </si>
  <si>
    <t xml:space="preserve">A Dog's Will 2</t>
  </si>
  <si>
    <t xml:space="preserve">tt28696532</t>
  </si>
  <si>
    <t xml:space="preserve">Tempo de Guerra</t>
  </si>
  <si>
    <t xml:space="preserve">Warfare</t>
  </si>
  <si>
    <t xml:space="preserve">tt31434639</t>
  </si>
  <si>
    <t xml:space="preserve">Sonhos de Trem</t>
  </si>
  <si>
    <t xml:space="preserve">Train Dreams</t>
  </si>
  <si>
    <t xml:space="preserve">tt29768334</t>
  </si>
  <si>
    <t xml:space="preserve">Paddington 2</t>
  </si>
  <si>
    <t xml:space="preserve">tt4468740</t>
  </si>
  <si>
    <t xml:space="preserve">Todo Mundo em Pânico 3</t>
  </si>
  <si>
    <t xml:space="preserve">Scary Movie 3</t>
  </si>
  <si>
    <t xml:space="preserve">tt0306047</t>
  </si>
  <si>
    <t xml:space="preserve">Judas e o Messias Negro</t>
  </si>
  <si>
    <t xml:space="preserve">Judas and the Black Messiah</t>
  </si>
  <si>
    <t xml:space="preserve">tt9784798</t>
  </si>
  <si>
    <t xml:space="preserve">Supergirl</t>
  </si>
  <si>
    <t xml:space="preserve">tt8814476</t>
  </si>
  <si>
    <t xml:space="preserve">O Substituto</t>
  </si>
  <si>
    <t xml:space="preserve">Detachment</t>
  </si>
  <si>
    <t xml:space="preserve">tt1683526</t>
  </si>
  <si>
    <t xml:space="preserve">As Golpistas</t>
  </si>
  <si>
    <t xml:space="preserve">Hustlers</t>
  </si>
  <si>
    <t xml:space="preserve">tt5503686</t>
  </si>
  <si>
    <t xml:space="preserve">Ted Bundy: A Irresistível Face do Mal</t>
  </si>
  <si>
    <t xml:space="preserve">Extremely Wicked, Shockingly Evil and Vile</t>
  </si>
  <si>
    <t xml:space="preserve">tt2481498</t>
  </si>
  <si>
    <t xml:space="preserve">Nosso Lar</t>
  </si>
  <si>
    <t xml:space="preserve">Astral City: A Spiritual Journey</t>
  </si>
  <si>
    <t xml:space="preserve">tt1467388</t>
  </si>
  <si>
    <t xml:space="preserve">Alexandre</t>
  </si>
  <si>
    <t xml:space="preserve">Alexander</t>
  </si>
  <si>
    <t xml:space="preserve">tt0346491</t>
  </si>
  <si>
    <t xml:space="preserve">Dias Perfeitos</t>
  </si>
  <si>
    <t xml:space="preserve">Perfect Days</t>
  </si>
  <si>
    <t xml:space="preserve">tt27503384</t>
  </si>
  <si>
    <t xml:space="preserve">Alguém Tem que Ceder</t>
  </si>
  <si>
    <t xml:space="preserve">Something's Gotta Give</t>
  </si>
  <si>
    <t xml:space="preserve">tt0337741</t>
  </si>
  <si>
    <t xml:space="preserve">Rua do Medo: 1994 - Parte 1</t>
  </si>
  <si>
    <t xml:space="preserve">Fear Street: Part One - 1994</t>
  </si>
  <si>
    <t xml:space="preserve">tt6566576</t>
  </si>
  <si>
    <t xml:space="preserve">Demônio de Neon</t>
  </si>
  <si>
    <t xml:space="preserve">The Neon Demon</t>
  </si>
  <si>
    <t xml:space="preserve">tt1974419</t>
  </si>
  <si>
    <t xml:space="preserve">Missão: Impossível – Acerto de Contas Parte 1</t>
  </si>
  <si>
    <t xml:space="preserve">Mission: Impossible – Dead Reckoning Part One</t>
  </si>
  <si>
    <t xml:space="preserve">tt9603212</t>
  </si>
  <si>
    <t xml:space="preserve">Estou Pensando em Acabar com Tudo</t>
  </si>
  <si>
    <t xml:space="preserve">I'm Thinking of Ending Things</t>
  </si>
  <si>
    <t xml:space="preserve">tt7939766</t>
  </si>
  <si>
    <t xml:space="preserve">Ao Cair da Noite</t>
  </si>
  <si>
    <t xml:space="preserve">It Comes at Night</t>
  </si>
  <si>
    <t xml:space="preserve">tt4695012</t>
  </si>
  <si>
    <t xml:space="preserve">Tár</t>
  </si>
  <si>
    <t xml:space="preserve">tt14444726</t>
  </si>
  <si>
    <t xml:space="preserve">Robôs</t>
  </si>
  <si>
    <t xml:space="preserve">Robots</t>
  </si>
  <si>
    <t xml:space="preserve">tt0358082</t>
  </si>
  <si>
    <t xml:space="preserve">Se Eu Fosse Você</t>
  </si>
  <si>
    <t xml:space="preserve">If I Were You</t>
  </si>
  <si>
    <t xml:space="preserve">tt0448927</t>
  </si>
  <si>
    <t xml:space="preserve">O Grito</t>
  </si>
  <si>
    <t xml:space="preserve">The Grudge</t>
  </si>
  <si>
    <t xml:space="preserve">tt0391198</t>
  </si>
  <si>
    <t xml:space="preserve">Invocação do Mal 4: O Último Ritual</t>
  </si>
  <si>
    <t xml:space="preserve">The Conjuring: Last Rites</t>
  </si>
  <si>
    <t xml:space="preserve">tt22898462</t>
  </si>
  <si>
    <t xml:space="preserve">Rei Arthur</t>
  </si>
  <si>
    <t xml:space="preserve">King Arthur</t>
  </si>
  <si>
    <t xml:space="preserve">tt0349683</t>
  </si>
  <si>
    <t xml:space="preserve">Festival Eurovision da Canção: A Saga de Sigrit e Lars</t>
  </si>
  <si>
    <t xml:space="preserve">Eurovision Song Contest: The Story of Fire Saga</t>
  </si>
  <si>
    <t xml:space="preserve">tt8580274</t>
  </si>
  <si>
    <t xml:space="preserve">Ameaça Profunda</t>
  </si>
  <si>
    <t xml:space="preserve">Underwater</t>
  </si>
  <si>
    <t xml:space="preserve">tt5774060</t>
  </si>
  <si>
    <t xml:space="preserve">Halloween Kills: O Terror Continua</t>
  </si>
  <si>
    <t xml:space="preserve">Halloween Kills</t>
  </si>
  <si>
    <t xml:space="preserve">tt10665338</t>
  </si>
  <si>
    <t xml:space="preserve">As Viúvas</t>
  </si>
  <si>
    <t xml:space="preserve">Widows</t>
  </si>
  <si>
    <t xml:space="preserve">tt4218572</t>
  </si>
  <si>
    <t xml:space="preserve">Hostis</t>
  </si>
  <si>
    <t xml:space="preserve">Hostiles</t>
  </si>
  <si>
    <t xml:space="preserve">tt5478478</t>
  </si>
  <si>
    <t xml:space="preserve">Comer, rezar e amar</t>
  </si>
  <si>
    <t xml:space="preserve">Sing Street - Música e Sonho</t>
  </si>
  <si>
    <t xml:space="preserve">Sing Street</t>
  </si>
  <si>
    <t xml:space="preserve">tt3544112</t>
  </si>
  <si>
    <t xml:space="preserve">Amores Materialistas</t>
  </si>
  <si>
    <t xml:space="preserve">Materialists</t>
  </si>
  <si>
    <t xml:space="preserve">tt30253473</t>
  </si>
  <si>
    <t xml:space="preserve">Por Água Abaixo</t>
  </si>
  <si>
    <t xml:space="preserve">Flushed Away</t>
  </si>
  <si>
    <t xml:space="preserve">tt0424095</t>
  </si>
  <si>
    <t xml:space="preserve">Pig: A Vingança</t>
  </si>
  <si>
    <t xml:space="preserve">Pig</t>
  </si>
  <si>
    <t xml:space="preserve">tt11003218</t>
  </si>
  <si>
    <t xml:space="preserve">Suspíria: A Dança do Medo</t>
  </si>
  <si>
    <t xml:space="preserve">Suspiria</t>
  </si>
  <si>
    <t xml:space="preserve">tt1034415</t>
  </si>
  <si>
    <t xml:space="preserve">O Agente Secreto</t>
  </si>
  <si>
    <t xml:space="preserve">The Secret Agent</t>
  </si>
  <si>
    <t xml:space="preserve">tt27847051</t>
  </si>
  <si>
    <t xml:space="preserve">Os Homens são de Marte... E é para lá que eu vou</t>
  </si>
  <si>
    <t xml:space="preserve">Mank</t>
  </si>
  <si>
    <t xml:space="preserve">tt10618286</t>
  </si>
  <si>
    <t xml:space="preserve">Os Mortos Não Morrem</t>
  </si>
  <si>
    <t xml:space="preserve">The Dead Don't Die</t>
  </si>
  <si>
    <t xml:space="preserve">tt8695030</t>
  </si>
  <si>
    <t xml:space="preserve">Truque de Mestre - O 3º Ato</t>
  </si>
  <si>
    <t xml:space="preserve">Irmão Urso</t>
  </si>
  <si>
    <t xml:space="preserve">Brother Bear</t>
  </si>
  <si>
    <t xml:space="preserve">tt0328880</t>
  </si>
  <si>
    <t xml:space="preserve">O Lamento</t>
  </si>
  <si>
    <t xml:space="preserve">The Wailing</t>
  </si>
  <si>
    <t xml:space="preserve">tt5215952</t>
  </si>
  <si>
    <t xml:space="preserve">Até que a Sorte Nos Separe 2</t>
  </si>
  <si>
    <t xml:space="preserve">Till Luck Do Us Part 2</t>
  </si>
  <si>
    <t xml:space="preserve">tt3148528</t>
  </si>
  <si>
    <t xml:space="preserve">Lisbela e o Prisioneiro</t>
  </si>
  <si>
    <t xml:space="preserve">Lisbela and the Prisoner</t>
  </si>
  <si>
    <t xml:space="preserve">tt0367975</t>
  </si>
  <si>
    <t xml:space="preserve">Fúria Primitiva</t>
  </si>
  <si>
    <t xml:space="preserve">Monkey Man</t>
  </si>
  <si>
    <t xml:space="preserve">tt9214772</t>
  </si>
  <si>
    <t xml:space="preserve">Dupla Jornada</t>
  </si>
  <si>
    <t xml:space="preserve">Day Shift</t>
  </si>
  <si>
    <t xml:space="preserve">tt13314558</t>
  </si>
  <si>
    <t xml:space="preserve">Até que a Sorte nos Separe</t>
  </si>
  <si>
    <t xml:space="preserve">Till Luck Do Us Part</t>
  </si>
  <si>
    <t xml:space="preserve">tt2332518</t>
  </si>
  <si>
    <t xml:space="preserve">Jogos Mortais X</t>
  </si>
  <si>
    <t xml:space="preserve">Saw X</t>
  </si>
  <si>
    <t xml:space="preserve">tt21807222</t>
  </si>
  <si>
    <t xml:space="preserve">High School Musical 3 - Ano de Formatura</t>
  </si>
  <si>
    <t xml:space="preserve">Mandy: Sede de Vingança</t>
  </si>
  <si>
    <t xml:space="preserve">Mandy</t>
  </si>
  <si>
    <t xml:space="preserve">tt6998518</t>
  </si>
  <si>
    <t xml:space="preserve">Scooby-Doo 2: Monstros à Solta</t>
  </si>
  <si>
    <t xml:space="preserve">Scooby-Doo 2: Monsters Unleashed</t>
  </si>
  <si>
    <t xml:space="preserve">tt0331632</t>
  </si>
  <si>
    <t xml:space="preserve">O Macaco</t>
  </si>
  <si>
    <t xml:space="preserve">The Monkey</t>
  </si>
  <si>
    <t xml:space="preserve">tt27714946</t>
  </si>
  <si>
    <t xml:space="preserve">Caminhos do Crime</t>
  </si>
  <si>
    <t xml:space="preserve">Crime 101</t>
  </si>
  <si>
    <t xml:space="preserve">tt32430579</t>
  </si>
  <si>
    <t xml:space="preserve">Grave</t>
  </si>
  <si>
    <t xml:space="preserve">Raw</t>
  </si>
  <si>
    <t xml:space="preserve">tt4954522</t>
  </si>
  <si>
    <t xml:space="preserve">Viveiro</t>
  </si>
  <si>
    <t xml:space="preserve">Vivarium</t>
  </si>
  <si>
    <t xml:space="preserve">tt8368406</t>
  </si>
  <si>
    <t xml:space="preserve">Assunto de Família</t>
  </si>
  <si>
    <t xml:space="preserve">Shoplifters</t>
  </si>
  <si>
    <t xml:space="preserve">tt8075192</t>
  </si>
  <si>
    <t xml:space="preserve">Novocaine: À Prova de Dor</t>
  </si>
  <si>
    <t xml:space="preserve">Novocaine</t>
  </si>
  <si>
    <t xml:space="preserve">tt29603959</t>
  </si>
  <si>
    <t xml:space="preserve">Desculpe te Incomodar</t>
  </si>
  <si>
    <t xml:space="preserve">Sorry to Bother You</t>
  </si>
  <si>
    <t xml:space="preserve">tt5688932</t>
  </si>
  <si>
    <t xml:space="preserve">Rua do Medo: 1978 - Parte 2</t>
  </si>
  <si>
    <t xml:space="preserve">Fear Street: Part Two - 1978</t>
  </si>
  <si>
    <t xml:space="preserve">tt9701940</t>
  </si>
  <si>
    <t xml:space="preserve">Não Vai Dar</t>
  </si>
  <si>
    <t xml:space="preserve">Blockers</t>
  </si>
  <si>
    <t xml:space="preserve">tt2531344</t>
  </si>
  <si>
    <t xml:space="preserve">Chico Xavier</t>
  </si>
  <si>
    <t xml:space="preserve">tt1234559</t>
  </si>
  <si>
    <t xml:space="preserve">Cazuza - O Tempo Não Para</t>
  </si>
  <si>
    <t xml:space="preserve">Cazuza: Time Doesn't Stop</t>
  </si>
  <si>
    <t xml:space="preserve">tt0318590</t>
  </si>
  <si>
    <t xml:space="preserve">MaXXXine</t>
  </si>
  <si>
    <t xml:space="preserve">tt22048412</t>
  </si>
  <si>
    <t xml:space="preserve">Morte, Morte, Morte</t>
  </si>
  <si>
    <t xml:space="preserve">Bodies Bodies Bodies</t>
  </si>
  <si>
    <t xml:space="preserve">tt8110652</t>
  </si>
  <si>
    <t xml:space="preserve">A Mulher na Janela</t>
  </si>
  <si>
    <t xml:space="preserve">The Woman in the Window</t>
  </si>
  <si>
    <t xml:space="preserve">tt6111574</t>
  </si>
  <si>
    <t xml:space="preserve">Olga</t>
  </si>
  <si>
    <t xml:space="preserve">tt0196811</t>
  </si>
  <si>
    <t xml:space="preserve">Ladrões</t>
  </si>
  <si>
    <t xml:space="preserve">Caught Stealing</t>
  </si>
  <si>
    <t xml:space="preserve">tt1493274</t>
  </si>
  <si>
    <t xml:space="preserve">Loucas pra Casar</t>
  </si>
  <si>
    <t xml:space="preserve">tt3948438</t>
  </si>
  <si>
    <t xml:space="preserve">Valor Sentimental</t>
  </si>
  <si>
    <t xml:space="preserve">Sentimental Value</t>
  </si>
  <si>
    <t xml:space="preserve">tt27714581</t>
  </si>
  <si>
    <t xml:space="preserve">Clímax</t>
  </si>
  <si>
    <t xml:space="preserve">Climax</t>
  </si>
  <si>
    <t xml:space="preserve">tt8359848</t>
  </si>
  <si>
    <t xml:space="preserve">Juntos</t>
  </si>
  <si>
    <t xml:space="preserve">Together</t>
  </si>
  <si>
    <t xml:space="preserve">tt31184028</t>
  </si>
  <si>
    <t xml:space="preserve">Uma Ideia de Você</t>
  </si>
  <si>
    <t xml:space="preserve">The Idea of You</t>
  </si>
  <si>
    <t xml:space="preserve">tt9466114</t>
  </si>
  <si>
    <t xml:space="preserve">Horton e o Mundo dos Quem!</t>
  </si>
  <si>
    <t xml:space="preserve">Horton Hears a Who!</t>
  </si>
  <si>
    <t xml:space="preserve">tt0451079</t>
  </si>
  <si>
    <t xml:space="preserve">Em Chamas</t>
  </si>
  <si>
    <t xml:space="preserve">Burning</t>
  </si>
  <si>
    <t xml:space="preserve">tt7282468</t>
  </si>
  <si>
    <t xml:space="preserve">Sombras da Vida</t>
  </si>
  <si>
    <t xml:space="preserve">A Ghost Story</t>
  </si>
  <si>
    <t xml:space="preserve">tt6265828</t>
  </si>
  <si>
    <t xml:space="preserve">As Loucuras de Dick e Jane</t>
  </si>
  <si>
    <t xml:space="preserve">Fun with Dick and Jane</t>
  </si>
  <si>
    <t xml:space="preserve">tt0369441</t>
  </si>
  <si>
    <t xml:space="preserve">Oitava Série</t>
  </si>
  <si>
    <t xml:space="preserve">Eighth Grade</t>
  </si>
  <si>
    <t xml:space="preserve">tt7014006</t>
  </si>
  <si>
    <t xml:space="preserve">Meu Passado Me Condena</t>
  </si>
  <si>
    <t xml:space="preserve">Meu Passado Me Condena: O Filme</t>
  </si>
  <si>
    <t xml:space="preserve">tt3034258</t>
  </si>
  <si>
    <t xml:space="preserve">Viagem ao Centro da Terra - O Filme</t>
  </si>
  <si>
    <t xml:space="preserve">Journey to the Center of the Earth</t>
  </si>
  <si>
    <t xml:space="preserve">tt0373051</t>
  </si>
  <si>
    <t xml:space="preserve">Uma Aventura Lego 2</t>
  </si>
  <si>
    <t xml:space="preserve">The Lego Movie 2: The Second Part</t>
  </si>
  <si>
    <t xml:space="preserve">tt3513498</t>
  </si>
  <si>
    <t xml:space="preserve">Destino Especial</t>
  </si>
  <si>
    <t xml:space="preserve">Midnight Special</t>
  </si>
  <si>
    <t xml:space="preserve">tt2649554</t>
  </si>
  <si>
    <t xml:space="preserve">The Battle at Lake Changjin</t>
  </si>
  <si>
    <t xml:space="preserve">tt13462900</t>
  </si>
  <si>
    <t xml:space="preserve">Os Normais - O Filme</t>
  </si>
  <si>
    <t xml:space="preserve">So Normal</t>
  </si>
  <si>
    <t xml:space="preserve">tt0351459</t>
  </si>
  <si>
    <t xml:space="preserve">A Lenda de Candyman</t>
  </si>
  <si>
    <t xml:space="preserve">Candyman</t>
  </si>
  <si>
    <t xml:space="preserve">tt9347730</t>
  </si>
  <si>
    <t xml:space="preserve">Orfã 2: A Origem</t>
  </si>
  <si>
    <t xml:space="preserve">Orphan: First Kill</t>
  </si>
  <si>
    <t xml:space="preserve">tt11851548</t>
  </si>
  <si>
    <t xml:space="preserve">Halloween Ends</t>
  </si>
  <si>
    <t xml:space="preserve">tt10665342</t>
  </si>
  <si>
    <t xml:space="preserve">O Pequeno Stuart Little 2</t>
  </si>
  <si>
    <t xml:space="preserve">Stuart Little 2</t>
  </si>
  <si>
    <t xml:space="preserve">tt0243585</t>
  </si>
  <si>
    <t xml:space="preserve">Boa Sorte, Divirta-se, Não Morra</t>
  </si>
  <si>
    <t xml:space="preserve">Good Luck, Have Fun, Don't Die</t>
  </si>
  <si>
    <t xml:space="preserve">tt1341338</t>
  </si>
  <si>
    <t xml:space="preserve">O Galinho Chicken Little</t>
  </si>
  <si>
    <t xml:space="preserve">Chicken Little</t>
  </si>
  <si>
    <t xml:space="preserve">tt0371606</t>
  </si>
  <si>
    <t xml:space="preserve">O Rei de Staten Island</t>
  </si>
  <si>
    <t xml:space="preserve">The King of Staten Island</t>
  </si>
  <si>
    <t xml:space="preserve">tt9686708</t>
  </si>
  <si>
    <t xml:space="preserve">Vai que Cola – O Filme</t>
  </si>
  <si>
    <t xml:space="preserve">Vai que Cola: O Filme</t>
  </si>
  <si>
    <t xml:space="preserve">tt4694404</t>
  </si>
  <si>
    <t xml:space="preserve">Spencer</t>
  </si>
  <si>
    <t xml:space="preserve">tt12536294</t>
  </si>
  <si>
    <t xml:space="preserve">Men: Faces do Medo</t>
  </si>
  <si>
    <t xml:space="preserve">Men</t>
  </si>
  <si>
    <t xml:space="preserve">tt13841850</t>
  </si>
  <si>
    <t xml:space="preserve">Truque de Mestre: O 3° Ato</t>
  </si>
  <si>
    <t xml:space="preserve">Now You See Me: Now You Don't</t>
  </si>
  <si>
    <t xml:space="preserve">tt4712810</t>
  </si>
  <si>
    <t xml:space="preserve">Beau tem Medo</t>
  </si>
  <si>
    <t xml:space="preserve">Beau Is Afraid</t>
  </si>
  <si>
    <t xml:space="preserve">tt13521006</t>
  </si>
  <si>
    <t xml:space="preserve">Cilada.com</t>
  </si>
  <si>
    <t xml:space="preserve">Trap.com</t>
  </si>
  <si>
    <t xml:space="preserve">tt1988573</t>
  </si>
  <si>
    <t xml:space="preserve">Tá Todo Mundo Louco! - Uma Corrida por Milhõe$</t>
  </si>
  <si>
    <t xml:space="preserve">Rat Race</t>
  </si>
  <si>
    <t xml:space="preserve">tt0250687</t>
  </si>
  <si>
    <t xml:space="preserve">Pets: A Vida Secreta dos Bichos 2</t>
  </si>
  <si>
    <t xml:space="preserve">The Secret Life of Pets 2</t>
  </si>
  <si>
    <t xml:space="preserve">tt5113040</t>
  </si>
  <si>
    <t xml:space="preserve">10.000 a.C.</t>
  </si>
  <si>
    <t xml:space="preserve">10,000 BC</t>
  </si>
  <si>
    <t xml:space="preserve">tt0443649</t>
  </si>
  <si>
    <t xml:space="preserve">A Vida de Chuck</t>
  </si>
  <si>
    <t xml:space="preserve">The Life of Chuck</t>
  </si>
  <si>
    <t xml:space="preserve">tt12908150</t>
  </si>
  <si>
    <t xml:space="preserve">Clube dos Vândalos</t>
  </si>
  <si>
    <t xml:space="preserve">The Bikeriders</t>
  </si>
  <si>
    <t xml:space="preserve">tt21454134</t>
  </si>
  <si>
    <t xml:space="preserve">Loira</t>
  </si>
  <si>
    <t xml:space="preserve">Blonde</t>
  </si>
  <si>
    <t xml:space="preserve">tt1655389</t>
  </si>
  <si>
    <t xml:space="preserve">As Tartarugas Ninja: Caos Mutante</t>
  </si>
  <si>
    <t xml:space="preserve">Teenage Mutant Ninja Turtles: Mutant Mayhem</t>
  </si>
  <si>
    <t xml:space="preserve">tt8589698</t>
  </si>
  <si>
    <t xml:space="preserve">Wolf Warrior 2</t>
  </si>
  <si>
    <t xml:space="preserve">tt7131870</t>
  </si>
  <si>
    <t xml:space="preserve">Casamento Sangrento: A Viúva</t>
  </si>
  <si>
    <t xml:space="preserve">Ready or Not 2: Here I Come</t>
  </si>
  <si>
    <t xml:space="preserve">tt33978029</t>
  </si>
  <si>
    <t xml:space="preserve">Alvin e os Esquilos</t>
  </si>
  <si>
    <t xml:space="preserve">Alvin and the Chipmunks</t>
  </si>
  <si>
    <t xml:space="preserve">tt0952640</t>
  </si>
  <si>
    <t xml:space="preserve">O Golpista do Tinder</t>
  </si>
  <si>
    <t xml:space="preserve">The Tinder Swindler</t>
  </si>
  <si>
    <t xml:space="preserve">tt14992922</t>
  </si>
  <si>
    <t xml:space="preserve">De Pernas pro Ar 3</t>
  </si>
  <si>
    <t xml:space="preserve">Head Over Heels 3</t>
  </si>
  <si>
    <t xml:space="preserve">tt9214310</t>
  </si>
  <si>
    <t xml:space="preserve">O Fim da Rua</t>
  </si>
  <si>
    <t xml:space="preserve">The End of Oak Street</t>
  </si>
  <si>
    <t xml:space="preserve">tt27165187</t>
  </si>
  <si>
    <t xml:space="preserve">Drive My Car</t>
  </si>
  <si>
    <t xml:space="preserve">tt14039582</t>
  </si>
  <si>
    <t xml:space="preserve">Rua do Medo: 1666 - Parte 3</t>
  </si>
  <si>
    <t xml:space="preserve">Fear Street: Part Three - 1666</t>
  </si>
  <si>
    <t xml:space="preserve">tt9701942</t>
  </si>
  <si>
    <t xml:space="preserve">A Única Saída</t>
  </si>
  <si>
    <t xml:space="preserve">No Other Choice</t>
  </si>
  <si>
    <t xml:space="preserve">tt1527793</t>
  </si>
  <si>
    <t xml:space="preserve">A Garota da Vez</t>
  </si>
  <si>
    <t xml:space="preserve">Woman of the Hour</t>
  </si>
  <si>
    <t xml:space="preserve">tt7737800</t>
  </si>
  <si>
    <t xml:space="preserve">Todo Tempo que Temos</t>
  </si>
  <si>
    <t xml:space="preserve">We Live in Time</t>
  </si>
  <si>
    <t xml:space="preserve">tt27131358</t>
  </si>
  <si>
    <t xml:space="preserve">A Despedida</t>
  </si>
  <si>
    <t xml:space="preserve">The Farewell</t>
  </si>
  <si>
    <t xml:space="preserve">tt8637428</t>
  </si>
  <si>
    <t xml:space="preserve">Até os Ossos</t>
  </si>
  <si>
    <t xml:space="preserve">Bones and All</t>
  </si>
  <si>
    <t xml:space="preserve">tt10168670</t>
  </si>
  <si>
    <t xml:space="preserve">Wish: O Poder dos Desejos</t>
  </si>
  <si>
    <t xml:space="preserve">Wish</t>
  </si>
  <si>
    <t xml:space="preserve">tt11304740</t>
  </si>
  <si>
    <t xml:space="preserve">Os Irmãos Sisters</t>
  </si>
  <si>
    <t xml:space="preserve">The Sisters Brothers</t>
  </si>
  <si>
    <t xml:space="preserve">tt4971344</t>
  </si>
  <si>
    <t xml:space="preserve">Colossal</t>
  </si>
  <si>
    <t xml:space="preserve">tt4680182</t>
  </si>
  <si>
    <t xml:space="preserve">Piscina Infinita</t>
  </si>
  <si>
    <t xml:space="preserve">Infinity Pool</t>
  </si>
  <si>
    <t xml:space="preserve">tt10365998</t>
  </si>
  <si>
    <t xml:space="preserve">Veja Como Eles Correm</t>
  </si>
  <si>
    <t xml:space="preserve">See How They Run</t>
  </si>
  <si>
    <t xml:space="preserve">tt13640696</t>
  </si>
  <si>
    <t xml:space="preserve">Wicked: Parte II</t>
  </si>
  <si>
    <t xml:space="preserve">Wicked: For Good</t>
  </si>
  <si>
    <t xml:space="preserve">tt19847976</t>
  </si>
  <si>
    <t xml:space="preserve">Continência ao Amor</t>
  </si>
  <si>
    <t xml:space="preserve">Purple Hearts</t>
  </si>
  <si>
    <t xml:space="preserve">tt4614584</t>
  </si>
  <si>
    <t xml:space="preserve">tt27419466</t>
  </si>
  <si>
    <t xml:space="preserve">Popstar: Sem Parar, Sem Limites</t>
  </si>
  <si>
    <t xml:space="preserve">Popstar: Never Stop Never Stopping</t>
  </si>
  <si>
    <t xml:space="preserve">tt3960412</t>
  </si>
  <si>
    <t xml:space="preserve">Tipos de Gentileza</t>
  </si>
  <si>
    <t xml:space="preserve">Kinds of Kindness</t>
  </si>
  <si>
    <t xml:space="preserve">tt22408160</t>
  </si>
  <si>
    <t xml:space="preserve">Spiderhead</t>
  </si>
  <si>
    <t xml:space="preserve">tt9783600</t>
  </si>
  <si>
    <t xml:space="preserve">Segredos de um Escândalo</t>
  </si>
  <si>
    <t xml:space="preserve">May December</t>
  </si>
  <si>
    <t xml:space="preserve">tt13651794</t>
  </si>
  <si>
    <t xml:space="preserve">O Esquema Fenício</t>
  </si>
  <si>
    <t xml:space="preserve">The Phoenician Scheme</t>
  </si>
  <si>
    <t xml:space="preserve">tt30840798</t>
  </si>
  <si>
    <t xml:space="preserve">Águas Profundas</t>
  </si>
  <si>
    <t xml:space="preserve">Deep Water</t>
  </si>
  <si>
    <t xml:space="preserve">tt2180339</t>
  </si>
  <si>
    <t xml:space="preserve">Emma.</t>
  </si>
  <si>
    <t xml:space="preserve">tt9214832</t>
  </si>
  <si>
    <t xml:space="preserve">Pânico 7</t>
  </si>
  <si>
    <t xml:space="preserve">Scream 7</t>
  </si>
  <si>
    <t xml:space="preserve">tt27047903</t>
  </si>
  <si>
    <t xml:space="preserve">A Primeira Profecia</t>
  </si>
  <si>
    <t xml:space="preserve">The First Omen</t>
  </si>
  <si>
    <t xml:space="preserve">tt5672290</t>
  </si>
  <si>
    <t xml:space="preserve">O Tempo com Você</t>
  </si>
  <si>
    <t xml:space="preserve">Weathering with You</t>
  </si>
  <si>
    <t xml:space="preserve">tt9426210</t>
  </si>
  <si>
    <t xml:space="preserve">O Massacre da Serra Elétrica: O Retorno de Leatherface</t>
  </si>
  <si>
    <t xml:space="preserve">Texas Chainsaw Massacre</t>
  </si>
  <si>
    <t xml:space="preserve">tt11755740</t>
  </si>
  <si>
    <t xml:space="preserve">Vai que Dá Certo</t>
  </si>
  <si>
    <t xml:space="preserve">Vai que dá Certo</t>
  </si>
  <si>
    <t xml:space="preserve">tt2220408</t>
  </si>
  <si>
    <t xml:space="preserve">Decisão de Partir</t>
  </si>
  <si>
    <t xml:space="preserve">Decision to Leave</t>
  </si>
  <si>
    <t xml:space="preserve">tt12477480</t>
  </si>
  <si>
    <t xml:space="preserve">O Telefone Preto 2</t>
  </si>
  <si>
    <t xml:space="preserve">Black Phone 2</t>
  </si>
  <si>
    <t xml:space="preserve">tt29644189</t>
  </si>
  <si>
    <t xml:space="preserve">Dezesseis Facadas</t>
  </si>
  <si>
    <t xml:space="preserve">Totally Killer</t>
  </si>
  <si>
    <t xml:space="preserve">tt11426232</t>
  </si>
  <si>
    <t xml:space="preserve">Deu a Louca na Chapeuzinho</t>
  </si>
  <si>
    <t xml:space="preserve">Hoodwinked</t>
  </si>
  <si>
    <t xml:space="preserve">tt0443536</t>
  </si>
  <si>
    <t xml:space="preserve">Fala Sério, Mãe!</t>
  </si>
  <si>
    <t xml:space="preserve">tt7744802</t>
  </si>
  <si>
    <t xml:space="preserve">Chainsaw Man - O Filme: Arco da Reze</t>
  </si>
  <si>
    <t xml:space="preserve">Chainsaw Man - The Movie: Reze Arc</t>
  </si>
  <si>
    <t xml:space="preserve">tt30472557</t>
  </si>
  <si>
    <t xml:space="preserve">Cara de Um, Focinho do Outro</t>
  </si>
  <si>
    <t xml:space="preserve">E Aí... Comeu?</t>
  </si>
  <si>
    <t xml:space="preserve">Did You... Score?</t>
  </si>
  <si>
    <t xml:space="preserve">tt2209400</t>
  </si>
  <si>
    <t xml:space="preserve">Tá Dando Onda</t>
  </si>
  <si>
    <t xml:space="preserve">Surf's Up</t>
  </si>
  <si>
    <t xml:space="preserve">tt0423294</t>
  </si>
  <si>
    <t xml:space="preserve">O Halloween do Hubie</t>
  </si>
  <si>
    <t xml:space="preserve">Hubie Halloween</t>
  </si>
  <si>
    <t xml:space="preserve">tt10682266</t>
  </si>
  <si>
    <t xml:space="preserve">Toda Arte é Perigosa</t>
  </si>
  <si>
    <t xml:space="preserve">Velvet Buzzsaw</t>
  </si>
  <si>
    <t xml:space="preserve">tt7043012</t>
  </si>
  <si>
    <t xml:space="preserve">Antes Só do que Mal Casado</t>
  </si>
  <si>
    <t xml:space="preserve">The Heartbreak Kid</t>
  </si>
  <si>
    <t xml:space="preserve">tt0408839</t>
  </si>
  <si>
    <t xml:space="preserve">Eternidade</t>
  </si>
  <si>
    <t xml:space="preserve">Eternity</t>
  </si>
  <si>
    <t xml:space="preserve">tt24950660</t>
  </si>
  <si>
    <t xml:space="preserve">A Lenda do Tesouro Perdido: Livro dos Segredos</t>
  </si>
  <si>
    <t xml:space="preserve">National Treasure: Book of Secrets</t>
  </si>
  <si>
    <t xml:space="preserve">tt0465234</t>
  </si>
  <si>
    <t xml:space="preserve">Eu Juro</t>
  </si>
  <si>
    <t xml:space="preserve">I Swear</t>
  </si>
  <si>
    <t xml:space="preserve">tt31514146</t>
  </si>
  <si>
    <t xml:space="preserve">Os Farofeiros</t>
  </si>
  <si>
    <t xml:space="preserve">The Beachnickers</t>
  </si>
  <si>
    <t xml:space="preserve">tt7882104</t>
  </si>
  <si>
    <t xml:space="preserve">Fé Corrompida</t>
  </si>
  <si>
    <t xml:space="preserve">First Reformed</t>
  </si>
  <si>
    <t xml:space="preserve">tt6053438</t>
  </si>
  <si>
    <t xml:space="preserve">Infidelidade</t>
  </si>
  <si>
    <t xml:space="preserve">Unfaithful</t>
  </si>
  <si>
    <t xml:space="preserve">tt0250797</t>
  </si>
  <si>
    <t xml:space="preserve">O Homem de Toronto</t>
  </si>
  <si>
    <t xml:space="preserve">The Man from Toronto</t>
  </si>
  <si>
    <t xml:space="preserve">tt11671006</t>
  </si>
  <si>
    <t xml:space="preserve">A Mulher Invisível</t>
  </si>
  <si>
    <t xml:space="preserve">The Invisible Woman</t>
  </si>
  <si>
    <t xml:space="preserve">tt1236397</t>
  </si>
  <si>
    <t xml:space="preserve">Família de Aluguel</t>
  </si>
  <si>
    <t xml:space="preserve">Rental Family</t>
  </si>
  <si>
    <t xml:space="preserve">tt14142060</t>
  </si>
  <si>
    <t xml:space="preserve">Hi, Mom</t>
  </si>
  <si>
    <t xml:space="preserve">tt13364790</t>
  </si>
  <si>
    <t xml:space="preserve">Vermelho, Branco e Sangue Azul</t>
  </si>
  <si>
    <t xml:space="preserve">Red, White &amp; Royal Blue</t>
  </si>
  <si>
    <t xml:space="preserve">tt10172266</t>
  </si>
  <si>
    <t xml:space="preserve">Titane</t>
  </si>
  <si>
    <t xml:space="preserve">tt10944760</t>
  </si>
  <si>
    <t xml:space="preserve">Bruna Surfistinha</t>
  </si>
  <si>
    <t xml:space="preserve">Confessions of a Brazilian Call Girl</t>
  </si>
  <si>
    <t xml:space="preserve">tt1587828</t>
  </si>
  <si>
    <t xml:space="preserve">Tully</t>
  </si>
  <si>
    <t xml:space="preserve">tt5610554</t>
  </si>
  <si>
    <t xml:space="preserve">O Estranho que Nós Amamos</t>
  </si>
  <si>
    <t xml:space="preserve">The Beguiled</t>
  </si>
  <si>
    <t xml:space="preserve">tt5592248</t>
  </si>
  <si>
    <t xml:space="preserve">A Fera do Mar</t>
  </si>
  <si>
    <t xml:space="preserve">The Sea Beast</t>
  </si>
  <si>
    <t xml:space="preserve">tt9288046</t>
  </si>
  <si>
    <t xml:space="preserve">Eddington</t>
  </si>
  <si>
    <t xml:space="preserve">tt31176520</t>
  </si>
  <si>
    <t xml:space="preserve">D. P. A. 2 - O Mistério Italiano</t>
  </si>
  <si>
    <t xml:space="preserve">A Cor que Caiu do Espaço</t>
  </si>
  <si>
    <t xml:space="preserve">Color Out of Space</t>
  </si>
  <si>
    <t xml:space="preserve">tt5073642</t>
  </si>
  <si>
    <t xml:space="preserve">O Chalé</t>
  </si>
  <si>
    <t xml:space="preserve">The Lodge</t>
  </si>
  <si>
    <t xml:space="preserve">tt7347846</t>
  </si>
  <si>
    <t xml:space="preserve">Love Lies Bleeding - O Amor Sangra</t>
  </si>
  <si>
    <t xml:space="preserve">Love Lies Bleeding</t>
  </si>
  <si>
    <t xml:space="preserve">tt19637052</t>
  </si>
  <si>
    <t xml:space="preserve">Jogos Mortais 3</t>
  </si>
  <si>
    <t xml:space="preserve">Jovens, Loucos e Mais Rebeldes</t>
  </si>
  <si>
    <t xml:space="preserve">Everybody Wants Some!!</t>
  </si>
  <si>
    <t xml:space="preserve">tt2937696</t>
  </si>
  <si>
    <t xml:space="preserve">Meu Nome Não É Johnny</t>
  </si>
  <si>
    <t xml:space="preserve">My Name Ain't Johnny</t>
  </si>
  <si>
    <t xml:space="preserve">tt1092016</t>
  </si>
  <si>
    <t xml:space="preserve">A Mulher Rei</t>
  </si>
  <si>
    <t xml:space="preserve">The Woman King</t>
  </si>
  <si>
    <t xml:space="preserve">tt8093700</t>
  </si>
  <si>
    <t xml:space="preserve">Imaculada</t>
  </si>
  <si>
    <t xml:space="preserve">Immaculate</t>
  </si>
  <si>
    <t xml:space="preserve">tt23137390</t>
  </si>
  <si>
    <t xml:space="preserve">Nimona</t>
  </si>
  <si>
    <t xml:space="preserve">tt19500164</t>
  </si>
  <si>
    <t xml:space="preserve">O Mistério de Silver Lake</t>
  </si>
  <si>
    <t xml:space="preserve">Under the Silver Lake</t>
  </si>
  <si>
    <t xml:space="preserve">tt5691670</t>
  </si>
  <si>
    <t xml:space="preserve">A Última Casa</t>
  </si>
  <si>
    <t xml:space="preserve">The Last House</t>
  </si>
  <si>
    <t xml:space="preserve">tt32268156</t>
  </si>
  <si>
    <t xml:space="preserve">Garfield Fora de Casa</t>
  </si>
  <si>
    <t xml:space="preserve">The Garfield Movie</t>
  </si>
  <si>
    <t xml:space="preserve">tt5779228</t>
  </si>
  <si>
    <t xml:space="preserve">Os Horrores do Caddo Lake</t>
  </si>
  <si>
    <t xml:space="preserve">Caddo Lake</t>
  </si>
  <si>
    <t xml:space="preserve">tt15552142</t>
  </si>
  <si>
    <t xml:space="preserve">Abracadabra 2</t>
  </si>
  <si>
    <t xml:space="preserve">Hocus Pocus 2</t>
  </si>
  <si>
    <t xml:space="preserve">tt11909878</t>
  </si>
  <si>
    <t xml:space="preserve">A Sogra</t>
  </si>
  <si>
    <t xml:space="preserve">Monster-in-Law</t>
  </si>
  <si>
    <t xml:space="preserve">tt0369735</t>
  </si>
  <si>
    <t xml:space="preserve">Os Penetras</t>
  </si>
  <si>
    <t xml:space="preserve">Party Crashers</t>
  </si>
  <si>
    <t xml:space="preserve">tt0452664</t>
  </si>
  <si>
    <t xml:space="preserve">Clube da Luta para Meninas</t>
  </si>
  <si>
    <t xml:space="preserve">Bottoms</t>
  </si>
  <si>
    <t xml:space="preserve">tt17527468</t>
  </si>
  <si>
    <t xml:space="preserve">Justiceiras</t>
  </si>
  <si>
    <t xml:space="preserve">Do Revenge</t>
  </si>
  <si>
    <t xml:space="preserve">tt13327038</t>
  </si>
  <si>
    <t xml:space="preserve">Destruição Final: O Último Refúgio</t>
  </si>
  <si>
    <t xml:space="preserve">Greenland</t>
  </si>
  <si>
    <t xml:space="preserve">tt7737786</t>
  </si>
  <si>
    <t xml:space="preserve">Xuxa e os Duendes</t>
  </si>
  <si>
    <t xml:space="preserve">Xuxa and the Elves</t>
  </si>
  <si>
    <t xml:space="preserve">tt0294543</t>
  </si>
  <si>
    <t xml:space="preserve">O Morro dos Ventos Uivantes</t>
  </si>
  <si>
    <t xml:space="preserve">Wuthering Heights</t>
  </si>
  <si>
    <t xml:space="preserve">tt32897959</t>
  </si>
  <si>
    <t xml:space="preserve">Destacamento Blood</t>
  </si>
  <si>
    <t xml:space="preserve">Da 5 Bloods</t>
  </si>
  <si>
    <t xml:space="preserve">tt9777644</t>
  </si>
  <si>
    <t xml:space="preserve">Bill &amp; Ted: Encare a Música</t>
  </si>
  <si>
    <t xml:space="preserve">Bill &amp; Ted Face the Music</t>
  </si>
  <si>
    <t xml:space="preserve">tt1086064</t>
  </si>
  <si>
    <t xml:space="preserve">Priscilla</t>
  </si>
  <si>
    <t xml:space="preserve">tt22041854</t>
  </si>
  <si>
    <t xml:space="preserve">Em um Bairro de Nova York</t>
  </si>
  <si>
    <t xml:space="preserve">In the Heights</t>
  </si>
  <si>
    <t xml:space="preserve">tt1321510</t>
  </si>
  <si>
    <t xml:space="preserve">O Que Ficou Para Trás</t>
  </si>
  <si>
    <t xml:space="preserve">His House</t>
  </si>
  <si>
    <t xml:space="preserve">tt8508734</t>
  </si>
  <si>
    <t xml:space="preserve">As Faces de Toni Erdmann</t>
  </si>
  <si>
    <t xml:space="preserve">Toni Erdmann</t>
  </si>
  <si>
    <t xml:space="preserve">tt4048272</t>
  </si>
  <si>
    <t xml:space="preserve">Se a Rua Beale Falasse</t>
  </si>
  <si>
    <t xml:space="preserve">If Beale Street Could Talk</t>
  </si>
  <si>
    <t xml:space="preserve">tt7125860</t>
  </si>
  <si>
    <t xml:space="preserve">Para Todos os Garotos: P.S. Ainda Amo Você</t>
  </si>
  <si>
    <t xml:space="preserve">To All the Boys: P.S. I Still Love You</t>
  </si>
  <si>
    <t xml:space="preserve">tt9354842</t>
  </si>
  <si>
    <t xml:space="preserve">Possessor</t>
  </si>
  <si>
    <t xml:space="preserve">tt5918982</t>
  </si>
  <si>
    <t xml:space="preserve">Limite Vertical</t>
  </si>
  <si>
    <t xml:space="preserve">Vertical Limit</t>
  </si>
  <si>
    <t xml:space="preserve">tt0190865</t>
  </si>
  <si>
    <t xml:space="preserve">Sem Vestígios</t>
  </si>
  <si>
    <t xml:space="preserve">Untraceable</t>
  </si>
  <si>
    <t xml:space="preserve">tt0880578</t>
  </si>
  <si>
    <t xml:space="preserve">D.P.A. - Detetives do Prédio Azul</t>
  </si>
  <si>
    <t xml:space="preserve">Space Jam: Um Novo Legado</t>
  </si>
  <si>
    <t xml:space="preserve">Space Jam: A New Legacy</t>
  </si>
  <si>
    <t xml:space="preserve">tt3554046</t>
  </si>
  <si>
    <t xml:space="preserve">A Morte do Demônio: Em Chamas</t>
  </si>
  <si>
    <t xml:space="preserve">Evil Dead Burn</t>
  </si>
  <si>
    <t xml:space="preserve">tt31170389</t>
  </si>
  <si>
    <t xml:space="preserve">Fyre Festival: Fiasco no Caribe</t>
  </si>
  <si>
    <t xml:space="preserve">Fyre</t>
  </si>
  <si>
    <t xml:space="preserve">tt9412098</t>
  </si>
  <si>
    <t xml:space="preserve">Distúrbio</t>
  </si>
  <si>
    <t xml:space="preserve">Unsane</t>
  </si>
  <si>
    <t xml:space="preserve">tt7153766</t>
  </si>
  <si>
    <t xml:space="preserve">Identidades em Jogo</t>
  </si>
  <si>
    <t xml:space="preserve">It's What's Inside</t>
  </si>
  <si>
    <t xml:space="preserve">tt14577874</t>
  </si>
  <si>
    <t xml:space="preserve">Turma da Mônica: Laços</t>
  </si>
  <si>
    <t xml:space="preserve">Monica and Friends: Bonds</t>
  </si>
  <si>
    <t xml:space="preserve">tt8169552</t>
  </si>
  <si>
    <t xml:space="preserve">Criaturas Extraordinariamente Brilhantes</t>
  </si>
  <si>
    <t xml:space="preserve">Remarkably Bright Creatures</t>
  </si>
  <si>
    <t xml:space="preserve">tt33100314</t>
  </si>
  <si>
    <t xml:space="preserve">Free Fire: O Tiroteio</t>
  </si>
  <si>
    <t xml:space="preserve">Free Fire</t>
  </si>
  <si>
    <t xml:space="preserve">tt4158096</t>
  </si>
  <si>
    <t xml:space="preserve">Alguém Avisa?</t>
  </si>
  <si>
    <t xml:space="preserve">Happiest Season</t>
  </si>
  <si>
    <t xml:space="preserve">tt8522006</t>
  </si>
  <si>
    <t xml:space="preserve">Na Zona Cinzenta</t>
  </si>
  <si>
    <t xml:space="preserve">In the Grey</t>
  </si>
  <si>
    <t xml:space="preserve">tt27681354</t>
  </si>
  <si>
    <t xml:space="preserve">Cuidado Com Quem Chama</t>
  </si>
  <si>
    <t xml:space="preserve">Host</t>
  </si>
  <si>
    <t xml:space="preserve">tt12749596</t>
  </si>
  <si>
    <t xml:space="preserve">O Candidato Honesto</t>
  </si>
  <si>
    <t xml:space="preserve">tt4083076</t>
  </si>
  <si>
    <t xml:space="preserve">Tudo por um Popstar</t>
  </si>
  <si>
    <t xml:space="preserve">Garfield 2</t>
  </si>
  <si>
    <t xml:space="preserve">Garfield: A Tail of Two Kitties</t>
  </si>
  <si>
    <t xml:space="preserve">tt0455499</t>
  </si>
  <si>
    <t xml:space="preserve">A Vastidão da Noite</t>
  </si>
  <si>
    <t xml:space="preserve">The Vast of Night</t>
  </si>
  <si>
    <t xml:space="preserve">tt6803046</t>
  </si>
  <si>
    <t xml:space="preserve">O Conde de Monte Cristo</t>
  </si>
  <si>
    <t xml:space="preserve">The Count of Monte Cristo</t>
  </si>
  <si>
    <t xml:space="preserve">tt26446278</t>
  </si>
  <si>
    <t xml:space="preserve">Ensaio Sobre a Cegueira</t>
  </si>
  <si>
    <t xml:space="preserve">Blindness</t>
  </si>
  <si>
    <t xml:space="preserve">tt0861689</t>
  </si>
  <si>
    <t xml:space="preserve">Docinho da América</t>
  </si>
  <si>
    <t xml:space="preserve">American Honey</t>
  </si>
  <si>
    <t xml:space="preserve">tt3721936</t>
  </si>
  <si>
    <t xml:space="preserve">Minha Irmã e Eu</t>
  </si>
  <si>
    <t xml:space="preserve">tt27755460</t>
  </si>
  <si>
    <t xml:space="preserve">Morra, Amor</t>
  </si>
  <si>
    <t xml:space="preserve">Die My Love</t>
  </si>
  <si>
    <t xml:space="preserve">tt9362736</t>
  </si>
  <si>
    <t xml:space="preserve">Puro-Sangue</t>
  </si>
  <si>
    <t xml:space="preserve">Thoroughbreds</t>
  </si>
  <si>
    <t xml:space="preserve">tt5649108</t>
  </si>
  <si>
    <t xml:space="preserve">A Meia-Irmã Feia</t>
  </si>
  <si>
    <t xml:space="preserve">The Ugly Stepsister</t>
  </si>
  <si>
    <t xml:space="preserve">tt29344903</t>
  </si>
  <si>
    <t xml:space="preserve">Carrossel: O Filme</t>
  </si>
  <si>
    <t xml:space="preserve">tt4588050</t>
  </si>
  <si>
    <t xml:space="preserve">Eu Vi o Brilho da TV</t>
  </si>
  <si>
    <t xml:space="preserve">I Saw the TV Glow</t>
  </si>
  <si>
    <t xml:space="preserve">tt15574270</t>
  </si>
  <si>
    <t xml:space="preserve">Mayday</t>
  </si>
  <si>
    <t xml:space="preserve">tt28014327</t>
  </si>
  <si>
    <t xml:space="preserve">Case Comigo</t>
  </si>
  <si>
    <t xml:space="preserve">Marry Me</t>
  </si>
  <si>
    <t xml:space="preserve">tt10223460</t>
  </si>
  <si>
    <t xml:space="preserve">A Seita Maligna</t>
  </si>
  <si>
    <t xml:space="preserve">The Void</t>
  </si>
  <si>
    <t xml:space="preserve">tt4255304</t>
  </si>
  <si>
    <t xml:space="preserve">Você Nem Imagina</t>
  </si>
  <si>
    <t xml:space="preserve">The Half of It</t>
  </si>
  <si>
    <t xml:space="preserve">tt9683478</t>
  </si>
  <si>
    <t xml:space="preserve">Bad Boys II</t>
  </si>
  <si>
    <t xml:space="preserve">tt0172156</t>
  </si>
  <si>
    <t xml:space="preserve">No Topo do Poder</t>
  </si>
  <si>
    <t xml:space="preserve">High-Rise</t>
  </si>
  <si>
    <t xml:space="preserve">tt0462335</t>
  </si>
  <si>
    <t xml:space="preserve">Crimes do Futuro</t>
  </si>
  <si>
    <t xml:space="preserve">Crimes of the Future</t>
  </si>
  <si>
    <t xml:space="preserve">tt14549466</t>
  </si>
  <si>
    <t xml:space="preserve">Assalto ao Banco Central</t>
  </si>
  <si>
    <t xml:space="preserve">Federal Bank Heist</t>
  </si>
  <si>
    <t xml:space="preserve">tt1579223</t>
  </si>
  <si>
    <t xml:space="preserve">Má Educação</t>
  </si>
  <si>
    <t xml:space="preserve">Bad Education</t>
  </si>
  <si>
    <t xml:space="preserve">tt8206668</t>
  </si>
  <si>
    <t xml:space="preserve">Wolfwalkers</t>
  </si>
  <si>
    <t xml:space="preserve">tt5198068</t>
  </si>
  <si>
    <t xml:space="preserve">Personal Shopper</t>
  </si>
  <si>
    <t xml:space="preserve">tt4714782</t>
  </si>
  <si>
    <t xml:space="preserve">High Life: Uma Nova Vida</t>
  </si>
  <si>
    <t xml:space="preserve">High Life</t>
  </si>
  <si>
    <t xml:space="preserve">tt4827558</t>
  </si>
  <si>
    <t xml:space="preserve">Manual Prático da Vingança Lucrativa</t>
  </si>
  <si>
    <t xml:space="preserve">How to Make a Killing</t>
  </si>
  <si>
    <t xml:space="preserve">tt4357198</t>
  </si>
  <si>
    <t xml:space="preserve">Malcolm &amp; Marie</t>
  </si>
  <si>
    <t xml:space="preserve">tt12676326</t>
  </si>
  <si>
    <t xml:space="preserve">Monster</t>
  </si>
  <si>
    <t xml:space="preserve">tt23736044</t>
  </si>
  <si>
    <t xml:space="preserve">Dr. Dolittle 2</t>
  </si>
  <si>
    <t xml:space="preserve">tt0240462</t>
  </si>
  <si>
    <t xml:space="preserve">Sempre em Frente</t>
  </si>
  <si>
    <t xml:space="preserve">C'mon C'mon</t>
  </si>
  <si>
    <t xml:space="preserve">tt10986222</t>
  </si>
  <si>
    <t xml:space="preserve">Sexo, Amor e Traição</t>
  </si>
  <si>
    <t xml:space="preserve">Sex, Love and Betrayal</t>
  </si>
  <si>
    <t xml:space="preserve">tt0376873</t>
  </si>
  <si>
    <t xml:space="preserve">Megalópolis</t>
  </si>
  <si>
    <t xml:space="preserve">Megalopolis</t>
  </si>
  <si>
    <t xml:space="preserve">tt10128846</t>
  </si>
  <si>
    <t xml:space="preserve">Carrossel 2: O Sumiço de Maria Joaquina</t>
  </si>
  <si>
    <t xml:space="preserve">tt5804126</t>
  </si>
  <si>
    <t xml:space="preserve">Shiva Baby</t>
  </si>
  <si>
    <t xml:space="preserve">tt11317142</t>
  </si>
  <si>
    <t xml:space="preserve">O Bastardo</t>
  </si>
  <si>
    <t xml:space="preserve">The Promised Land</t>
  </si>
  <si>
    <t xml:space="preserve">tt20561198</t>
  </si>
  <si>
    <t xml:space="preserve">Coyote vs. Acme</t>
  </si>
  <si>
    <t xml:space="preserve">tt1756855</t>
  </si>
  <si>
    <t xml:space="preserve">Amizade Tóxica</t>
  </si>
  <si>
    <t xml:space="preserve">Friendship</t>
  </si>
  <si>
    <t xml:space="preserve">tt30505698</t>
  </si>
  <si>
    <t xml:space="preserve">Meninas Malvadas</t>
  </si>
  <si>
    <t xml:space="preserve">Mean Girls</t>
  </si>
  <si>
    <t xml:space="preserve">tt11762114</t>
  </si>
  <si>
    <t xml:space="preserve">Uma Sexta-Feira Mais Louca Ainda</t>
  </si>
  <si>
    <t xml:space="preserve">Freakier Friday</t>
  </si>
  <si>
    <t xml:space="preserve">tt31956415</t>
  </si>
  <si>
    <t xml:space="preserve">Persuasão</t>
  </si>
  <si>
    <t xml:space="preserve">Persuasion</t>
  </si>
  <si>
    <t xml:space="preserve">tt13456318</t>
  </si>
  <si>
    <t xml:space="preserve">Pequenas Coisas Como Estas</t>
  </si>
  <si>
    <t xml:space="preserve">Small Things Like These</t>
  </si>
  <si>
    <t xml:space="preserve">tt27196021</t>
  </si>
  <si>
    <t xml:space="preserve">Sem Saída</t>
  </si>
  <si>
    <t xml:space="preserve">No Exit</t>
  </si>
  <si>
    <t xml:space="preserve">tt7550014</t>
  </si>
  <si>
    <t xml:space="preserve">Xuxa e os Duendes 2: No Caminho das Fadas</t>
  </si>
  <si>
    <t xml:space="preserve">Xuxa and the Elves 2</t>
  </si>
  <si>
    <t xml:space="preserve">tt0312043</t>
  </si>
  <si>
    <t xml:space="preserve">On the Rocks</t>
  </si>
  <si>
    <t xml:space="preserve">tt9606374</t>
  </si>
  <si>
    <t xml:space="preserve">Os Croods 2: Uma Nova Era</t>
  </si>
  <si>
    <t xml:space="preserve">The Croods: A New Age</t>
  </si>
  <si>
    <t xml:space="preserve">tt2850386</t>
  </si>
  <si>
    <t xml:space="preserve">Pressão</t>
  </si>
  <si>
    <t xml:space="preserve">Pressure</t>
  </si>
  <si>
    <t xml:space="preserve">tt32547691</t>
  </si>
  <si>
    <t xml:space="preserve">Bom Menino</t>
  </si>
  <si>
    <t xml:space="preserve">Good Boy</t>
  </si>
  <si>
    <t xml:space="preserve">tt35521922</t>
  </si>
  <si>
    <t xml:space="preserve">Naquele Fim de Semana</t>
  </si>
  <si>
    <t xml:space="preserve">The Weekend Away</t>
  </si>
  <si>
    <t xml:space="preserve">tt14817272</t>
  </si>
  <si>
    <t xml:space="preserve">Jerry e Marge Tiram a Sorte Grande</t>
  </si>
  <si>
    <t xml:space="preserve">Jerry &amp; Marge Go Large</t>
  </si>
  <si>
    <t xml:space="preserve">tt8323668</t>
  </si>
  <si>
    <t xml:space="preserve">É Fada!</t>
  </si>
  <si>
    <t xml:space="preserve">It's a Fairy!</t>
  </si>
  <si>
    <t xml:space="preserve">tt2495980</t>
  </si>
  <si>
    <t xml:space="preserve">A Grande Família: O Filme</t>
  </si>
  <si>
    <t xml:space="preserve">tt0990366</t>
  </si>
  <si>
    <t xml:space="preserve">Argentina, 1985</t>
  </si>
  <si>
    <t xml:space="preserve">tt15301048</t>
  </si>
  <si>
    <t xml:space="preserve">Cuckoo: O Medo Chama</t>
  </si>
  <si>
    <t xml:space="preserve">Cuckoo</t>
  </si>
  <si>
    <t xml:space="preserve">tt12349832</t>
  </si>
  <si>
    <t xml:space="preserve">Luck</t>
  </si>
  <si>
    <t xml:space="preserve">tt7214954</t>
  </si>
  <si>
    <t xml:space="preserve">Undertone</t>
  </si>
  <si>
    <t xml:space="preserve">tt35892608</t>
  </si>
  <si>
    <t xml:space="preserve">Somos Tão Jovens</t>
  </si>
  <si>
    <t xml:space="preserve">We Are So Young</t>
  </si>
  <si>
    <t xml:space="preserve">tt2215537</t>
  </si>
  <si>
    <t xml:space="preserve">O Afinador</t>
  </si>
  <si>
    <t xml:space="preserve">Tuner</t>
  </si>
  <si>
    <t xml:space="preserve">tt33296751</t>
  </si>
  <si>
    <t xml:space="preserve">Deus é Brasileiro</t>
  </si>
  <si>
    <t xml:space="preserve">God Is Brazilian</t>
  </si>
  <si>
    <t xml:space="preserve">tt0350804</t>
  </si>
  <si>
    <t xml:space="preserve">Marcel, a Concha de Sapatos</t>
  </si>
  <si>
    <t xml:space="preserve">Marcel the Shell with Shoes On</t>
  </si>
  <si>
    <t xml:space="preserve">tt15339456</t>
  </si>
  <si>
    <t xml:space="preserve">Ponto Cego</t>
  </si>
  <si>
    <t xml:space="preserve">Blindspotting</t>
  </si>
  <si>
    <t xml:space="preserve">tt7242142</t>
  </si>
  <si>
    <t xml:space="preserve">Minha Vida de Abobrinha</t>
  </si>
  <si>
    <t xml:space="preserve">My Life as a Zucchini</t>
  </si>
  <si>
    <t xml:space="preserve">tt2321405</t>
  </si>
  <si>
    <t xml:space="preserve">Xuxa Abracadabra</t>
  </si>
  <si>
    <t xml:space="preserve">Xuxa in Abracadabra</t>
  </si>
  <si>
    <t xml:space="preserve">tt0391726</t>
  </si>
  <si>
    <t xml:space="preserve">Lisa Frankenstein</t>
  </si>
  <si>
    <t xml:space="preserve">tt21188080</t>
  </si>
  <si>
    <t xml:space="preserve">Devorar</t>
  </si>
  <si>
    <t xml:space="preserve">Swallow</t>
  </si>
  <si>
    <t xml:space="preserve">tt8372298</t>
  </si>
  <si>
    <t xml:space="preserve">Cavaleiro de Copas</t>
  </si>
  <si>
    <t xml:space="preserve">Knight of Cups</t>
  </si>
  <si>
    <t xml:space="preserve">tt2101383</t>
  </si>
  <si>
    <t xml:space="preserve">Faroeste Caboclo</t>
  </si>
  <si>
    <t xml:space="preserve">Brazilian Western</t>
  </si>
  <si>
    <t xml:space="preserve">tt1869416</t>
  </si>
  <si>
    <t xml:space="preserve">Digger</t>
  </si>
  <si>
    <t xml:space="preserve">tt31450459</t>
  </si>
  <si>
    <t xml:space="preserve">O Palhaço</t>
  </si>
  <si>
    <t xml:space="preserve">The Clown</t>
  </si>
  <si>
    <t xml:space="preserve">tt1921043</t>
  </si>
  <si>
    <t xml:space="preserve">Sing Sing</t>
  </si>
  <si>
    <t xml:space="preserve">tt28479262</t>
  </si>
  <si>
    <t xml:space="preserve">Never Rarely Sometimes Always</t>
  </si>
  <si>
    <t xml:space="preserve">tt7772582</t>
  </si>
  <si>
    <t xml:space="preserve">O primo Basílio</t>
  </si>
  <si>
    <t xml:space="preserve">Unabomber</t>
  </si>
  <si>
    <t xml:space="preserve">tt6933238</t>
  </si>
  <si>
    <t xml:space="preserve">Divã</t>
  </si>
  <si>
    <t xml:space="preserve">In Therapy</t>
  </si>
  <si>
    <t xml:space="preserve">tt1278336</t>
  </si>
  <si>
    <t xml:space="preserve">A Hipótese do Amor</t>
  </si>
  <si>
    <t xml:space="preserve">The Love Hypothesis</t>
  </si>
  <si>
    <t xml:space="preserve">tt22526100</t>
  </si>
  <si>
    <t xml:space="preserve">Volta Pra Mim</t>
  </si>
  <si>
    <t xml:space="preserve">I Want You Back</t>
  </si>
  <si>
    <t xml:space="preserve">tt6462958</t>
  </si>
  <si>
    <t xml:space="preserve">Memórias de um Caracol</t>
  </si>
  <si>
    <t xml:space="preserve">Memoir of a Snail</t>
  </si>
  <si>
    <t xml:space="preserve">tt23770030</t>
  </si>
  <si>
    <t xml:space="preserve">A Garota da Foto</t>
  </si>
  <si>
    <t xml:space="preserve">Girl in the Picture</t>
  </si>
  <si>
    <t xml:space="preserve">tt21059520</t>
  </si>
  <si>
    <t xml:space="preserve">Demon Slayer: Kimetsu no Yaiba – The Movie: Mugen Train</t>
  </si>
  <si>
    <t xml:space="preserve">tt11032374</t>
  </si>
  <si>
    <t xml:space="preserve">O Abraço da Serpente</t>
  </si>
  <si>
    <t xml:space="preserve">Embrace of the Serpent</t>
  </si>
  <si>
    <t xml:space="preserve">tt4285496</t>
  </si>
  <si>
    <t xml:space="preserve">First Cow - A Primeira Vaca da América</t>
  </si>
  <si>
    <t xml:space="preserve">First Cow</t>
  </si>
  <si>
    <t xml:space="preserve">tt9231040</t>
  </si>
  <si>
    <t xml:space="preserve">S.O.S. Mulheres ao Mar</t>
  </si>
  <si>
    <t xml:space="preserve">S.O.S. Women to the Sea</t>
  </si>
  <si>
    <t xml:space="preserve">tt3035582</t>
  </si>
  <si>
    <t xml:space="preserve">Coração Selvagem</t>
  </si>
  <si>
    <t xml:space="preserve">Heart of the Beast</t>
  </si>
  <si>
    <t xml:space="preserve">tt7526136</t>
  </si>
  <si>
    <t xml:space="preserve">Bob's Burgers: O Filme</t>
  </si>
  <si>
    <t xml:space="preserve">The Bob's Burgers Movie</t>
  </si>
  <si>
    <t xml:space="preserve">tt7466442</t>
  </si>
  <si>
    <t xml:space="preserve">Look Back</t>
  </si>
  <si>
    <t xml:space="preserve">tt31711040</t>
  </si>
  <si>
    <t xml:space="preserve">Annette</t>
  </si>
  <si>
    <t xml:space="preserve">tt6217926</t>
  </si>
  <si>
    <t xml:space="preserve">Polícia Federal: A Lei É para Todos</t>
  </si>
  <si>
    <t xml:space="preserve">Operation Carwash: A Worldwide Corruption Scandal Made in Brazil</t>
  </si>
  <si>
    <t xml:space="preserve">tt6471684</t>
  </si>
  <si>
    <t xml:space="preserve">Meiyazhagan</t>
  </si>
  <si>
    <t xml:space="preserve">tt26758372</t>
  </si>
  <si>
    <t xml:space="preserve">The Battle at Lake Changjin II</t>
  </si>
  <si>
    <t xml:space="preserve">Maria E João - O Conto Das Bruxas</t>
  </si>
  <si>
    <t xml:space="preserve">Gretel &amp; Hansel</t>
  </si>
  <si>
    <t xml:space="preserve">tt9086228</t>
  </si>
  <si>
    <t xml:space="preserve">Corrida Contra o Tempo</t>
  </si>
  <si>
    <t xml:space="preserve">The Runner</t>
  </si>
  <si>
    <t xml:space="preserve">tt34564059</t>
  </si>
  <si>
    <t xml:space="preserve">De Volta ao Mar</t>
  </si>
  <si>
    <t xml:space="preserve">The Outrun</t>
  </si>
  <si>
    <t xml:space="preserve">tt11687002</t>
  </si>
  <si>
    <t xml:space="preserve">Maria - Mãe do Filho de Deus</t>
  </si>
  <si>
    <t xml:space="preserve">Mary, Mother of the Son of God</t>
  </si>
  <si>
    <t xml:space="preserve">tt0380531</t>
  </si>
  <si>
    <t xml:space="preserve">Como Ganhar Milhões Antes que a Avó Morra</t>
  </si>
  <si>
    <t xml:space="preserve">How to Make Millions Before Grandma Dies</t>
  </si>
  <si>
    <t xml:space="preserve">tt31392609</t>
  </si>
  <si>
    <t xml:space="preserve">Os Farofeiros 2</t>
  </si>
  <si>
    <t xml:space="preserve">The Beachnickers 2</t>
  </si>
  <si>
    <t xml:space="preserve">tt28814948</t>
  </si>
  <si>
    <t xml:space="preserve">O Homem do Futuro</t>
  </si>
  <si>
    <t xml:space="preserve">The Man from the Future</t>
  </si>
  <si>
    <t xml:space="preserve">tt2027178</t>
  </si>
  <si>
    <t xml:space="preserve">A Voz de Hind Rajab</t>
  </si>
  <si>
    <t xml:space="preserve">The Voice of Hind Rajab</t>
  </si>
  <si>
    <t xml:space="preserve">tt36943034</t>
  </si>
  <si>
    <t xml:space="preserve">A Morte de Robin Hood</t>
  </si>
  <si>
    <t xml:space="preserve">The Death of Robin Hood</t>
  </si>
  <si>
    <t xml:space="preserve">tt32273171</t>
  </si>
  <si>
    <t xml:space="preserve">Acampamento Miasma: Adolescência, Sexo e Morte</t>
  </si>
  <si>
    <t xml:space="preserve">Teenage Sex and Death at Camp Miasma</t>
  </si>
  <si>
    <t xml:space="preserve">tt35298123</t>
  </si>
  <si>
    <t xml:space="preserve">Trolls 3: Juntos Novamente</t>
  </si>
  <si>
    <t xml:space="preserve">Trolls Band Together</t>
  </si>
  <si>
    <t xml:space="preserve">tt14362112</t>
  </si>
  <si>
    <t xml:space="preserve">Gonzaga: de Pai pra Filho</t>
  </si>
  <si>
    <t xml:space="preserve">Gonzaga: From Father to Son</t>
  </si>
  <si>
    <t xml:space="preserve">tt2478746</t>
  </si>
  <si>
    <t xml:space="preserve">Mass</t>
  </si>
  <si>
    <t xml:space="preserve">tt11389748</t>
  </si>
  <si>
    <t xml:space="preserve">Full River Red</t>
  </si>
  <si>
    <t xml:space="preserve">tt21148018</t>
  </si>
  <si>
    <t xml:space="preserve">Zona Zero</t>
  </si>
  <si>
    <t xml:space="preserve">Colony</t>
  </si>
  <si>
    <t xml:space="preserve">tt34385135</t>
  </si>
  <si>
    <t xml:space="preserve">Evangelion: 3.0+1.01 A Esperança</t>
  </si>
  <si>
    <t xml:space="preserve">Evangelion: 3.0+1.0 Thrice Upon a Time</t>
  </si>
  <si>
    <t xml:space="preserve">tt2458948</t>
  </si>
  <si>
    <t xml:space="preserve">Detective Chinatown 3</t>
  </si>
  <si>
    <t xml:space="preserve">tt10370822</t>
  </si>
  <si>
    <t xml:space="preserve">Golpe Explosivo</t>
  </si>
  <si>
    <t xml:space="preserve">Fuze</t>
  </si>
  <si>
    <t xml:space="preserve">tt31189814</t>
  </si>
  <si>
    <t xml:space="preserve">Um Espião Animal</t>
  </si>
  <si>
    <t xml:space="preserve">Spies in Disguise</t>
  </si>
  <si>
    <t xml:space="preserve">tt5814534</t>
  </si>
  <si>
    <t xml:space="preserve">O Aniversário</t>
  </si>
  <si>
    <t xml:space="preserve">Anniversary</t>
  </si>
  <si>
    <t xml:space="preserve">tt12583926</t>
  </si>
  <si>
    <t xml:space="preserve">Muita Calma Nessa Hora</t>
  </si>
  <si>
    <t xml:space="preserve">tt1781866</t>
  </si>
  <si>
    <t xml:space="preserve">Sherlock Holmes: O Jogo das Sombras</t>
  </si>
  <si>
    <t xml:space="preserve">tt2304901</t>
  </si>
  <si>
    <t xml:space="preserve">Centenas de Castores</t>
  </si>
  <si>
    <t xml:space="preserve">Hundreds of Beavers</t>
  </si>
  <si>
    <t xml:space="preserve">tt12818328</t>
  </si>
  <si>
    <t xml:space="preserve">Primetime</t>
  </si>
  <si>
    <t xml:space="preserve">tt34206385</t>
  </si>
  <si>
    <t xml:space="preserve">Nosso Lar 2: Os Mensageiros</t>
  </si>
  <si>
    <t xml:space="preserve">Nosso Lar 2</t>
  </si>
  <si>
    <t xml:space="preserve">tt3096770</t>
  </si>
  <si>
    <t xml:space="preserve">Só Por Uma Noite</t>
  </si>
  <si>
    <t xml:space="preserve">One Night Only</t>
  </si>
  <si>
    <t xml:space="preserve">tt37853455</t>
  </si>
  <si>
    <t xml:space="preserve">Sonic 3: O Filme</t>
  </si>
  <si>
    <t xml:space="preserve">Sonic the Hedgehog 3</t>
  </si>
  <si>
    <t xml:space="preserve">tt18259086</t>
  </si>
  <si>
    <t xml:space="preserve">E então nós dançamos</t>
  </si>
  <si>
    <t xml:space="preserve">And Then We Danced</t>
  </si>
  <si>
    <t xml:space="preserve">tt8963708</t>
  </si>
  <si>
    <t xml:space="preserve">O Pai da Noiva</t>
  </si>
  <si>
    <t xml:space="preserve">Father of the Bride</t>
  </si>
  <si>
    <t xml:space="preserve">tt13249596</t>
  </si>
  <si>
    <t xml:space="preserve">Burning Days</t>
  </si>
  <si>
    <t xml:space="preserve">tt14859416</t>
  </si>
  <si>
    <t xml:space="preserve">Crô - O Filme</t>
  </si>
  <si>
    <t xml:space="preserve">Crô: O Filme</t>
  </si>
  <si>
    <t xml:space="preserve">tt2938008</t>
  </si>
  <si>
    <t xml:space="preserve">The Wandering Earth 2</t>
  </si>
  <si>
    <t xml:space="preserve">Shirley</t>
  </si>
  <si>
    <t xml:space="preserve">tt8430598</t>
  </si>
  <si>
    <t xml:space="preserve">Foge, Coelho</t>
  </si>
  <si>
    <t xml:space="preserve">Run Rabbit Run</t>
  </si>
  <si>
    <t xml:space="preserve">tt12547822</t>
  </si>
  <si>
    <t xml:space="preserve">O Poderoso Chefinho 2: Negócios da Família</t>
  </si>
  <si>
    <t xml:space="preserve">The Boss Baby: Family Business</t>
  </si>
  <si>
    <t xml:space="preserve">tt6932874</t>
  </si>
  <si>
    <t xml:space="preserve">O Resgate de Ruby</t>
  </si>
  <si>
    <t xml:space="preserve">Rescued by Ruby</t>
  </si>
  <si>
    <t xml:space="preserve">tt11278476</t>
  </si>
  <si>
    <t xml:space="preserve">Uma Segunda Chance</t>
  </si>
  <si>
    <t xml:space="preserve">Reminders of Him</t>
  </si>
  <si>
    <t xml:space="preserve">tt33714084</t>
  </si>
  <si>
    <t xml:space="preserve">Tratamento de Realeza</t>
  </si>
  <si>
    <t xml:space="preserve">The Royal Treatment</t>
  </si>
  <si>
    <t xml:space="preserve">tt13989030</t>
  </si>
  <si>
    <t xml:space="preserve">Três Horas para Viver</t>
  </si>
  <si>
    <t xml:space="preserve">Runner</t>
  </si>
  <si>
    <t xml:space="preserve">tt31349844</t>
  </si>
  <si>
    <t xml:space="preserve">Temporada de Casamentos</t>
  </si>
  <si>
    <t xml:space="preserve">Wedding Season</t>
  </si>
  <si>
    <t xml:space="preserve">tt11426572</t>
  </si>
  <si>
    <t xml:space="preserve">Os Parças</t>
  </si>
  <si>
    <t xml:space="preserve">tt7702334</t>
  </si>
  <si>
    <t xml:space="preserve">Hope: O Primeiro Impacto</t>
  </si>
  <si>
    <t xml:space="preserve">Hope</t>
  </si>
  <si>
    <t xml:space="preserve">tt27369017</t>
  </si>
  <si>
    <t xml:space="preserve">Férias macabras</t>
  </si>
  <si>
    <t xml:space="preserve">Get Away</t>
  </si>
  <si>
    <t xml:space="preserve">tt10449276</t>
  </si>
  <si>
    <t xml:space="preserve">Kadaisi Vivasayi</t>
  </si>
  <si>
    <t xml:space="preserve">tt10300570</t>
  </si>
  <si>
    <t xml:space="preserve">Os Caras de Pau em O Misterioso Roubo do Anel</t>
  </si>
  <si>
    <t xml:space="preserve">tt4320900</t>
  </si>
  <si>
    <t xml:space="preserve">A Partilha</t>
  </si>
  <si>
    <t xml:space="preserve">The Inheritance</t>
  </si>
  <si>
    <t xml:space="preserve">tt0287625</t>
  </si>
  <si>
    <t xml:space="preserve">Onde Fica o Paraíso</t>
  </si>
  <si>
    <t xml:space="preserve">Summerland</t>
  </si>
  <si>
    <t xml:space="preserve">tt6841122</t>
  </si>
  <si>
    <t xml:space="preserve">A Família Addams 2: Pé na Estrada</t>
  </si>
  <si>
    <t xml:space="preserve">The Addams Family 2</t>
  </si>
  <si>
    <t xml:space="preserve">tt11125620</t>
  </si>
  <si>
    <t xml:space="preserve">Black Clover: A Espada do Rei Mago</t>
  </si>
  <si>
    <t xml:space="preserve">Black Clover: Sword of the Wizard King</t>
  </si>
  <si>
    <t xml:space="preserve">tt22868844</t>
  </si>
  <si>
    <t xml:space="preserve">Soulm8te</t>
  </si>
  <si>
    <t xml:space="preserve">tt32654916</t>
  </si>
  <si>
    <t xml:space="preserve">Didi, o Cupido Trapalhão</t>
  </si>
  <si>
    <t xml:space="preserve">Didi, the Goofy Cupid</t>
  </si>
  <si>
    <t xml:space="preserve">tt0367628</t>
  </si>
  <si>
    <t xml:space="preserve">Um Elefante Sentado Quieto</t>
  </si>
  <si>
    <t xml:space="preserve">An Elephant Sitting Still</t>
  </si>
  <si>
    <t xml:space="preserve">tt8020896</t>
  </si>
  <si>
    <t xml:space="preserve">Batman: Knightfall - Part 1: Knightfall</t>
  </si>
  <si>
    <t xml:space="preserve">tt32333324</t>
  </si>
  <si>
    <t xml:space="preserve">Esquadrão Secreto</t>
  </si>
  <si>
    <t xml:space="preserve">Secret Headquarters</t>
  </si>
  <si>
    <t xml:space="preserve">tt14001894</t>
  </si>
  <si>
    <t xml:space="preserve">O Concurso</t>
  </si>
  <si>
    <t xml:space="preserve">The Test</t>
  </si>
  <si>
    <t xml:space="preserve">tt2616114</t>
  </si>
  <si>
    <t xml:space="preserve">Joyland</t>
  </si>
  <si>
    <t xml:space="preserve">tt19719976</t>
  </si>
  <si>
    <t xml:space="preserve">O Homem que Copiava</t>
  </si>
  <si>
    <t xml:space="preserve">The Man Who Copied</t>
  </si>
  <si>
    <t xml:space="preserve">tt0367859</t>
  </si>
  <si>
    <t xml:space="preserve">Convenção Das Bruxas</t>
  </si>
  <si>
    <t xml:space="preserve">The Witches</t>
  </si>
  <si>
    <t xml:space="preserve">tt0805647</t>
  </si>
  <si>
    <t xml:space="preserve">Haikyu!! The Dumpster Battle</t>
  </si>
  <si>
    <t xml:space="preserve">tt30476486</t>
  </si>
  <si>
    <t xml:space="preserve">Golpes de Vingança</t>
  </si>
  <si>
    <t xml:space="preserve">Fistful of Vengeance</t>
  </si>
  <si>
    <t xml:space="preserve">tt14158554</t>
  </si>
  <si>
    <t xml:space="preserve">S.O.S. Mulheres ao Mar 2</t>
  </si>
  <si>
    <t xml:space="preserve">S.O.S. Women to the Sea 2</t>
  </si>
  <si>
    <t xml:space="preserve">tt4358196</t>
  </si>
  <si>
    <t xml:space="preserve">Doze é Demais</t>
  </si>
  <si>
    <t xml:space="preserve">Cheaper by the Dozen</t>
  </si>
  <si>
    <t xml:space="preserve">tt6705162</t>
  </si>
  <si>
    <t xml:space="preserve">Lula, o Filho do Brasil</t>
  </si>
  <si>
    <t xml:space="preserve">Lula, the Son of Brazil</t>
  </si>
  <si>
    <t xml:space="preserve">tt1442576</t>
  </si>
  <si>
    <t xml:space="preserve">A Mulher Secreta</t>
  </si>
  <si>
    <t xml:space="preserve">The Secret Woman</t>
  </si>
  <si>
    <t xml:space="preserve">tt37275992</t>
  </si>
  <si>
    <t xml:space="preserve">A Turma da Mônica em uma Aventura no Tempo</t>
  </si>
  <si>
    <t xml:space="preserve">Homem com H</t>
  </si>
  <si>
    <t xml:space="preserve">Latin Blood: The Ballad of Ney Matogrosso</t>
  </si>
  <si>
    <t xml:space="preserve">tt35301431</t>
  </si>
  <si>
    <t xml:space="preserve">Outra Mamãe</t>
  </si>
  <si>
    <t xml:space="preserve">Other Mommy</t>
  </si>
  <si>
    <t xml:space="preserve">tt36586020</t>
  </si>
  <si>
    <t xml:space="preserve">A casa da mãe Joana</t>
  </si>
  <si>
    <t xml:space="preserve">Que horas ela volta?</t>
  </si>
  <si>
    <t xml:space="preserve">The Second Mother</t>
  </si>
  <si>
    <t xml:space="preserve">tt3742378</t>
  </si>
  <si>
    <t xml:space="preserve">A Pequena Amélie</t>
  </si>
  <si>
    <t xml:space="preserve">Little Amélie or the Character of Rain</t>
  </si>
  <si>
    <t xml:space="preserve">tt29313285</t>
  </si>
  <si>
    <t xml:space="preserve">Madea: O Retorno</t>
  </si>
  <si>
    <t xml:space="preserve">Tyler Perry's A Madea Homecoming</t>
  </si>
  <si>
    <t xml:space="preserve">tt14813966</t>
  </si>
  <si>
    <t xml:space="preserve">Qualquer Gato Vira-Lata</t>
  </si>
  <si>
    <t xml:space="preserve">tt1730133</t>
  </si>
  <si>
    <t xml:space="preserve">Tim Maia</t>
  </si>
  <si>
    <t xml:space="preserve">tt3134058</t>
  </si>
  <si>
    <t xml:space="preserve">Rocks</t>
  </si>
  <si>
    <t xml:space="preserve">tt9067182</t>
  </si>
  <si>
    <t xml:space="preserve">A Dona da História</t>
  </si>
  <si>
    <t xml:space="preserve">Owner of the Story</t>
  </si>
  <si>
    <t xml:space="preserve">tt0395994</t>
  </si>
  <si>
    <t xml:space="preserve">Pegasus 3</t>
  </si>
  <si>
    <t xml:space="preserve">tt38035835</t>
  </si>
  <si>
    <t xml:space="preserve">Zombies 3</t>
  </si>
  <si>
    <t xml:space="preserve">tt14301252</t>
  </si>
  <si>
    <t xml:space="preserve">Mato sem Cachorro</t>
  </si>
  <si>
    <t xml:space="preserve">The Dognapper</t>
  </si>
  <si>
    <t xml:space="preserve">tt2039369</t>
  </si>
  <si>
    <t xml:space="preserve">Chico Bento e a Goiabeira Maraviósa</t>
  </si>
  <si>
    <t xml:space="preserve">Chuck Billy and the Marvelous Guava Tree</t>
  </si>
  <si>
    <t xml:space="preserve">tt30868610</t>
  </si>
  <si>
    <t xml:space="preserve">Atraídos pelo Destino</t>
  </si>
  <si>
    <t xml:space="preserve">Drawn Together</t>
  </si>
  <si>
    <t xml:space="preserve">tt36073210</t>
  </si>
  <si>
    <t xml:space="preserve">O Bolo do Presidente</t>
  </si>
  <si>
    <t xml:space="preserve">The President's Cake</t>
  </si>
  <si>
    <t xml:space="preserve">tt36580119</t>
  </si>
  <si>
    <t xml:space="preserve">The Souvenir: Part II</t>
  </si>
  <si>
    <t xml:space="preserve">tt6992978</t>
  </si>
  <si>
    <t xml:space="preserve">Na Estrada - On The Road</t>
  </si>
  <si>
    <t xml:space="preserve">On the Road</t>
  </si>
  <si>
    <t xml:space="preserve">tt0337692</t>
  </si>
  <si>
    <t xml:space="preserve">Muita Calma Nessa Hora 2</t>
  </si>
  <si>
    <t xml:space="preserve">tt2216536</t>
  </si>
  <si>
    <t xml:space="preserve">Alemão</t>
  </si>
  <si>
    <t xml:space="preserve">Alemão: Both Sides of the Operation</t>
  </si>
  <si>
    <t xml:space="preserve">tt3527550</t>
  </si>
  <si>
    <t xml:space="preserve">Tô Ryca</t>
  </si>
  <si>
    <t xml:space="preserve">I'm Rich</t>
  </si>
  <si>
    <t xml:space="preserve">tt4809638</t>
  </si>
  <si>
    <t xml:space="preserve">Mamonas Assassinas - O Filme</t>
  </si>
  <si>
    <t xml:space="preserve">Mamonas Assassinas: O Filme</t>
  </si>
  <si>
    <t xml:space="preserve">tt24326062</t>
  </si>
  <si>
    <t xml:space="preserve">O Casamento de Romeu e Julieta</t>
  </si>
  <si>
    <t xml:space="preserve">Romeo &amp; Juliet ...Get Married</t>
  </si>
  <si>
    <t xml:space="preserve">tt0429743</t>
  </si>
  <si>
    <t xml:space="preserve">Última Parada - 174</t>
  </si>
  <si>
    <t xml:space="preserve">Last Stop 174</t>
  </si>
  <si>
    <t xml:space="preserve">tt1280567</t>
  </si>
  <si>
    <t xml:space="preserve">Vips</t>
  </si>
  <si>
    <t xml:space="preserve">VIPs</t>
  </si>
  <si>
    <t xml:space="preserve">tt1235548</t>
  </si>
  <si>
    <t xml:space="preserve">Turma da Mônica: Lições</t>
  </si>
  <si>
    <t xml:space="preserve">Monica and Friends: Lessons</t>
  </si>
  <si>
    <t xml:space="preserve">tt11674072</t>
  </si>
  <si>
    <t xml:space="preserve">O Documentário da IA: Ou Como Me Tornei Otimista Diante do Apocalipse</t>
  </si>
  <si>
    <t xml:space="preserve">The AI Doc: Or How I Became an Apocaloptimist</t>
  </si>
  <si>
    <t xml:space="preserve">tt39150120</t>
  </si>
  <si>
    <t xml:space="preserve">Kardec</t>
  </si>
  <si>
    <t xml:space="preserve">tt9213932</t>
  </si>
  <si>
    <t xml:space="preserve">O Vendedor de Sonhos</t>
  </si>
  <si>
    <t xml:space="preserve">The Dreamseller</t>
  </si>
  <si>
    <t xml:space="preserve">tt5496926</t>
  </si>
  <si>
    <t xml:space="preserve">Meu Tio Matou um Cara</t>
  </si>
  <si>
    <t xml:space="preserve">tt0416979</t>
  </si>
  <si>
    <t xml:space="preserve">Xuxa em O Mistério de Feiurinha</t>
  </si>
  <si>
    <t xml:space="preserve">Xuxa and the Mystery of the Little Ugly Princess</t>
  </si>
  <si>
    <t xml:space="preserve">tt1576703</t>
  </si>
  <si>
    <t xml:space="preserve">Xuxa e o Tesouro da Cidade Perdida</t>
  </si>
  <si>
    <t xml:space="preserve">Bruja and the Lost City of Gold</t>
  </si>
  <si>
    <t xml:space="preserve">tt0445095</t>
  </si>
  <si>
    <t xml:space="preserve">Detetives do Prédio Azul 3 - Uma Aventura no Fim do Mundo</t>
  </si>
  <si>
    <t xml:space="preserve">Missing Home</t>
  </si>
  <si>
    <t xml:space="preserve">tt16266336</t>
  </si>
  <si>
    <t xml:space="preserve">Zuzu Angel</t>
  </si>
  <si>
    <t xml:space="preserve">tt0481254</t>
  </si>
  <si>
    <t xml:space="preserve">Medida Provisória</t>
  </si>
  <si>
    <t xml:space="preserve">Elis</t>
  </si>
  <si>
    <t xml:space="preserve">tt4875150</t>
  </si>
  <si>
    <t xml:space="preserve">Trash - A Esperança vem do Lixo</t>
  </si>
  <si>
    <t xml:space="preserve">Trash</t>
  </si>
  <si>
    <t xml:space="preserve">tt1921149</t>
  </si>
  <si>
    <t xml:space="preserve">Mais Forte que o Mundo - A História de José Aldo</t>
  </si>
  <si>
    <t xml:space="preserve">Mais Forte que o Mundo: A História de José Aldo</t>
  </si>
  <si>
    <t xml:space="preserve">tt3918584</t>
  </si>
  <si>
    <t xml:space="preserve">Hoje Eu Quero Voltar Sozinho</t>
  </si>
  <si>
    <t xml:space="preserve">The Way He Looks</t>
  </si>
  <si>
    <t xml:space="preserve">tt1702014</t>
  </si>
  <si>
    <t xml:space="preserve">O Bem Amado</t>
  </si>
  <si>
    <t xml:space="preserve">The Well Beloved One</t>
  </si>
  <si>
    <t xml:space="preserve">tt1410297</t>
  </si>
  <si>
    <t xml:space="preserve">Eduardo e Mônica</t>
  </si>
  <si>
    <t xml:space="preserve">Os Parças 2</t>
  </si>
  <si>
    <t xml:space="preserve">tt9207188</t>
  </si>
  <si>
    <t xml:space="preserve">Cidade dos homens – O filme</t>
  </si>
  <si>
    <t xml:space="preserve">City of Men</t>
  </si>
  <si>
    <t xml:space="preserve">tt0870090</t>
  </si>
  <si>
    <t xml:space="preserve">Riceboy Sleeps</t>
  </si>
  <si>
    <t xml:space="preserve">tt13456340</t>
  </si>
  <si>
    <t xml:space="preserve">Confissões de Adolescente - o Filme</t>
  </si>
  <si>
    <t xml:space="preserve">Teen's Confessions</t>
  </si>
  <si>
    <t xml:space="preserve">tt2836364</t>
  </si>
  <si>
    <t xml:space="preserve">Paraísos Artificiais</t>
  </si>
  <si>
    <t xml:space="preserve">Artificial Paradises</t>
  </si>
  <si>
    <t xml:space="preserve">tt2102396</t>
  </si>
  <si>
    <t xml:space="preserve">O Tempo e o Vento</t>
  </si>
  <si>
    <t xml:space="preserve">Time and the Wind</t>
  </si>
  <si>
    <t xml:space="preserve">tt2401711</t>
  </si>
  <si>
    <t xml:space="preserve">Didi quer ser criança</t>
  </si>
  <si>
    <t xml:space="preserve">Didi Wanna Be a Kid</t>
  </si>
  <si>
    <t xml:space="preserve">tt0419684</t>
  </si>
  <si>
    <t xml:space="preserve">Como se tornar o pior aluno da escola</t>
  </si>
  <si>
    <t xml:space="preserve">Como se Tornar o Pior Aluno da Escola</t>
  </si>
  <si>
    <t xml:space="preserve">tt6791886</t>
  </si>
  <si>
    <t xml:space="preserve">Era uma Vez...</t>
  </si>
  <si>
    <t xml:space="preserve">Once Upon a Time in Rio</t>
  </si>
  <si>
    <t xml:space="preserve">tt1174691</t>
  </si>
  <si>
    <t xml:space="preserve">Vestido pra Casar</t>
  </si>
  <si>
    <t xml:space="preserve">Dressed to Marry</t>
  </si>
  <si>
    <t xml:space="preserve">tt3668960</t>
  </si>
  <si>
    <t xml:space="preserve">As Aventuras de Agamenon, o Repórter</t>
  </si>
  <si>
    <t xml:space="preserve">Agamenon: The Film</t>
  </si>
  <si>
    <t xml:space="preserve">tt2181819</t>
  </si>
  <si>
    <t xml:space="preserve">Detetives do Prédio Azul 2 - O Mistério Italiano</t>
  </si>
  <si>
    <t xml:space="preserve">Detetives do Prédio Azul 2: O Mistério Italiano</t>
  </si>
  <si>
    <t xml:space="preserve">tt8709344</t>
  </si>
  <si>
    <t xml:space="preserve">Dois coelhos</t>
  </si>
  <si>
    <t xml:space="preserve">Two Rabbits</t>
  </si>
  <si>
    <t xml:space="preserve">tt1753722</t>
  </si>
  <si>
    <t xml:space="preserve">Entre Abelhas</t>
  </si>
  <si>
    <t xml:space="preserve">Amongst Bees</t>
  </si>
  <si>
    <t xml:space="preserve">tt3765088</t>
  </si>
  <si>
    <t xml:space="preserve">Besouro</t>
  </si>
  <si>
    <t xml:space="preserve">The Assailant</t>
  </si>
  <si>
    <t xml:space="preserve">tt1322277</t>
  </si>
  <si>
    <t xml:space="preserve">Um Suburbano Sortudo</t>
  </si>
  <si>
    <t xml:space="preserve">tt5529392</t>
  </si>
  <si>
    <t xml:space="preserve">O Shaolin do Sertão</t>
  </si>
  <si>
    <t xml:space="preserve">tt5786508</t>
  </si>
  <si>
    <t xml:space="preserve">Ó pai ó</t>
  </si>
  <si>
    <t xml:space="preserve">Ó Pai, Ó: Look at This</t>
  </si>
  <si>
    <t xml:space="preserve">tt0895777</t>
  </si>
  <si>
    <t xml:space="preserve">O Coronel e o Lobisomem</t>
  </si>
  <si>
    <t xml:space="preserve">tt0456117</t>
  </si>
  <si>
    <t xml:space="preserve">Tainá - A Origem</t>
  </si>
  <si>
    <t xml:space="preserve">Tainá - uma Aventura na Amazônia</t>
  </si>
  <si>
    <t xml:space="preserve">Tainah, an Amazon Adventure</t>
  </si>
  <si>
    <t xml:space="preserve">tt0264079</t>
  </si>
  <si>
    <t xml:space="preserve">Getúlio</t>
  </si>
  <si>
    <t xml:space="preserve">tt3046062</t>
  </si>
  <si>
    <t xml:space="preserve">Cinderela Pop</t>
  </si>
  <si>
    <t xml:space="preserve">DJ Cinderella</t>
  </si>
  <si>
    <t xml:space="preserve">tt8716800</t>
  </si>
  <si>
    <t xml:space="preserve">Serra Pelada</t>
  </si>
  <si>
    <t xml:space="preserve">Bald Mountain</t>
  </si>
  <si>
    <t xml:space="preserve">tt2140381</t>
  </si>
  <si>
    <t xml:space="preserve">Nosso Sonho</t>
  </si>
  <si>
    <t xml:space="preserve">tt15060662</t>
  </si>
  <si>
    <t xml:space="preserve">A Busca</t>
  </si>
  <si>
    <t xml:space="preserve">The Search</t>
  </si>
  <si>
    <t xml:space="preserve">tt2177827</t>
  </si>
  <si>
    <t xml:space="preserve">Yuni</t>
  </si>
  <si>
    <t xml:space="preserve">tt13834788</t>
  </si>
  <si>
    <t xml:space="preserve">Cine Holliúdy</t>
  </si>
  <si>
    <t xml:space="preserve">tt2342810</t>
  </si>
  <si>
    <t xml:space="preserve">Bingo - O rei das manhãs</t>
  </si>
  <si>
    <t xml:space="preserve">Bingo: The King of the Mornings</t>
  </si>
  <si>
    <t xml:space="preserve">tt6293516</t>
  </si>
  <si>
    <t xml:space="preserve">Linda de morrer</t>
  </si>
  <si>
    <t xml:space="preserve">Drop Dead Gorgeous</t>
  </si>
  <si>
    <t xml:space="preserve">tt4543578</t>
  </si>
  <si>
    <t xml:space="preserve">Porta dos Fundos - Contrato Vitalício</t>
  </si>
  <si>
    <t xml:space="preserve">Porta dos Fundos: Contrato Vitalício</t>
  </si>
  <si>
    <t xml:space="preserve">tt5708172</t>
  </si>
  <si>
    <t xml:space="preserve">Xuxa Gêmeas</t>
  </si>
  <si>
    <t xml:space="preserve">Xuxa Twins</t>
  </si>
  <si>
    <t xml:space="preserve">tt0936504</t>
  </si>
  <si>
    <t xml:space="preserve">Acquaria</t>
  </si>
  <si>
    <t xml:space="preserve">tt0380165</t>
  </si>
  <si>
    <t xml:space="preserve">Didi, o Caçador de Tesouros</t>
  </si>
  <si>
    <t xml:space="preserve">Didi, the Treasure Raider</t>
  </si>
  <si>
    <t xml:space="preserve">tt0497900</t>
  </si>
  <si>
    <t xml:space="preserve">Xuxinha e Guto contra os monstros do espaço</t>
  </si>
  <si>
    <t xml:space="preserve">Xuxinha and Guto Against the Space Monsters</t>
  </si>
  <si>
    <t xml:space="preserve">tt0496595</t>
  </si>
  <si>
    <t xml:space="preserve">Uma Quase Dupla</t>
  </si>
  <si>
    <t xml:space="preserve">tt8591986</t>
  </si>
  <si>
    <t xml:space="preserve">Vai que dá certo 2</t>
  </si>
  <si>
    <t xml:space="preserve">Vai que Dá Certo 2</t>
  </si>
  <si>
    <t xml:space="preserve">tt5325210</t>
  </si>
  <si>
    <t xml:space="preserve">Xingu</t>
  </si>
  <si>
    <t xml:space="preserve">tt2142055</t>
  </si>
  <si>
    <t xml:space="preserve">Flores Raras</t>
  </si>
  <si>
    <t xml:space="preserve">Reaching for the Moon</t>
  </si>
  <si>
    <t xml:space="preserve">tt2217458</t>
  </si>
  <si>
    <t xml:space="preserve">O Menino da Porteira</t>
  </si>
  <si>
    <t xml:space="preserve">tt1334026</t>
  </si>
  <si>
    <t xml:space="preserve">Marighella</t>
  </si>
  <si>
    <t xml:space="preserve">Copa de Elite</t>
  </si>
  <si>
    <t xml:space="preserve">tt3666526</t>
  </si>
  <si>
    <t xml:space="preserve">O homem que desafiou o diabo</t>
  </si>
  <si>
    <t xml:space="preserve">O Homem Que Desafiou o Diabo</t>
  </si>
  <si>
    <t xml:space="preserve">tt0933033</t>
  </si>
  <si>
    <t xml:space="preserve">Casseta &amp; Planeta - a Taça do Mundo é Nossa</t>
  </si>
  <si>
    <t xml:space="preserve">Casseta &amp; Planeta: A Taça do Mundo é Nossa</t>
  </si>
  <si>
    <t xml:space="preserve">tt0354087</t>
  </si>
  <si>
    <t xml:space="preserve">Qualquer Gato Vira-lata 2</t>
  </si>
  <si>
    <t xml:space="preserve">Qualquer Gato Vira-Lata 2</t>
  </si>
  <si>
    <t xml:space="preserve">tt4657092</t>
  </si>
  <si>
    <t xml:space="preserve">Operações Especiais</t>
  </si>
  <si>
    <t xml:space="preserve">tt4058210</t>
  </si>
  <si>
    <t xml:space="preserve">Meus 15 Anos</t>
  </si>
  <si>
    <t xml:space="preserve">tt6692022</t>
  </si>
  <si>
    <t xml:space="preserve">O Candidato Honesto 2</t>
  </si>
  <si>
    <t xml:space="preserve">tt8837044</t>
  </si>
  <si>
    <t xml:space="preserve">O filme da minha vida</t>
  </si>
  <si>
    <t xml:space="preserve">The Movie of My Life</t>
  </si>
  <si>
    <t xml:space="preserve">tt4012424</t>
  </si>
  <si>
    <t xml:space="preserve">Internet - O Filme</t>
  </si>
  <si>
    <t xml:space="preserve">Internet: O Filme</t>
  </si>
  <si>
    <t xml:space="preserve">tt6571110</t>
  </si>
  <si>
    <t xml:space="preserve">O cheiro do ralo</t>
  </si>
  <si>
    <t xml:space="preserve">Drained</t>
  </si>
  <si>
    <t xml:space="preserve">tt0489458</t>
  </si>
  <si>
    <t xml:space="preserve">Saneamento básico, o filme</t>
  </si>
  <si>
    <t xml:space="preserve">Basic Sanitation, the Movie</t>
  </si>
  <si>
    <t xml:space="preserve">tt0907134</t>
  </si>
  <si>
    <t xml:space="preserve">As Melhores Coisas do Mundo</t>
  </si>
  <si>
    <t xml:space="preserve">The Best Things in the World</t>
  </si>
  <si>
    <t xml:space="preserve">tt1054677</t>
  </si>
  <si>
    <t xml:space="preserve">The Eight Hundred</t>
  </si>
  <si>
    <t xml:space="preserve">tt7294150</t>
  </si>
  <si>
    <t xml:space="preserve">As Mães de Chico Xavier</t>
  </si>
  <si>
    <t xml:space="preserve">tt1882041</t>
  </si>
  <si>
    <t xml:space="preserve">Vai Que Cola 2 - O Começo</t>
  </si>
  <si>
    <t xml:space="preserve">Vai que Cola 2: O Começo</t>
  </si>
  <si>
    <t xml:space="preserve">tt10627858</t>
  </si>
  <si>
    <t xml:space="preserve">Red Post on Escher Street</t>
  </si>
  <si>
    <t xml:space="preserve">tt13245934</t>
  </si>
  <si>
    <t xml:space="preserve">Eu fico loko</t>
  </si>
  <si>
    <t xml:space="preserve">I Go Crazy</t>
  </si>
  <si>
    <t xml:space="preserve">tt5968964</t>
  </si>
  <si>
    <t xml:space="preserve">Tainá 2 - a Aventura Continua</t>
  </si>
  <si>
    <t xml:space="preserve">Tainá 2: A Aventura Continua</t>
  </si>
  <si>
    <t xml:space="preserve">tt0383001</t>
  </si>
  <si>
    <t xml:space="preserve">O Doutrinador – O Filme</t>
  </si>
  <si>
    <t xml:space="preserve">The Awakener</t>
  </si>
  <si>
    <t xml:space="preserve">tt7878846</t>
  </si>
  <si>
    <t xml:space="preserve">Como nossos pais</t>
  </si>
  <si>
    <t xml:space="preserve">Just Like Our Parents</t>
  </si>
  <si>
    <t xml:space="preserve">tt5631456</t>
  </si>
  <si>
    <t xml:space="preserve">Um namorado para minha mulher</t>
  </si>
  <si>
    <t xml:space="preserve">A Boyfriend for My Wife</t>
  </si>
  <si>
    <t xml:space="preserve">tt5475002</t>
  </si>
  <si>
    <t xml:space="preserve">Totalmente Inocentes</t>
  </si>
  <si>
    <t xml:space="preserve">Totally Innocents</t>
  </si>
  <si>
    <t xml:space="preserve">tt2066141</t>
  </si>
  <si>
    <t xml:space="preserve">Sai de Baixo, O Filme</t>
  </si>
  <si>
    <t xml:space="preserve">Sai de Baixo: O Filme</t>
  </si>
  <si>
    <t xml:space="preserve">tt8211942</t>
  </si>
  <si>
    <t xml:space="preserve">Jean Charles</t>
  </si>
  <si>
    <t xml:space="preserve">tt0989007</t>
  </si>
  <si>
    <t xml:space="preserve">Arca de Noé</t>
  </si>
  <si>
    <t xml:space="preserve">Noah's Ark</t>
  </si>
  <si>
    <t xml:space="preserve">tt8637446</t>
  </si>
  <si>
    <t xml:space="preserve">La flor</t>
  </si>
  <si>
    <t xml:space="preserve">La Flor</t>
  </si>
  <si>
    <t xml:space="preserve">tt9047474</t>
  </si>
  <si>
    <t xml:space="preserve">Caixa 2</t>
  </si>
  <si>
    <t xml:space="preserve">Divaldo – O Mensageiro da Paz</t>
  </si>
  <si>
    <t xml:space="preserve">Divaldo Franco</t>
  </si>
  <si>
    <t xml:space="preserve">tt10278930</t>
  </si>
  <si>
    <t xml:space="preserve">Muito Gelo e Dois Dedos D'Água</t>
  </si>
  <si>
    <t xml:space="preserve">Lots of Ice and a Little Bit of Water</t>
  </si>
  <si>
    <t xml:space="preserve">tt0489772</t>
  </si>
  <si>
    <t xml:space="preserve">Um Tio Quase Perfeito</t>
  </si>
  <si>
    <t xml:space="preserve">tt6853930</t>
  </si>
  <si>
    <t xml:space="preserve">Rap World</t>
  </si>
  <si>
    <t xml:space="preserve">tt33478963</t>
  </si>
  <si>
    <t xml:space="preserve">Linha de passe</t>
  </si>
  <si>
    <t xml:space="preserve">Linha de Passe</t>
  </si>
  <si>
    <t xml:space="preserve">tt0803029</t>
  </si>
  <si>
    <t xml:space="preserve">Amor por acaso</t>
  </si>
  <si>
    <t xml:space="preserve">Love Happens</t>
  </si>
  <si>
    <t xml:space="preserve">tt0899106</t>
  </si>
  <si>
    <t xml:space="preserve">Estômago</t>
  </si>
  <si>
    <t xml:space="preserve">Estomago: A Gastronomic Story</t>
  </si>
  <si>
    <t xml:space="preserve">tt1039960</t>
  </si>
  <si>
    <t xml:space="preserve">O passado</t>
  </si>
  <si>
    <t xml:space="preserve">The Past</t>
  </si>
  <si>
    <t xml:space="preserve">tt0765469</t>
  </si>
  <si>
    <t xml:space="preserve">O Sequestro do Voo 375</t>
  </si>
  <si>
    <t xml:space="preserve">The Hijacking of Flight 375</t>
  </si>
  <si>
    <t xml:space="preserve">tt13073252</t>
  </si>
  <si>
    <t xml:space="preserve">O Padrinho</t>
  </si>
  <si>
    <t xml:space="preserve">El padrino</t>
  </si>
  <si>
    <t xml:space="preserve">tt0325950</t>
  </si>
  <si>
    <t xml:space="preserve">O Cavaleiro Didi e a Princesa Lili</t>
  </si>
  <si>
    <t xml:space="preserve">The Knight Didi and the Princess Lili</t>
  </si>
  <si>
    <t xml:space="preserve">tt1169137</t>
  </si>
  <si>
    <t xml:space="preserve">Irmãos de Fé</t>
  </si>
  <si>
    <t xml:space="preserve">Brothers in Faith</t>
  </si>
  <si>
    <t xml:space="preserve">tt0425139</t>
  </si>
  <si>
    <t xml:space="preserve">Reza a Lenda</t>
  </si>
  <si>
    <t xml:space="preserve">tt5026038</t>
  </si>
  <si>
    <t xml:space="preserve">Nise - O Coração da Loucura</t>
  </si>
  <si>
    <t xml:space="preserve">Nise: The Heart of Madness</t>
  </si>
  <si>
    <t xml:space="preserve">tt2168180</t>
  </si>
  <si>
    <t xml:space="preserve">Mussum, o Filmis</t>
  </si>
  <si>
    <t xml:space="preserve">Mussum: O Filmis</t>
  </si>
  <si>
    <t xml:space="preserve">tt18560202</t>
  </si>
  <si>
    <t xml:space="preserve">Pequeno Segredo</t>
  </si>
  <si>
    <t xml:space="preserve">Little Secret</t>
  </si>
  <si>
    <t xml:space="preserve">tt1352393</t>
  </si>
  <si>
    <t xml:space="preserve">Bem Casados</t>
  </si>
  <si>
    <t xml:space="preserve">tt4006906</t>
  </si>
  <si>
    <t xml:space="preserve">Divórcio</t>
  </si>
  <si>
    <t xml:space="preserve">tt5813948</t>
  </si>
  <si>
    <t xml:space="preserve">O Guerreiro Didi e a Ninja Lili</t>
  </si>
  <si>
    <t xml:space="preserve">The Warrior Didi and the Ninja Lili</t>
  </si>
  <si>
    <t xml:space="preserve">tt1248882</t>
  </si>
  <si>
    <t xml:space="preserve">Romance</t>
  </si>
  <si>
    <t xml:space="preserve">tt0884177</t>
  </si>
  <si>
    <t xml:space="preserve">Casseta e Planeta - seus Problemas Acabaram</t>
  </si>
  <si>
    <t xml:space="preserve">Casseta &amp; Planeta: Seus Problemas Acabaram!!!</t>
  </si>
  <si>
    <t xml:space="preserve">tt0854161</t>
  </si>
  <si>
    <t xml:space="preserve">Do Começo ao Fim</t>
  </si>
  <si>
    <t xml:space="preserve">From Beginning to End</t>
  </si>
  <si>
    <t xml:space="preserve">tt1440741</t>
  </si>
  <si>
    <t xml:space="preserve">Tô Ryca! 2</t>
  </si>
  <si>
    <t xml:space="preserve">tt10839454</t>
  </si>
  <si>
    <t xml:space="preserve">Superpai</t>
  </si>
  <si>
    <t xml:space="preserve">tt3653518</t>
  </si>
  <si>
    <t xml:space="preserve">Odeio o Dia dos Namorados</t>
  </si>
  <si>
    <t xml:space="preserve">tt2928842</t>
  </si>
  <si>
    <t xml:space="preserve">À Deriva</t>
  </si>
  <si>
    <t xml:space="preserve">Adrift</t>
  </si>
  <si>
    <t xml:space="preserve">tt1016321</t>
  </si>
  <si>
    <t xml:space="preserve">Salve Geral</t>
  </si>
  <si>
    <t xml:space="preserve">Time of Fear</t>
  </si>
  <si>
    <t xml:space="preserve">tt1526306</t>
  </si>
  <si>
    <t xml:space="preserve">Bezerra de Menezes – O diário de um espírito</t>
  </si>
  <si>
    <t xml:space="preserve">Bezerra De Menezes: The Diary of a Spirit</t>
  </si>
  <si>
    <t xml:space="preserve">tt1290389</t>
  </si>
  <si>
    <t xml:space="preserve">Os Exterminadores do Além Contra a Loira do Banheiro</t>
  </si>
  <si>
    <t xml:space="preserve">Lino - Uma aventura de sete vidas</t>
  </si>
  <si>
    <t xml:space="preserve">Lino</t>
  </si>
  <si>
    <t xml:space="preserve">tt6424768</t>
  </si>
  <si>
    <t xml:space="preserve">Quincas Berro D'Água</t>
  </si>
  <si>
    <t xml:space="preserve">The Two Deaths of Quincas Wateryell</t>
  </si>
  <si>
    <t xml:space="preserve">tt1068962</t>
  </si>
  <si>
    <t xml:space="preserve">Sexo com amor?</t>
  </si>
  <si>
    <t xml:space="preserve">Sexo com Amor?</t>
  </si>
  <si>
    <t xml:space="preserve">tt0931353</t>
  </si>
  <si>
    <t xml:space="preserve">Raul, o Início, o Fim e o Meio</t>
  </si>
  <si>
    <t xml:space="preserve">Raul: O Início, o Fim e o Meio</t>
  </si>
  <si>
    <t xml:space="preserve">tt1784599</t>
  </si>
  <si>
    <t xml:space="preserve">Predestinado: Arigó e o Espírito do Dr. Fritz</t>
  </si>
  <si>
    <t xml:space="preserve">The Surgeon of the Rusty Knife</t>
  </si>
  <si>
    <t xml:space="preserve">tt0120589</t>
  </si>
  <si>
    <t xml:space="preserve">TOC - Transtornada, Obsessiva, Compulsiva</t>
  </si>
  <si>
    <t xml:space="preserve">Neurotic Quest for Serenity</t>
  </si>
  <si>
    <t xml:space="preserve">tt5337480</t>
  </si>
  <si>
    <t xml:space="preserve">E a Vida Continua</t>
  </si>
  <si>
    <t xml:space="preserve">E a Vida Continua...</t>
  </si>
  <si>
    <t xml:space="preserve">tt2366794</t>
  </si>
  <si>
    <t xml:space="preserve">O banheiro do papa</t>
  </si>
  <si>
    <t xml:space="preserve">The Pope's Toilet</t>
  </si>
  <si>
    <t xml:space="preserve">tt0482901</t>
  </si>
  <si>
    <t xml:space="preserve">Ó Paí, Ó 2</t>
  </si>
  <si>
    <t xml:space="preserve">tt29002719</t>
  </si>
  <si>
    <t xml:space="preserve">Boa Sorte</t>
  </si>
  <si>
    <t xml:space="preserve">Good Luck</t>
  </si>
  <si>
    <t xml:space="preserve">tt2986122</t>
  </si>
  <si>
    <t xml:space="preserve">Meu Nome É Gal</t>
  </si>
  <si>
    <t xml:space="preserve">My Name Is Gal</t>
  </si>
  <si>
    <t xml:space="preserve">tt18244348</t>
  </si>
  <si>
    <t xml:space="preserve">Chega de saudade</t>
  </si>
  <si>
    <t xml:space="preserve">Chega de Saudade</t>
  </si>
  <si>
    <t xml:space="preserve">tt0977642</t>
  </si>
  <si>
    <t xml:space="preserve">Heleno</t>
  </si>
  <si>
    <t xml:space="preserve">tt1720114</t>
  </si>
  <si>
    <t xml:space="preserve">Crô em Familia</t>
  </si>
  <si>
    <t xml:space="preserve">Crô em Família</t>
  </si>
  <si>
    <t xml:space="preserve">tt7986760</t>
  </si>
  <si>
    <t xml:space="preserve">My People, My Homeland</t>
  </si>
  <si>
    <t xml:space="preserve">tt12363162</t>
  </si>
  <si>
    <t xml:space="preserve">Motel Destino</t>
  </si>
  <si>
    <t xml:space="preserve">tt28608358</t>
  </si>
  <si>
    <t xml:space="preserve">Se Puder... Dirija!</t>
  </si>
  <si>
    <t xml:space="preserve">tt2211808</t>
  </si>
  <si>
    <t xml:space="preserve">Billi Pig</t>
  </si>
  <si>
    <t xml:space="preserve">tt2181839</t>
  </si>
  <si>
    <t xml:space="preserve">A guerra dos Rocha</t>
  </si>
  <si>
    <t xml:space="preserve">A Guerra dos Rocha</t>
  </si>
  <si>
    <t xml:space="preserve">tt0972378</t>
  </si>
  <si>
    <t xml:space="preserve">A Noite da Virada</t>
  </si>
  <si>
    <t xml:space="preserve">Last Night</t>
  </si>
  <si>
    <t xml:space="preserve">tt4299406</t>
  </si>
  <si>
    <t xml:space="preserve">O Contador de Histórias</t>
  </si>
  <si>
    <t xml:space="preserve">The Story of Me</t>
  </si>
  <si>
    <t xml:space="preserve">tt1372685</t>
  </si>
  <si>
    <t xml:space="preserve">Os Penetras 2 - Quem dá mais?</t>
  </si>
  <si>
    <t xml:space="preserve">Party Crashers 2</t>
  </si>
  <si>
    <t xml:space="preserve">tt5259790</t>
  </si>
  <si>
    <t xml:space="preserve">Não por acaso</t>
  </si>
  <si>
    <t xml:space="preserve">Not by Chance</t>
  </si>
  <si>
    <t xml:space="preserve">tt0432988</t>
  </si>
  <si>
    <t xml:space="preserve">Os desafinados</t>
  </si>
  <si>
    <t xml:space="preserve">Os Desafinados</t>
  </si>
  <si>
    <t xml:space="preserve">tt0456122</t>
  </si>
  <si>
    <t xml:space="preserve">Retratos Fantasmas</t>
  </si>
  <si>
    <t xml:space="preserve">Pictures of Ghosts</t>
  </si>
  <si>
    <t xml:space="preserve">tt27502227</t>
  </si>
  <si>
    <t xml:space="preserve">A suprema felicidade</t>
  </si>
  <si>
    <t xml:space="preserve">A Suprema Felicidade</t>
  </si>
  <si>
    <t xml:space="preserve">tt1720038</t>
  </si>
  <si>
    <t xml:space="preserve">Made in China</t>
  </si>
  <si>
    <t xml:space="preserve">tt3742398</t>
  </si>
  <si>
    <t xml:space="preserve">400 contra 1 – A história do Comando Vermelho</t>
  </si>
  <si>
    <t xml:space="preserve">400 Against 1: A History of Organized Crime</t>
  </si>
  <si>
    <t xml:space="preserve">tt1781755</t>
  </si>
  <si>
    <t xml:space="preserve">Os Aventureiros - A Origem</t>
  </si>
  <si>
    <t xml:space="preserve">Os Aventureiros: A Origem</t>
  </si>
  <si>
    <t xml:space="preserve">tt21993520</t>
  </si>
  <si>
    <t xml:space="preserve">O Processo</t>
  </si>
  <si>
    <t xml:space="preserve">The Trial</t>
  </si>
  <si>
    <t xml:space="preserve">tt7665476</t>
  </si>
  <si>
    <t xml:space="preserve">Eu Sou Mais Eu</t>
  </si>
  <si>
    <t xml:space="preserve">tt9214280</t>
  </si>
  <si>
    <t xml:space="preserve">Hebe - A Estrela do Brasil</t>
  </si>
  <si>
    <t xml:space="preserve">Hebe: The Brazilian Star</t>
  </si>
  <si>
    <t xml:space="preserve">tt8631174</t>
  </si>
  <si>
    <t xml:space="preserve">Ela Disse, Ele Disse</t>
  </si>
  <si>
    <t xml:space="preserve">She Said, He Said</t>
  </si>
  <si>
    <t xml:space="preserve">tt9660006</t>
  </si>
  <si>
    <t xml:space="preserve">Irmã Dulce</t>
  </si>
  <si>
    <t xml:space="preserve">Sister Dulce: The Angel from Brazil</t>
  </si>
  <si>
    <t xml:space="preserve">tt3807222</t>
  </si>
  <si>
    <t xml:space="preserve">Minha Fama de Mau</t>
  </si>
  <si>
    <t xml:space="preserve">tt8157400</t>
  </si>
  <si>
    <t xml:space="preserve">Na Quebrada</t>
  </si>
  <si>
    <t xml:space="preserve">tt4167524</t>
  </si>
  <si>
    <t xml:space="preserve">O Grilo Feliz e os Insetos Gigantes</t>
  </si>
  <si>
    <t xml:space="preserve">The Happy Cricket and the Giant Bugs</t>
  </si>
  <si>
    <t xml:space="preserve">tt1670262</t>
  </si>
  <si>
    <t xml:space="preserve">Não se Aceitam Devoluções</t>
  </si>
  <si>
    <t xml:space="preserve">Não Se Aceitam Devoluções</t>
  </si>
  <si>
    <t xml:space="preserve">tt6038114</t>
  </si>
  <si>
    <t xml:space="preserve">Silvio</t>
  </si>
  <si>
    <t xml:space="preserve">tt9422624</t>
  </si>
  <si>
    <t xml:space="preserve">Entre lençóis</t>
  </si>
  <si>
    <t xml:space="preserve">A Night of Passion and Love</t>
  </si>
  <si>
    <t xml:space="preserve">tt1288641</t>
  </si>
  <si>
    <t xml:space="preserve">High School Musical - O Desafio</t>
  </si>
  <si>
    <t xml:space="preserve">High School Musical: O Desafio</t>
  </si>
  <si>
    <t xml:space="preserve">tt1439229</t>
  </si>
  <si>
    <t xml:space="preserve">Turma da Mônica Jovem - Reflexos do Medo</t>
  </si>
  <si>
    <t xml:space="preserve">Monica Teen: Reflexes of Fear</t>
  </si>
  <si>
    <t xml:space="preserve">tt7368304</t>
  </si>
  <si>
    <t xml:space="preserve">Em Nome da Lei</t>
  </si>
  <si>
    <t xml:space="preserve">tt4612304</t>
  </si>
  <si>
    <t xml:space="preserve">Tempos de Paz</t>
  </si>
  <si>
    <t xml:space="preserve">Time of Peace</t>
  </si>
  <si>
    <t xml:space="preserve">tt1223932</t>
  </si>
  <si>
    <t xml:space="preserve">Duas de Mim</t>
  </si>
  <si>
    <t xml:space="preserve">tt5909218</t>
  </si>
  <si>
    <t xml:space="preserve">À Beira do Caminho</t>
  </si>
  <si>
    <t xml:space="preserve">Along the Way</t>
  </si>
  <si>
    <t xml:space="preserve">tt2113588</t>
  </si>
  <si>
    <t xml:space="preserve">O magnata</t>
  </si>
  <si>
    <t xml:space="preserve">O Magnata</t>
  </si>
  <si>
    <t xml:space="preserve">tt0857177</t>
  </si>
  <si>
    <t xml:space="preserve">O diário de Tati</t>
  </si>
  <si>
    <t xml:space="preserve">O Diário de Tati</t>
  </si>
  <si>
    <t xml:space="preserve">tt2275885</t>
  </si>
  <si>
    <t xml:space="preserve">Ana e Vitória</t>
  </si>
  <si>
    <t xml:space="preserve">tt8583378</t>
  </si>
  <si>
    <t xml:space="preserve">Budapeste</t>
  </si>
  <si>
    <t xml:space="preserve">Budapest</t>
  </si>
  <si>
    <t xml:space="preserve">tt1180300</t>
  </si>
  <si>
    <t xml:space="preserve">Verônica</t>
  </si>
  <si>
    <t xml:space="preserve">Veronica</t>
  </si>
  <si>
    <t xml:space="preserve">tt1392261</t>
  </si>
  <si>
    <t xml:space="preserve">Ninguém entra, ninguém sai</t>
  </si>
  <si>
    <t xml:space="preserve">Ninguém Entra, Ninguém Sai</t>
  </si>
  <si>
    <t xml:space="preserve">tt6230488</t>
  </si>
  <si>
    <t xml:space="preserve">Cine Holliúdy 2 - A Chibata Sideral</t>
  </si>
  <si>
    <t xml:space="preserve">Cine Holliúdy 2: A Chibata Sideral</t>
  </si>
  <si>
    <t xml:space="preserve">tt7247512</t>
  </si>
  <si>
    <t xml:space="preserve">Jiang Ziya</t>
  </si>
  <si>
    <t xml:space="preserve">tt11177804</t>
  </si>
  <si>
    <t xml:space="preserve">Federal</t>
  </si>
  <si>
    <t xml:space="preserve">tt0463311</t>
  </si>
  <si>
    <t xml:space="preserve">Batismo de Sangue</t>
  </si>
  <si>
    <t xml:space="preserve">Baptism of Blood</t>
  </si>
  <si>
    <t xml:space="preserve">tt0478978</t>
  </si>
  <si>
    <t xml:space="preserve">Tropicália</t>
  </si>
  <si>
    <t xml:space="preserve">tt1497880</t>
  </si>
  <si>
    <t xml:space="preserve">5x favela – Agora por nós mesmos</t>
  </si>
  <si>
    <t xml:space="preserve">5x Favela: Now by Ourselves</t>
  </si>
  <si>
    <t xml:space="preserve">tt1646956</t>
  </si>
  <si>
    <t xml:space="preserve">Cleaners</t>
  </si>
  <si>
    <t xml:space="preserve">tt11151610</t>
  </si>
  <si>
    <t xml:space="preserve">Gosto se discute</t>
  </si>
  <si>
    <t xml:space="preserve">Gosto Se Discute</t>
  </si>
  <si>
    <t xml:space="preserve">tt8034378</t>
  </si>
  <si>
    <t xml:space="preserve">Juntos e Enrolados</t>
  </si>
  <si>
    <t xml:space="preserve">tt12473774</t>
  </si>
  <si>
    <t xml:space="preserve">Deserto Particular</t>
  </si>
  <si>
    <t xml:space="preserve">Private Desert</t>
  </si>
  <si>
    <t xml:space="preserve">tt15132028</t>
  </si>
  <si>
    <t xml:space="preserve">Xuxa em Um sonho de menina</t>
  </si>
  <si>
    <t xml:space="preserve">Chico - Artista Brasileiro</t>
  </si>
  <si>
    <t xml:space="preserve">Chico: Artista Brasileiro</t>
  </si>
  <si>
    <t xml:space="preserve">tt5251348</t>
  </si>
  <si>
    <t xml:space="preserve">Santiago</t>
  </si>
  <si>
    <t xml:space="preserve">tt1002543</t>
  </si>
  <si>
    <t xml:space="preserve">Carcereiros - O Filme</t>
  </si>
  <si>
    <t xml:space="preserve">Carcereiros: O Filme</t>
  </si>
  <si>
    <t xml:space="preserve">tt10839484</t>
  </si>
  <si>
    <t xml:space="preserve">Uma Noite em 67</t>
  </si>
  <si>
    <t xml:space="preserve">tt1754803</t>
  </si>
  <si>
    <t xml:space="preserve">Perdida</t>
  </si>
  <si>
    <t xml:space="preserve">tt20420806</t>
  </si>
  <si>
    <t xml:space="preserve">Reis e Ratos</t>
  </si>
  <si>
    <t xml:space="preserve">Kings &amp; Rats</t>
  </si>
  <si>
    <t xml:space="preserve">tt2182085</t>
  </si>
  <si>
    <t xml:space="preserve">Julio Sumiu</t>
  </si>
  <si>
    <t xml:space="preserve">tt3470762</t>
  </si>
  <si>
    <t xml:space="preserve">O Grande Circo Místico</t>
  </si>
  <si>
    <t xml:space="preserve">The Great Mystical Circus</t>
  </si>
  <si>
    <t xml:space="preserve">tt3096782</t>
  </si>
  <si>
    <t xml:space="preserve">O Nome da Morte</t>
  </si>
  <si>
    <t xml:space="preserve">492: A Man Called Death</t>
  </si>
  <si>
    <t xml:space="preserve">tt5991954</t>
  </si>
  <si>
    <t xml:space="preserve">Bem-vinda a Quixeramobim</t>
  </si>
  <si>
    <t xml:space="preserve">tt18573106</t>
  </si>
  <si>
    <t xml:space="preserve">O Vendedor de Passados</t>
  </si>
  <si>
    <t xml:space="preserve">tt2078693</t>
  </si>
  <si>
    <t xml:space="preserve">O Palestrante</t>
  </si>
  <si>
    <t xml:space="preserve">Coach? Really?</t>
  </si>
  <si>
    <t xml:space="preserve">tt10558652</t>
  </si>
  <si>
    <t xml:space="preserve">Desapega</t>
  </si>
  <si>
    <t xml:space="preserve">Desapega!</t>
  </si>
  <si>
    <t xml:space="preserve">tt15489762</t>
  </si>
  <si>
    <t xml:space="preserve">Tô de Graça - O Filme</t>
  </si>
  <si>
    <t xml:space="preserve">Graceful Graça</t>
  </si>
  <si>
    <t xml:space="preserve">tt31863351</t>
  </si>
  <si>
    <t xml:space="preserve">Antônia</t>
  </si>
  <si>
    <t xml:space="preserve">Antonia</t>
  </si>
  <si>
    <t xml:space="preserve">tt0492869</t>
  </si>
  <si>
    <t xml:space="preserve">Elis &amp; Tom, Só Tinha de Ser com Você</t>
  </si>
  <si>
    <t xml:space="preserve">Elis and Tom</t>
  </si>
  <si>
    <t xml:space="preserve">tt26255088</t>
  </si>
  <si>
    <t xml:space="preserve">Giovanni Improtta</t>
  </si>
  <si>
    <t xml:space="preserve">tt2926790</t>
  </si>
  <si>
    <t xml:space="preserve">Ninguém É de Ninguém</t>
  </si>
  <si>
    <t xml:space="preserve">Nobody Belongs to Anyone</t>
  </si>
  <si>
    <t xml:space="preserve">tt24325846</t>
  </si>
  <si>
    <t xml:space="preserve">Uma Família Feliz</t>
  </si>
  <si>
    <t xml:space="preserve">tt26688282</t>
  </si>
  <si>
    <t xml:space="preserve">Desculpe o transtorno</t>
  </si>
  <si>
    <t xml:space="preserve">Love Stories</t>
  </si>
  <si>
    <t xml:space="preserve">tt4019666</t>
  </si>
  <si>
    <t xml:space="preserve">Simonal - Ninguém Sabe o Duro que Dei</t>
  </si>
  <si>
    <t xml:space="preserve">Simonal: Ninguém Sabe o Duro que Dei</t>
  </si>
  <si>
    <t xml:space="preserve">tt1440286</t>
  </si>
  <si>
    <t xml:space="preserve">Cássia Eller</t>
  </si>
  <si>
    <t xml:space="preserve">tt3096778</t>
  </si>
  <si>
    <t xml:space="preserve">Príncipe Lu e a Lenda do Dragão</t>
  </si>
  <si>
    <t xml:space="preserve">tt31104819</t>
  </si>
  <si>
    <t xml:space="preserve">A Little Red Flower</t>
  </si>
  <si>
    <t xml:space="preserve">tt12497408</t>
  </si>
  <si>
    <t xml:space="preserve">Nada É por Acaso</t>
  </si>
  <si>
    <t xml:space="preserve">Nada é por Acaso</t>
  </si>
  <si>
    <t xml:space="preserve">tt21994096</t>
  </si>
  <si>
    <t xml:space="preserve">A Divisão - O Filme</t>
  </si>
  <si>
    <t xml:space="preserve">The Division</t>
  </si>
  <si>
    <t xml:space="preserve">tt10648192</t>
  </si>
  <si>
    <t xml:space="preserve">Férias Trocadas</t>
  </si>
  <si>
    <t xml:space="preserve">tt18563278</t>
  </si>
  <si>
    <t xml:space="preserve">Divã a 2</t>
  </si>
  <si>
    <t xml:space="preserve">In Therapy 2</t>
  </si>
  <si>
    <t xml:space="preserve">tt4194984</t>
  </si>
  <si>
    <t xml:space="preserve">A mulher do meu amigo</t>
  </si>
  <si>
    <t xml:space="preserve">tt1149597</t>
  </si>
  <si>
    <t xml:space="preserve">Aparecida, o milagre</t>
  </si>
  <si>
    <t xml:space="preserve">Aparecida: O Milagre</t>
  </si>
  <si>
    <t xml:space="preserve">tt1832288</t>
  </si>
  <si>
    <t xml:space="preserve">Quem Vai Ficar com Mário</t>
  </si>
  <si>
    <t xml:space="preserve">There's Something About Mario</t>
  </si>
  <si>
    <t xml:space="preserve">tt10573946</t>
  </si>
  <si>
    <t xml:space="preserve">Eu e meu guarda-chuva</t>
  </si>
  <si>
    <t xml:space="preserve">Me and My Umbrella</t>
  </si>
  <si>
    <t xml:space="preserve">tt0768187</t>
  </si>
  <si>
    <t xml:space="preserve">Tudo por um Pop Star 2</t>
  </si>
  <si>
    <t xml:space="preserve">tt29491177</t>
  </si>
  <si>
    <t xml:space="preserve">Polaróides urbanas</t>
  </si>
  <si>
    <t xml:space="preserve">Urban Snap-Shots</t>
  </si>
  <si>
    <t xml:space="preserve">tt0798732</t>
  </si>
  <si>
    <t xml:space="preserve">Aventuras do Surf II</t>
  </si>
  <si>
    <t xml:space="preserve">A Música segundo Tom Jobim</t>
  </si>
  <si>
    <t xml:space="preserve">The Music According to Antonio Carlos Jobim</t>
  </si>
  <si>
    <t xml:space="preserve">tt2399493</t>
  </si>
  <si>
    <t xml:space="preserve">Mulheres Alteradas</t>
  </si>
  <si>
    <t xml:space="preserve">tt7867358</t>
  </si>
  <si>
    <t xml:space="preserve">Entrando numa roubada</t>
  </si>
  <si>
    <t xml:space="preserve">Payback</t>
  </si>
  <si>
    <t xml:space="preserve">tt3108662</t>
  </si>
  <si>
    <t xml:space="preserve">O signo da cidade</t>
  </si>
  <si>
    <t xml:space="preserve">The Sign of the City</t>
  </si>
  <si>
    <t xml:space="preserve">tt1119162</t>
  </si>
  <si>
    <t xml:space="preserve">Pluft, o Fantasminha</t>
  </si>
  <si>
    <t xml:space="preserve">Pluft</t>
  </si>
  <si>
    <t xml:space="preserve">tt7986162</t>
  </si>
  <si>
    <t xml:space="preserve">A esperança é a última que morre</t>
  </si>
  <si>
    <t xml:space="preserve">A Esperança é a Última que Morre</t>
  </si>
  <si>
    <t xml:space="preserve">tt3447830</t>
  </si>
  <si>
    <t xml:space="preserve">Uma Fada Veio Me Visitar</t>
  </si>
  <si>
    <t xml:space="preserve">tt28515096</t>
  </si>
  <si>
    <t xml:space="preserve">O Paciente, o Caso Tancredo Neves</t>
  </si>
  <si>
    <t xml:space="preserve">The Patient</t>
  </si>
  <si>
    <t xml:space="preserve">tt8972568</t>
  </si>
  <si>
    <t xml:space="preserve">Bixa Travesty</t>
  </si>
  <si>
    <t xml:space="preserve">tt7754496</t>
  </si>
  <si>
    <t xml:space="preserve">Cartola – Música para os olhos</t>
  </si>
  <si>
    <t xml:space="preserve">Cartola, the Samba Legend</t>
  </si>
  <si>
    <t xml:space="preserve">tt1019402</t>
  </si>
  <si>
    <t xml:space="preserve">O mundo em duas voltas</t>
  </si>
  <si>
    <t xml:space="preserve">O Mundo Em Duas Voltas</t>
  </si>
  <si>
    <t xml:space="preserve">tt0973822</t>
  </si>
  <si>
    <t xml:space="preserve">A Sogra Perfeita</t>
  </si>
  <si>
    <t xml:space="preserve">tt11150646</t>
  </si>
  <si>
    <t xml:space="preserve">Segurança Nacional</t>
  </si>
  <si>
    <t xml:space="preserve">tt0439801</t>
  </si>
  <si>
    <t xml:space="preserve">As Aventuras de Poliana - O Filme</t>
  </si>
  <si>
    <t xml:space="preserve">As Aventuras de Poliana: O Filme</t>
  </si>
  <si>
    <t xml:space="preserve">tt30431349</t>
  </si>
  <si>
    <t xml:space="preserve">10 Segundos para Vencer</t>
  </si>
  <si>
    <t xml:space="preserve">tt6251504</t>
  </si>
  <si>
    <t xml:space="preserve">Um Tio Quase Perfeito 2</t>
  </si>
  <si>
    <t xml:space="preserve">tt11057882</t>
  </si>
  <si>
    <t xml:space="preserve">Pacarrete</t>
  </si>
  <si>
    <t xml:space="preserve">tt5622284</t>
  </si>
  <si>
    <t xml:space="preserve">Bandida</t>
  </si>
  <si>
    <t xml:space="preserve">Uma Pitada de Sorte</t>
  </si>
  <si>
    <t xml:space="preserve">A Pinch of Luck</t>
  </si>
  <si>
    <t xml:space="preserve">tt8147518</t>
  </si>
  <si>
    <t xml:space="preserve">Dois É Demais em Orlando</t>
  </si>
  <si>
    <t xml:space="preserve">Two's a Crowd in Orlando</t>
  </si>
  <si>
    <t xml:space="preserve">tt4846590</t>
  </si>
  <si>
    <t xml:space="preserve">Papai É Pop</t>
  </si>
  <si>
    <t xml:space="preserve">Dad Rocks</t>
  </si>
  <si>
    <t xml:space="preserve">tt14206860</t>
  </si>
  <si>
    <t xml:space="preserve">Chef Jack, o Cozinheiro Aventureiro</t>
  </si>
  <si>
    <t xml:space="preserve">Chef Jack: The Adventurous Cook</t>
  </si>
  <si>
    <t xml:space="preserve">tt24067350</t>
  </si>
  <si>
    <t xml:space="preserve">Doutor Gama</t>
  </si>
  <si>
    <t xml:space="preserve">Dr. Gama</t>
  </si>
  <si>
    <t xml:space="preserve">tt9815156</t>
  </si>
  <si>
    <t xml:space="preserve">Nas Ondas da Fé</t>
  </si>
  <si>
    <t xml:space="preserve">tt21994054</t>
  </si>
  <si>
    <t xml:space="preserve">Tá Escrito</t>
  </si>
  <si>
    <t xml:space="preserve">tt28260733</t>
  </si>
  <si>
    <t xml:space="preserve">Os Suburbanos - O Filme</t>
  </si>
  <si>
    <t xml:space="preserve">Os Suburbanos: O Filme</t>
  </si>
  <si>
    <t xml:space="preserve">tt21990918</t>
  </si>
  <si>
    <t xml:space="preserve">Inesquecível</t>
  </si>
  <si>
    <t xml:space="preserve">tt1068650</t>
  </si>
  <si>
    <t xml:space="preserve">Luccas e Gi Em: Dinossauros</t>
  </si>
  <si>
    <t xml:space="preserve">Luccas e Gi em: Dinossauros</t>
  </si>
  <si>
    <t xml:space="preserve">tt33187027</t>
  </si>
  <si>
    <t xml:space="preserve">Jorge da Capadócia</t>
  </si>
  <si>
    <t xml:space="preserve">George of Cappadocia</t>
  </si>
  <si>
    <t xml:space="preserve">tt30768673</t>
  </si>
  <si>
    <t xml:space="preserve">Orquestra dos meninos</t>
  </si>
  <si>
    <t xml:space="preserve">The Children's Orchestra</t>
  </si>
  <si>
    <t xml:space="preserve">tt0929784</t>
  </si>
  <si>
    <t xml:space="preserve">O Porteiro</t>
  </si>
  <si>
    <t xml:space="preserve">tt28603694</t>
  </si>
  <si>
    <t xml:space="preserve">Alemão 2</t>
  </si>
  <si>
    <t xml:space="preserve">tt5617666</t>
  </si>
  <si>
    <t xml:space="preserve">10 Horas Para O Natal</t>
  </si>
  <si>
    <t xml:space="preserve">10 Horas para o Natal</t>
  </si>
  <si>
    <t xml:space="preserve">tt10806050</t>
  </si>
  <si>
    <t xml:space="preserve">Em Teu Nome</t>
  </si>
  <si>
    <t xml:space="preserve">In Your Name</t>
  </si>
  <si>
    <t xml:space="preserve">tt1511537</t>
  </si>
  <si>
    <t xml:space="preserve">Fim De Festa</t>
  </si>
  <si>
    <t xml:space="preserve">Party Over</t>
  </si>
  <si>
    <t xml:space="preserve">tt11912618</t>
  </si>
  <si>
    <t xml:space="preserve">Me Tira da Mira</t>
  </si>
  <si>
    <t xml:space="preserve">tt14257960</t>
  </si>
  <si>
    <t xml:space="preserve">Fiel - O Filme</t>
  </si>
  <si>
    <t xml:space="preserve">Fiel</t>
  </si>
  <si>
    <t xml:space="preserve">tt12165362</t>
  </si>
  <si>
    <t xml:space="preserve">45 do Segundo Tempo</t>
  </si>
  <si>
    <t xml:space="preserve">tt8646254</t>
  </si>
  <si>
    <t xml:space="preserve">Vovó Ninja</t>
  </si>
  <si>
    <t xml:space="preserve">tt20221070</t>
  </si>
  <si>
    <t xml:space="preserve">Amarração do Amor</t>
  </si>
  <si>
    <t xml:space="preserve">tt9122672</t>
  </si>
  <si>
    <t xml:space="preserve">Lucicreide Vai pra Marte</t>
  </si>
  <si>
    <t xml:space="preserve">Lucicreide Goes to Mars</t>
  </si>
  <si>
    <t xml:space="preserve">tt7954660</t>
  </si>
  <si>
    <t xml:space="preserve">Embarque Imediato</t>
  </si>
  <si>
    <t xml:space="preserve">Now Boarding</t>
  </si>
  <si>
    <t xml:space="preserve">tt0478860</t>
  </si>
  <si>
    <t xml:space="preserve">Vou Nadar Até Você</t>
  </si>
  <si>
    <t xml:space="preserve">Ophelia's Death</t>
  </si>
  <si>
    <t xml:space="preserve">tt7659918</t>
  </si>
  <si>
    <t xml:space="preserve">O Melhor Verão Das Nossas Vidas</t>
  </si>
  <si>
    <t xml:space="preserve">O Melhor Verão das Nossas Vidas</t>
  </si>
  <si>
    <t xml:space="preserve">tt11681730</t>
  </si>
  <si>
    <t xml:space="preserve">Enaldinho e o Mistério da Lagoa.</t>
  </si>
  <si>
    <t xml:space="preserve">Enaldinho e o Mistério da Lagoa</t>
  </si>
  <si>
    <t xml:space="preserve">tt29492978</t>
  </si>
  <si>
    <t xml:space="preserve">Depois a Louca Sou Eu</t>
  </si>
  <si>
    <t xml:space="preserve">Ariano Apresenta: O Auto da Boa Mentira</t>
  </si>
  <si>
    <t xml:space="preserve">M8</t>
  </si>
  <si>
    <t xml:space="preserve">Soberano – Seis vezes São Paulo</t>
  </si>
  <si>
    <t xml:space="preserve">Soberano: Seis Vezes São Paulo</t>
  </si>
  <si>
    <t xml:space="preserve">tt7031058</t>
  </si>
  <si>
    <t xml:space="preserve">Dois Mais Dois</t>
  </si>
  <si>
    <t xml:space="preserve">tt12947630</t>
  </si>
  <si>
    <t xml:space="preserve">Veneza</t>
  </si>
  <si>
    <t xml:space="preserve">Pixinguinha, um Homem Carinhoso</t>
  </si>
  <si>
    <t xml:space="preserve">Pixinguinha, an Affectionate Man</t>
  </si>
  <si>
    <t xml:space="preserve">tt6977632</t>
  </si>
  <si>
    <t xml:space="preserve">Solteira Quase Surtando</t>
  </si>
  <si>
    <t xml:space="preserve">tt5283934</t>
  </si>
  <si>
    <t xml:space="preserve">Lutar, Lutar, Lutar</t>
  </si>
  <si>
    <t xml:space="preserve">Strive, Strive, Strive</t>
  </si>
  <si>
    <t xml:space="preserve">tt14687192</t>
  </si>
  <si>
    <t xml:space="preserve">Adoniran, Meu Nome É João Rubinato</t>
  </si>
  <si>
    <t xml:space="preserve">Minha Família Perfeita</t>
  </si>
  <si>
    <t xml:space="preserve">tt4914486</t>
  </si>
  <si>
    <t xml:space="preserve">Dente por Dente</t>
  </si>
  <si>
    <t xml:space="preserve">tt13333998</t>
  </si>
  <si>
    <t xml:space="preserve">Acampamento Intergaláctico</t>
  </si>
  <si>
    <t xml:space="preserve">tt19408390</t>
  </si>
  <si>
    <t xml:space="preserve">Correndo por um Sonho</t>
  </si>
  <si>
    <t xml:space="preserve">4x100: Correndo por um Sonho</t>
  </si>
  <si>
    <t xml:space="preserve">tt14813842</t>
  </si>
  <si>
    <t xml:space="preserve">Boca De Ouro</t>
  </si>
  <si>
    <t xml:space="preserve">Golden Mouth</t>
  </si>
  <si>
    <t xml:space="preserve">tt8194038</t>
  </si>
  <si>
    <t xml:space="preserve">Abe</t>
  </si>
  <si>
    <t xml:space="preserve">Reação em Cadeia</t>
  </si>
  <si>
    <t xml:space="preserve">Chain Reaction</t>
  </si>
  <si>
    <t xml:space="preserve">tt6314382</t>
  </si>
  <si>
    <t xml:space="preserve">Piedade</t>
  </si>
  <si>
    <t xml:space="preserve">Açucar</t>
  </si>
  <si>
    <t xml:space="preserve">Jovens Polacas</t>
  </si>
  <si>
    <t xml:space="preserve">Young Polacas</t>
  </si>
  <si>
    <t xml:space="preserve">tt10953126</t>
  </si>
  <si>
    <t xml:space="preserve">O Barco</t>
  </si>
  <si>
    <t xml:space="preserve">Recife Assombrado - Filme</t>
  </si>
  <si>
    <t xml:space="preserve">Recife Assombrado</t>
  </si>
  <si>
    <t xml:space="preserve">tt11607370</t>
  </si>
  <si>
    <t xml:space="preserve">Shock Wave 2</t>
  </si>
  <si>
    <t xml:space="preserve">Série</t>
  </si>
  <si>
    <t xml:space="preserve">Westworld</t>
  </si>
  <si>
    <t xml:space="preserve">tt0475784</t>
  </si>
  <si>
    <t xml:space="preserve">Narcos</t>
  </si>
  <si>
    <t xml:space="preserve">tt2707408</t>
  </si>
  <si>
    <t xml:space="preserve">Fargo</t>
  </si>
  <si>
    <t xml:space="preserve">tt2802850</t>
  </si>
  <si>
    <t xml:space="preserve">Mr. Robot</t>
  </si>
  <si>
    <t xml:space="preserve">tt4158110</t>
  </si>
  <si>
    <t xml:space="preserve">Arcane</t>
  </si>
  <si>
    <t xml:space="preserve">tt11126994</t>
  </si>
  <si>
    <t xml:space="preserve">The Wire</t>
  </si>
  <si>
    <t xml:space="preserve">tt0306414</t>
  </si>
  <si>
    <t xml:space="preserve">Ruptura</t>
  </si>
  <si>
    <t xml:space="preserve">Severance</t>
  </si>
  <si>
    <t xml:space="preserve">tt11280740</t>
  </si>
  <si>
    <t xml:space="preserve">Sex Education</t>
  </si>
  <si>
    <t xml:space="preserve">tt7767422</t>
  </si>
  <si>
    <t xml:space="preserve">Death Note</t>
  </si>
  <si>
    <t xml:space="preserve">IMDb</t>
  </si>
  <si>
    <t xml:space="preserve">tt0877057</t>
  </si>
  <si>
    <t xml:space="preserve">Ted Lasso</t>
  </si>
  <si>
    <t xml:space="preserve">tt10986410</t>
  </si>
  <si>
    <t xml:space="preserve">Arrow</t>
  </si>
  <si>
    <t xml:space="preserve">tt2193021</t>
  </si>
  <si>
    <t xml:space="preserve">Succession</t>
  </si>
  <si>
    <t xml:space="preserve">tt7660850</t>
  </si>
  <si>
    <t xml:space="preserve">Invencível</t>
  </si>
  <si>
    <t xml:space="preserve">Invincible</t>
  </si>
  <si>
    <t xml:space="preserve">tt6741278</t>
  </si>
  <si>
    <t xml:space="preserve">13 Reasons Why</t>
  </si>
  <si>
    <t xml:space="preserve">tt1837492</t>
  </si>
  <si>
    <t xml:space="preserve">Brooklyn Nine-Nine</t>
  </si>
  <si>
    <t xml:space="preserve">tt2467372</t>
  </si>
  <si>
    <t xml:space="preserve">Adolescência</t>
  </si>
  <si>
    <t xml:space="preserve">Adolescence</t>
  </si>
  <si>
    <t xml:space="preserve">IMDb, Audiência oficial</t>
  </si>
  <si>
    <t xml:space="preserve">tt31806037</t>
  </si>
  <si>
    <t xml:space="preserve">The Crown</t>
  </si>
  <si>
    <t xml:space="preserve">tt4786824</t>
  </si>
  <si>
    <t xml:space="preserve">A Maldição da Residência Hill</t>
  </si>
  <si>
    <t xml:space="preserve">The Haunting of Hill House</t>
  </si>
  <si>
    <t xml:space="preserve">IMDb, Parrot</t>
  </si>
  <si>
    <t xml:space="preserve">tt6763664</t>
  </si>
  <si>
    <t xml:space="preserve">Lista Negra</t>
  </si>
  <si>
    <t xml:space="preserve">The Blacklist</t>
  </si>
  <si>
    <t xml:space="preserve">tt2741602</t>
  </si>
  <si>
    <t xml:space="preserve">Yellowstone</t>
  </si>
  <si>
    <t xml:space="preserve">tt4236770</t>
  </si>
  <si>
    <t xml:space="preserve">Modern Family</t>
  </si>
  <si>
    <t xml:space="preserve">tt1442437</t>
  </si>
  <si>
    <t xml:space="preserve">Mad Men</t>
  </si>
  <si>
    <t xml:space="preserve">tt0804503</t>
  </si>
  <si>
    <t xml:space="preserve">O Cavaleiro dos Sete Reinos</t>
  </si>
  <si>
    <t xml:space="preserve">A Knight of the Seven Kingdoms</t>
  </si>
  <si>
    <t xml:space="preserve">tt27497448</t>
  </si>
  <si>
    <t xml:space="preserve">Shameless</t>
  </si>
  <si>
    <t xml:space="preserve">tt1586680</t>
  </si>
  <si>
    <t xml:space="preserve">Two and a Half Men</t>
  </si>
  <si>
    <t xml:space="preserve">tt0369179</t>
  </si>
  <si>
    <t xml:space="preserve">The White Lotus</t>
  </si>
  <si>
    <t xml:space="preserve">tt13406094</t>
  </si>
  <si>
    <t xml:space="preserve">Falcão e o Soldado Invernal</t>
  </si>
  <si>
    <t xml:space="preserve">The Falcon and the Winter Soldier</t>
  </si>
  <si>
    <t xml:space="preserve">tt9208876</t>
  </si>
  <si>
    <t xml:space="preserve">NCIS</t>
  </si>
  <si>
    <t xml:space="preserve">tt0364845</t>
  </si>
  <si>
    <t xml:space="preserve">Fronteiras</t>
  </si>
  <si>
    <t xml:space="preserve">Fringe</t>
  </si>
  <si>
    <t xml:space="preserve">tt1119644</t>
  </si>
  <si>
    <t xml:space="preserve">Obi-Wan Kenobi</t>
  </si>
  <si>
    <t xml:space="preserve">tt8466564</t>
  </si>
  <si>
    <t xml:space="preserve">The 100</t>
  </si>
  <si>
    <t xml:space="preserve">tt2661044</t>
  </si>
  <si>
    <t xml:space="preserve">O Agente Noturno</t>
  </si>
  <si>
    <t xml:space="preserve">The Night Agent</t>
  </si>
  <si>
    <t xml:space="preserve">tt13918776</t>
  </si>
  <si>
    <t xml:space="preserve">Scrubs</t>
  </si>
  <si>
    <t xml:space="preserve">tt0285403</t>
  </si>
  <si>
    <t xml:space="preserve">Andor</t>
  </si>
  <si>
    <t xml:space="preserve">tt9253284</t>
  </si>
  <si>
    <t xml:space="preserve">O Senhor dos Anéis: Os Anéis de Poder</t>
  </si>
  <si>
    <t xml:space="preserve">The Lord of the Rings: The Rings of Power</t>
  </si>
  <si>
    <t xml:space="preserve">tt7631058</t>
  </si>
  <si>
    <t xml:space="preserve">Schitt's Creek</t>
  </si>
  <si>
    <t xml:space="preserve">tt3526078</t>
  </si>
  <si>
    <t xml:space="preserve">Desperate Housewives</t>
  </si>
  <si>
    <t xml:space="preserve">tt0410975</t>
  </si>
  <si>
    <t xml:space="preserve">Doctor Who</t>
  </si>
  <si>
    <t xml:space="preserve">Doctor Who (2005)</t>
  </si>
  <si>
    <t xml:space="preserve">tt0436992</t>
  </si>
  <si>
    <t xml:space="preserve">New Girl</t>
  </si>
  <si>
    <t xml:space="preserve">tt1826940</t>
  </si>
  <si>
    <t xml:space="preserve">Fullmetal Alchemist: Brotherhood</t>
  </si>
  <si>
    <t xml:space="preserve">tt1355642</t>
  </si>
  <si>
    <t xml:space="preserve">Naruto Shippuden</t>
  </si>
  <si>
    <t xml:space="preserve">tt0988824</t>
  </si>
  <si>
    <t xml:space="preserve">Fleabag</t>
  </si>
  <si>
    <t xml:space="preserve">tt5687612</t>
  </si>
  <si>
    <t xml:space="preserve">Shōgun</t>
  </si>
  <si>
    <t xml:space="preserve">tt2788316</t>
  </si>
  <si>
    <t xml:space="preserve">Jujutsu Kaisen</t>
  </si>
  <si>
    <t xml:space="preserve">tt12343534</t>
  </si>
  <si>
    <t xml:space="preserve">Pinguim</t>
  </si>
  <si>
    <t xml:space="preserve">The Penguin</t>
  </si>
  <si>
    <t xml:space="preserve">tt15435876</t>
  </si>
  <si>
    <t xml:space="preserve">Downton Abbey</t>
  </si>
  <si>
    <t xml:space="preserve">tt1606375</t>
  </si>
  <si>
    <t xml:space="preserve">Castle</t>
  </si>
  <si>
    <t xml:space="preserve">tt1219024</t>
  </si>
  <si>
    <t xml:space="preserve">Sandman</t>
  </si>
  <si>
    <t xml:space="preserve">The Sandman</t>
  </si>
  <si>
    <t xml:space="preserve">tt1751634</t>
  </si>
  <si>
    <t xml:space="preserve">Big Little Lies</t>
  </si>
  <si>
    <t xml:space="preserve">tt3920596</t>
  </si>
  <si>
    <t xml:space="preserve">One Piece: A Série</t>
  </si>
  <si>
    <t xml:space="preserve">One Piece (live action)</t>
  </si>
  <si>
    <t xml:space="preserve">tt11737520</t>
  </si>
  <si>
    <t xml:space="preserve">BoJack Horseman</t>
  </si>
  <si>
    <t xml:space="preserve">tt3398228</t>
  </si>
  <si>
    <t xml:space="preserve">The Good Doctor: O Bom Doutor</t>
  </si>
  <si>
    <t xml:space="preserve">The Good Doctor</t>
  </si>
  <si>
    <t xml:space="preserve">tt6470478</t>
  </si>
  <si>
    <t xml:space="preserve">Landman</t>
  </si>
  <si>
    <t xml:space="preserve">tt14186672</t>
  </si>
  <si>
    <t xml:space="preserve">Demon Slayer</t>
  </si>
  <si>
    <t xml:space="preserve">Demon Slayer: Kimetsu no Yaiba</t>
  </si>
  <si>
    <t xml:space="preserve">tt9335498</t>
  </si>
  <si>
    <t xml:space="preserve">Only Murders in the Building</t>
  </si>
  <si>
    <t xml:space="preserve">tt11691774</t>
  </si>
  <si>
    <t xml:space="preserve">One Punch Man</t>
  </si>
  <si>
    <t xml:space="preserve">One-Punch Man</t>
  </si>
  <si>
    <t xml:space="preserve">tt4508902</t>
  </si>
  <si>
    <t xml:space="preserve">Boardwalk Empire</t>
  </si>
  <si>
    <t xml:space="preserve">tt0979432</t>
  </si>
  <si>
    <t xml:space="preserve">O Poder e a Lei</t>
  </si>
  <si>
    <t xml:space="preserve">The Lincoln Lawyer</t>
  </si>
  <si>
    <t xml:space="preserve">tt13833978</t>
  </si>
  <si>
    <t xml:space="preserve">Treta</t>
  </si>
  <si>
    <t xml:space="preserve">Beef</t>
  </si>
  <si>
    <t xml:space="preserve">tt14403178</t>
  </si>
  <si>
    <t xml:space="preserve">Rome</t>
  </si>
  <si>
    <t xml:space="preserve">tt0384766</t>
  </si>
  <si>
    <t xml:space="preserve">Pluribus</t>
  </si>
  <si>
    <t xml:space="preserve">tt22202452</t>
  </si>
  <si>
    <t xml:space="preserve">Hunter x Hunter</t>
  </si>
  <si>
    <t xml:space="preserve">Hunter × Hunter (2011)</t>
  </si>
  <si>
    <t xml:space="preserve">tt2098220</t>
  </si>
  <si>
    <t xml:space="preserve">Manifest: O Mistério do Voo 828</t>
  </si>
  <si>
    <t xml:space="preserve">Manifest</t>
  </si>
  <si>
    <t xml:space="preserve">tt8421350</t>
  </si>
  <si>
    <t xml:space="preserve">Outlander</t>
  </si>
  <si>
    <t xml:space="preserve">tt3006802</t>
  </si>
  <si>
    <t xml:space="preserve">Como Defender um Assassino</t>
  </si>
  <si>
    <t xml:space="preserve">How to Get Away with Murder</t>
  </si>
  <si>
    <t xml:space="preserve">tt3205802</t>
  </si>
  <si>
    <t xml:space="preserve">Bebê Rena</t>
  </si>
  <si>
    <t xml:space="preserve">Baby Reindeer</t>
  </si>
  <si>
    <t xml:space="preserve">tt13649112</t>
  </si>
  <si>
    <t xml:space="preserve">24 Horas</t>
  </si>
  <si>
    <t xml:space="preserve">24</t>
  </si>
  <si>
    <t xml:space="preserve">tt0285331</t>
  </si>
  <si>
    <t xml:space="preserve">Lupin</t>
  </si>
  <si>
    <t xml:space="preserve">tt2531336</t>
  </si>
  <si>
    <t xml:space="preserve">Naruto</t>
  </si>
  <si>
    <t xml:space="preserve">tt0409591</t>
  </si>
  <si>
    <t xml:space="preserve">The Pitt</t>
  </si>
  <si>
    <t xml:space="preserve">tt31938062</t>
  </si>
  <si>
    <t xml:space="preserve">Dahmer: Um Canibal Americano</t>
  </si>
  <si>
    <t xml:space="preserve">Dahmer - Monster: The Jeffrey Dahmer Story</t>
  </si>
  <si>
    <t xml:space="preserve">tt13207736</t>
  </si>
  <si>
    <t xml:space="preserve">1883</t>
  </si>
  <si>
    <t xml:space="preserve">tt13991232</t>
  </si>
  <si>
    <t xml:space="preserve">Elementar</t>
  </si>
  <si>
    <t xml:space="preserve">Elementary</t>
  </si>
  <si>
    <t xml:space="preserve">tt2191671</t>
  </si>
  <si>
    <t xml:space="preserve">After Life: Vocês Vão Ter de Me Engolir</t>
  </si>
  <si>
    <t xml:space="preserve">After Life</t>
  </si>
  <si>
    <t xml:space="preserve">tt8398600</t>
  </si>
  <si>
    <t xml:space="preserve">Gravity Falls: Um Verão de Mistérios</t>
  </si>
  <si>
    <t xml:space="preserve">Gravity Falls</t>
  </si>
  <si>
    <t xml:space="preserve">tt1865718</t>
  </si>
  <si>
    <t xml:space="preserve">Glee</t>
  </si>
  <si>
    <t xml:space="preserve">tt1327801</t>
  </si>
  <si>
    <t xml:space="preserve">A Roda do Tempo</t>
  </si>
  <si>
    <t xml:space="preserve">The Wheel of Time</t>
  </si>
  <si>
    <t xml:space="preserve">tt7462410</t>
  </si>
  <si>
    <t xml:space="preserve">Silicon Valley</t>
  </si>
  <si>
    <t xml:space="preserve">tt2575988</t>
  </si>
  <si>
    <t xml:space="preserve">Designated Survivor</t>
  </si>
  <si>
    <t xml:space="preserve">tt5296406</t>
  </si>
  <si>
    <t xml:space="preserve">Teen Wolf</t>
  </si>
  <si>
    <t xml:space="preserve">tt1567432</t>
  </si>
  <si>
    <t xml:space="preserve">Era Uma Vez</t>
  </si>
  <si>
    <t xml:space="preserve">Once Upon a Time</t>
  </si>
  <si>
    <t xml:space="preserve">tt1843230</t>
  </si>
  <si>
    <t xml:space="preserve">Slow Horses</t>
  </si>
  <si>
    <t xml:space="preserve">tt5875444</t>
  </si>
  <si>
    <t xml:space="preserve">Escândalos: Os Bastidores do Poder</t>
  </si>
  <si>
    <t xml:space="preserve">Scandal</t>
  </si>
  <si>
    <t xml:space="preserve">tt1837576</t>
  </si>
  <si>
    <t xml:space="preserve">Maravilhosa Sra. Maisel</t>
  </si>
  <si>
    <t xml:space="preserve">The Marvelous Mrs. Maisel</t>
  </si>
  <si>
    <t xml:space="preserve">tt5788792</t>
  </si>
  <si>
    <t xml:space="preserve">Chicago Fire: Heróis Contra o Fogo</t>
  </si>
  <si>
    <t xml:space="preserve">Chicago Fire</t>
  </si>
  <si>
    <t xml:space="preserve">tt2261391</t>
  </si>
  <si>
    <t xml:space="preserve">Bones</t>
  </si>
  <si>
    <t xml:space="preserve">tt0460627</t>
  </si>
  <si>
    <t xml:space="preserve">NCIS: Los Angeles</t>
  </si>
  <si>
    <t xml:space="preserve">tt1378167</t>
  </si>
  <si>
    <t xml:space="preserve">The Morning Show</t>
  </si>
  <si>
    <t xml:space="preserve">tt7203552</t>
  </si>
  <si>
    <t xml:space="preserve">CSI: Miami</t>
  </si>
  <si>
    <t xml:space="preserve">tt0313043</t>
  </si>
  <si>
    <t xml:space="preserve">The Good Wife: Pelo Direito de Recomeçar</t>
  </si>
  <si>
    <t xml:space="preserve">The Good Wife</t>
  </si>
  <si>
    <t xml:space="preserve">tt1442462</t>
  </si>
  <si>
    <t xml:space="preserve">Banshee</t>
  </si>
  <si>
    <t xml:space="preserve">tt2017109</t>
  </si>
  <si>
    <t xml:space="preserve">Star Trek: Discovery</t>
  </si>
  <si>
    <t xml:space="preserve">tt5171438</t>
  </si>
  <si>
    <t xml:space="preserve">A Sete Palmos</t>
  </si>
  <si>
    <t xml:space="preserve">Six Feet Under</t>
  </si>
  <si>
    <t xml:space="preserve">tt0248654</t>
  </si>
  <si>
    <t xml:space="preserve">Ahsoka</t>
  </si>
  <si>
    <t xml:space="preserve">tt13622776</t>
  </si>
  <si>
    <t xml:space="preserve">Riverdale</t>
  </si>
  <si>
    <t xml:space="preserve">tt5420376</t>
  </si>
  <si>
    <t xml:space="preserve">Um Maluco na TV</t>
  </si>
  <si>
    <t xml:space="preserve">30 Rock</t>
  </si>
  <si>
    <t xml:space="preserve">tt0496424</t>
  </si>
  <si>
    <t xml:space="preserve">A Grande Ilusão</t>
  </si>
  <si>
    <t xml:space="preserve">Fool Me Once</t>
  </si>
  <si>
    <t xml:space="preserve">tt5611024</t>
  </si>
  <si>
    <t xml:space="preserve">O Dia do Chacal</t>
  </si>
  <si>
    <t xml:space="preserve">The Day of the Jackal</t>
  </si>
  <si>
    <t xml:space="preserve">tt24053860</t>
  </si>
  <si>
    <t xml:space="preserve">Havaí Cinco-0</t>
  </si>
  <si>
    <t xml:space="preserve">Hawaii Five-0</t>
  </si>
  <si>
    <t xml:space="preserve">tt1600194</t>
  </si>
  <si>
    <t xml:space="preserve">The Leftovers</t>
  </si>
  <si>
    <t xml:space="preserve">tt2699128</t>
  </si>
  <si>
    <t xml:space="preserve">Ms. Marvel</t>
  </si>
  <si>
    <t xml:space="preserve">tt10857164</t>
  </si>
  <si>
    <t xml:space="preserve">Smallville</t>
  </si>
  <si>
    <t xml:space="preserve">tt0279600</t>
  </si>
  <si>
    <t xml:space="preserve">Blue Bloods</t>
  </si>
  <si>
    <t xml:space="preserve">tt1595859</t>
  </si>
  <si>
    <t xml:space="preserve">Falando a Real</t>
  </si>
  <si>
    <t xml:space="preserve">Shrinking</t>
  </si>
  <si>
    <t xml:space="preserve">tt15677150</t>
  </si>
  <si>
    <t xml:space="preserve">A Lista Terminal</t>
  </si>
  <si>
    <t xml:space="preserve">The Terminal List</t>
  </si>
  <si>
    <t xml:space="preserve">tt11743610</t>
  </si>
  <si>
    <t xml:space="preserve">Alice in Borderland</t>
  </si>
  <si>
    <t xml:space="preserve">tt10795658</t>
  </si>
  <si>
    <t xml:space="preserve">Fundação</t>
  </si>
  <si>
    <t xml:space="preserve">Foundation</t>
  </si>
  <si>
    <t xml:space="preserve">tt0804484</t>
  </si>
  <si>
    <t xml:space="preserve">My Hero Academia</t>
  </si>
  <si>
    <t xml:space="preserve">tt5626028</t>
  </si>
  <si>
    <t xml:space="preserve">Sombra e Ossos</t>
  </si>
  <si>
    <t xml:space="preserve">Shadow and Bone</t>
  </si>
  <si>
    <t xml:space="preserve">tt2403776</t>
  </si>
  <si>
    <t xml:space="preserve">Emily em Paris</t>
  </si>
  <si>
    <t xml:space="preserve">Emily in Paris</t>
  </si>
  <si>
    <t xml:space="preserve">tt8962124</t>
  </si>
  <si>
    <t xml:space="preserve">Titãs</t>
  </si>
  <si>
    <t xml:space="preserve">Titans</t>
  </si>
  <si>
    <t xml:space="preserve">tt1043813</t>
  </si>
  <si>
    <t xml:space="preserve">O Mundo Sombrio de Sabrina</t>
  </si>
  <si>
    <t xml:space="preserve">Chilling Adventures of Sabrina</t>
  </si>
  <si>
    <t xml:space="preserve">tt7569592</t>
  </si>
  <si>
    <t xml:space="preserve">The Undoing</t>
  </si>
  <si>
    <t xml:space="preserve">tt8134470</t>
  </si>
  <si>
    <t xml:space="preserve">Hora de Aventura</t>
  </si>
  <si>
    <t xml:space="preserve">Adventure Time</t>
  </si>
  <si>
    <t xml:space="preserve">tt1305826</t>
  </si>
  <si>
    <t xml:space="preserve">Chicago P.D.: Distrito 21</t>
  </si>
  <si>
    <t xml:space="preserve">Chicago P.D.</t>
  </si>
  <si>
    <t xml:space="preserve">tt2805096</t>
  </si>
  <si>
    <t xml:space="preserve">Pretty Little Liars</t>
  </si>
  <si>
    <t xml:space="preserve">tt1578873</t>
  </si>
  <si>
    <t xml:space="preserve">Empire: Fama e Poder</t>
  </si>
  <si>
    <t xml:space="preserve">Empire</t>
  </si>
  <si>
    <t xml:space="preserve">tt3228904</t>
  </si>
  <si>
    <t xml:space="preserve">Perdidos no Espaço</t>
  </si>
  <si>
    <t xml:space="preserve">Lost in Space</t>
  </si>
  <si>
    <t xml:space="preserve">tt5232792</t>
  </si>
  <si>
    <t xml:space="preserve">Scorpion: Serviço de Inteligência</t>
  </si>
  <si>
    <t xml:space="preserve">Scorpion</t>
  </si>
  <si>
    <t xml:space="preserve">tt3514324</t>
  </si>
  <si>
    <t xml:space="preserve">The Following</t>
  </si>
  <si>
    <t xml:space="preserve">tt2071645</t>
  </si>
  <si>
    <t xml:space="preserve">See</t>
  </si>
  <si>
    <t xml:space="preserve">tt7949218</t>
  </si>
  <si>
    <t xml:space="preserve">Halo</t>
  </si>
  <si>
    <t xml:space="preserve">tt2934286</t>
  </si>
  <si>
    <t xml:space="preserve">Blindspot</t>
  </si>
  <si>
    <t xml:space="preserve">tt4474344</t>
  </si>
  <si>
    <t xml:space="preserve">9-1-1</t>
  </si>
  <si>
    <t xml:space="preserve">tt7235466</t>
  </si>
  <si>
    <t xml:space="preserve">Duas Garotas em Apuros</t>
  </si>
  <si>
    <t xml:space="preserve">2 Broke Girls</t>
  </si>
  <si>
    <t xml:space="preserve">tt1845307</t>
  </si>
  <si>
    <t xml:space="preserve">The Orville</t>
  </si>
  <si>
    <t xml:space="preserve">tt5691552</t>
  </si>
  <si>
    <t xml:space="preserve">Solo Leveling</t>
  </si>
  <si>
    <t xml:space="preserve">tt21209876</t>
  </si>
  <si>
    <t xml:space="preserve">Locke &amp; Key</t>
  </si>
  <si>
    <t xml:space="preserve">tt3007572</t>
  </si>
  <si>
    <t xml:space="preserve">Hospital New Amsterdam</t>
  </si>
  <si>
    <t xml:space="preserve">New Amsterdam</t>
  </si>
  <si>
    <t xml:space="preserve">tt7817340</t>
  </si>
  <si>
    <t xml:space="preserve">Operação Lioness</t>
  </si>
  <si>
    <t xml:space="preserve">Lioness</t>
  </si>
  <si>
    <t xml:space="preserve">tt13111078</t>
  </si>
  <si>
    <t xml:space="preserve">Narcos: Mexico</t>
  </si>
  <si>
    <t xml:space="preserve">tt8714904</t>
  </si>
  <si>
    <t xml:space="preserve">Jornada nas Estrelas: Picard</t>
  </si>
  <si>
    <t xml:space="preserve">Star Trek: Picard</t>
  </si>
  <si>
    <t xml:space="preserve">tt8806524</t>
  </si>
  <si>
    <t xml:space="preserve">A Diplomata</t>
  </si>
  <si>
    <t xml:space="preserve">The Diplomat</t>
  </si>
  <si>
    <t xml:space="preserve">tt17491088</t>
  </si>
  <si>
    <t xml:space="preserve">Misfits</t>
  </si>
  <si>
    <t xml:space="preserve">tt1548850</t>
  </si>
  <si>
    <t xml:space="preserve">CSI: Nova York</t>
  </si>
  <si>
    <t xml:space="preserve">CSI: NY</t>
  </si>
  <si>
    <t xml:space="preserve">tt0395843</t>
  </si>
  <si>
    <t xml:space="preserve">FBI</t>
  </si>
  <si>
    <t xml:space="preserve">tt7491982</t>
  </si>
  <si>
    <t xml:space="preserve">Longmire: O Xerife</t>
  </si>
  <si>
    <t xml:space="preserve">Longmire</t>
  </si>
  <si>
    <t xml:space="preserve">tt1836037</t>
  </si>
  <si>
    <t xml:space="preserve">Chainsaw Man</t>
  </si>
  <si>
    <t xml:space="preserve">tt13616990</t>
  </si>
  <si>
    <t xml:space="preserve">Bull</t>
  </si>
  <si>
    <t xml:space="preserve">tt5827228</t>
  </si>
  <si>
    <t xml:space="preserve">Big Mouth</t>
  </si>
  <si>
    <t xml:space="preserve">tt6524350</t>
  </si>
  <si>
    <t xml:space="preserve">Re:ZERO -Starting Life in Another World-</t>
  </si>
  <si>
    <t xml:space="preserve">Re: Zero - Starting Life in Another World</t>
  </si>
  <si>
    <t xml:space="preserve">tt5607616</t>
  </si>
  <si>
    <t xml:space="preserve">Eu Nunca...</t>
  </si>
  <si>
    <t xml:space="preserve">Never Have I Ever</t>
  </si>
  <si>
    <t xml:space="preserve">tt10062292</t>
  </si>
  <si>
    <t xml:space="preserve">NCIS: Nova Orleans</t>
  </si>
  <si>
    <t xml:space="preserve">NCIS: New Orleans</t>
  </si>
  <si>
    <t xml:space="preserve">tt3560084</t>
  </si>
  <si>
    <t xml:space="preserve">The O.C.: Um Estranho no Paraíso</t>
  </si>
  <si>
    <t xml:space="preserve">The O.C.</t>
  </si>
  <si>
    <t xml:space="preserve">tt0362359</t>
  </si>
  <si>
    <t xml:space="preserve">Senhora Secretária</t>
  </si>
  <si>
    <t xml:space="preserve">Madam Secretary</t>
  </si>
  <si>
    <t xml:space="preserve">tt3501074</t>
  </si>
  <si>
    <t xml:space="preserve">All of Us Are Dead</t>
  </si>
  <si>
    <t xml:space="preserve">tt14169960</t>
  </si>
  <si>
    <t xml:space="preserve">Chicago Med: Atendimento de Emergência</t>
  </si>
  <si>
    <t xml:space="preserve">Chicago Med</t>
  </si>
  <si>
    <t xml:space="preserve">tt4655480</t>
  </si>
  <si>
    <t xml:space="preserve">The Strain: Noite Absoluta</t>
  </si>
  <si>
    <t xml:space="preserve">The Strain</t>
  </si>
  <si>
    <t xml:space="preserve">tt2654620</t>
  </si>
  <si>
    <t xml:space="preserve">Elite</t>
  </si>
  <si>
    <t xml:space="preserve">Élite</t>
  </si>
  <si>
    <t xml:space="preserve">tt7134908</t>
  </si>
  <si>
    <t xml:space="preserve">Desaparecidos</t>
  </si>
  <si>
    <t xml:space="preserve">Without a Trace</t>
  </si>
  <si>
    <t xml:space="preserve">tt0321021</t>
  </si>
  <si>
    <t xml:space="preserve">For All Mankind</t>
  </si>
  <si>
    <t xml:space="preserve">tt7772588</t>
  </si>
  <si>
    <t xml:space="preserve">Heartland</t>
  </si>
  <si>
    <t xml:space="preserve">tt1094229</t>
  </si>
  <si>
    <t xml:space="preserve">O Segredo de Widow's Bay</t>
  </si>
  <si>
    <t xml:space="preserve">Widow's Bay</t>
  </si>
  <si>
    <t xml:space="preserve">tt33332385</t>
  </si>
  <si>
    <t xml:space="preserve">Raised by Wolves</t>
  </si>
  <si>
    <t xml:space="preserve">tt9170108</t>
  </si>
  <si>
    <t xml:space="preserve">Skins</t>
  </si>
  <si>
    <t xml:space="preserve">tt0840196</t>
  </si>
  <si>
    <t xml:space="preserve">Invasão Secreta</t>
  </si>
  <si>
    <t xml:space="preserve">Secret Invasion</t>
  </si>
  <si>
    <t xml:space="preserve">tt13157618</t>
  </si>
  <si>
    <t xml:space="preserve">Twin Peaks</t>
  </si>
  <si>
    <t xml:space="preserve">tt4093826</t>
  </si>
  <si>
    <t xml:space="preserve">Bleach</t>
  </si>
  <si>
    <t xml:space="preserve">tt0434665</t>
  </si>
  <si>
    <t xml:space="preserve">Paradise</t>
  </si>
  <si>
    <t xml:space="preserve">tt27444205</t>
  </si>
  <si>
    <t xml:space="preserve">Arquivo Morto</t>
  </si>
  <si>
    <t xml:space="preserve">Cold Case</t>
  </si>
  <si>
    <t xml:space="preserve">tt0368479</t>
  </si>
  <si>
    <t xml:space="preserve">Mom</t>
  </si>
  <si>
    <t xml:space="preserve">tt2660806</t>
  </si>
  <si>
    <t xml:space="preserve">Upload: Realidade Virtual</t>
  </si>
  <si>
    <t xml:space="preserve">Upload</t>
  </si>
  <si>
    <t xml:space="preserve">tt7826376</t>
  </si>
  <si>
    <t xml:space="preserve">Os Tudor</t>
  </si>
  <si>
    <t xml:space="preserve">The Tudors</t>
  </si>
  <si>
    <t xml:space="preserve">tt0758790</t>
  </si>
  <si>
    <t xml:space="preserve">Lances da Vida</t>
  </si>
  <si>
    <t xml:space="preserve">One Tree Hill</t>
  </si>
  <si>
    <t xml:space="preserve">tt0368530</t>
  </si>
  <si>
    <t xml:space="preserve">Justiça Sem Limites</t>
  </si>
  <si>
    <t xml:space="preserve">Boston Legal</t>
  </si>
  <si>
    <t xml:space="preserve">tt0402711</t>
  </si>
  <si>
    <t xml:space="preserve">Prova do Crime</t>
  </si>
  <si>
    <t xml:space="preserve">Body of Proof</t>
  </si>
  <si>
    <t xml:space="preserve">tt1587669</t>
  </si>
  <si>
    <t xml:space="preserve">Avatar: O Último Mestre do Ar</t>
  </si>
  <si>
    <t xml:space="preserve">Avatar: The Last Airbender (2024)</t>
  </si>
  <si>
    <t xml:space="preserve">tt9018736</t>
  </si>
  <si>
    <t xml:space="preserve">Anne com um E</t>
  </si>
  <si>
    <t xml:space="preserve">Anne with an E</t>
  </si>
  <si>
    <t xml:space="preserve">tt5421602</t>
  </si>
  <si>
    <t xml:space="preserve">O Monstro em Mim</t>
  </si>
  <si>
    <t xml:space="preserve">The Beast in Me</t>
  </si>
  <si>
    <t xml:space="preserve">tt31974367</t>
  </si>
  <si>
    <t xml:space="preserve">A Unidade: Tropa de Elite</t>
  </si>
  <si>
    <t xml:space="preserve">The Unit</t>
  </si>
  <si>
    <t xml:space="preserve">tt0460690</t>
  </si>
  <si>
    <t xml:space="preserve">Matéria Escura</t>
  </si>
  <si>
    <t xml:space="preserve">Dark Matter</t>
  </si>
  <si>
    <t xml:space="preserve">tt19231492</t>
  </si>
  <si>
    <t xml:space="preserve">Em Defesa de Jacob</t>
  </si>
  <si>
    <t xml:space="preserve">Defending Jacob</t>
  </si>
  <si>
    <t xml:space="preserve">tt2304589</t>
  </si>
  <si>
    <t xml:space="preserve">Medium: A Paranormal</t>
  </si>
  <si>
    <t xml:space="preserve">Medium</t>
  </si>
  <si>
    <t xml:space="preserve">tt0412175</t>
  </si>
  <si>
    <t xml:space="preserve">Space Force</t>
  </si>
  <si>
    <t xml:space="preserve">tt9612516</t>
  </si>
  <si>
    <t xml:space="preserve">Homem-Aranha Noir</t>
  </si>
  <si>
    <t xml:space="preserve">Spider-Noir</t>
  </si>
  <si>
    <t xml:space="preserve">tt30460310</t>
  </si>
  <si>
    <t xml:space="preserve">Ugly Betty</t>
  </si>
  <si>
    <t xml:space="preserve">tt0805669</t>
  </si>
  <si>
    <t xml:space="preserve">Lanternas</t>
  </si>
  <si>
    <t xml:space="preserve">Lanterns</t>
  </si>
  <si>
    <t xml:space="preserve">tt26545992</t>
  </si>
  <si>
    <t xml:space="preserve">Tokyo Ghoul</t>
  </si>
  <si>
    <t xml:space="preserve">tt3741634</t>
  </si>
  <si>
    <t xml:space="preserve">Vikings: Valhalla</t>
  </si>
  <si>
    <t xml:space="preserve">tt11311302</t>
  </si>
  <si>
    <t xml:space="preserve">Frieren e a Jornada para o Além</t>
  </si>
  <si>
    <t xml:space="preserve">Frieren: Beyond Journey's End</t>
  </si>
  <si>
    <t xml:space="preserve">tt22248376</t>
  </si>
  <si>
    <t xml:space="preserve">Ghost Whisperer</t>
  </si>
  <si>
    <t xml:space="preserve">tt0460644</t>
  </si>
  <si>
    <t xml:space="preserve">Mestres do Ar</t>
  </si>
  <si>
    <t xml:space="preserve">Masters of the Air</t>
  </si>
  <si>
    <t xml:space="preserve">tt2640044</t>
  </si>
  <si>
    <t xml:space="preserve">Hannah Montana</t>
  </si>
  <si>
    <t xml:space="preserve">tt0493093</t>
  </si>
  <si>
    <t xml:space="preserve">Lei &amp; Ordem: Crimes Premeditados</t>
  </si>
  <si>
    <t xml:space="preserve">Law &amp; Order: Criminal Intent</t>
  </si>
  <si>
    <t xml:space="preserve">tt0275140</t>
  </si>
  <si>
    <t xml:space="preserve">The Chosen: Os Escolhidos</t>
  </si>
  <si>
    <t xml:space="preserve">The Chosen</t>
  </si>
  <si>
    <t xml:space="preserve">tt5622316</t>
  </si>
  <si>
    <t xml:space="preserve">Hacks</t>
  </si>
  <si>
    <t xml:space="preserve">tt11815682</t>
  </si>
  <si>
    <t xml:space="preserve">As Regras do Amor</t>
  </si>
  <si>
    <t xml:space="preserve">Rules of Engagement</t>
  </si>
  <si>
    <t xml:space="preserve">tt0790772</t>
  </si>
  <si>
    <t xml:space="preserve">Numb3rs</t>
  </si>
  <si>
    <t xml:space="preserve">tt0433309</t>
  </si>
  <si>
    <t xml:space="preserve">Poker Face</t>
  </si>
  <si>
    <t xml:space="preserve">tt14269590</t>
  </si>
  <si>
    <t xml:space="preserve">Arquivo 81</t>
  </si>
  <si>
    <t xml:space="preserve">Archive 81</t>
  </si>
  <si>
    <t xml:space="preserve">tt13365348</t>
  </si>
  <si>
    <t xml:space="preserve">Star Wars: The Bad Batch</t>
  </si>
  <si>
    <t xml:space="preserve">tt12708542</t>
  </si>
  <si>
    <t xml:space="preserve">Unforgettable</t>
  </si>
  <si>
    <t xml:space="preserve">tt1842530</t>
  </si>
  <si>
    <t xml:space="preserve">CoComelon</t>
  </si>
  <si>
    <t xml:space="preserve">Cocomelon</t>
  </si>
  <si>
    <t xml:space="preserve">tt12427840</t>
  </si>
  <si>
    <t xml:space="preserve">Seus Amigos e Vizinhos</t>
  </si>
  <si>
    <t xml:space="preserve">Your Friends &amp; Neighbors</t>
  </si>
  <si>
    <t xml:space="preserve">tt30459041</t>
  </si>
  <si>
    <t xml:space="preserve">Apenas um Show</t>
  </si>
  <si>
    <t xml:space="preserve">Regular Show</t>
  </si>
  <si>
    <t xml:space="preserve">tt1710308</t>
  </si>
  <si>
    <t xml:space="preserve">Todo Mundo Odeia o Chris</t>
  </si>
  <si>
    <t xml:space="preserve">Everybody Hates Chris</t>
  </si>
  <si>
    <t xml:space="preserve">tt0460637</t>
  </si>
  <si>
    <t xml:space="preserve">A Grande</t>
  </si>
  <si>
    <t xml:space="preserve">The Great</t>
  </si>
  <si>
    <t xml:space="preserve">tt2235759</t>
  </si>
  <si>
    <t xml:space="preserve">Mushoku Tensei: Jobless Reincarnation</t>
  </si>
  <si>
    <t xml:space="preserve">tt13293588</t>
  </si>
  <si>
    <t xml:space="preserve">Resurrection</t>
  </si>
  <si>
    <t xml:space="preserve">tt2647586</t>
  </si>
  <si>
    <t xml:space="preserve">Brothers &amp; Sisters</t>
  </si>
  <si>
    <t xml:space="preserve">tt0758737</t>
  </si>
  <si>
    <t xml:space="preserve">S.W.A.T.: Força de Intervenção</t>
  </si>
  <si>
    <t xml:space="preserve">S.W.A.T.</t>
  </si>
  <si>
    <t xml:space="preserve">tt6111130</t>
  </si>
  <si>
    <t xml:space="preserve">Mike &amp; Molly: Um Casal de Peso</t>
  </si>
  <si>
    <t xml:space="preserve">Mike &amp; Molly</t>
  </si>
  <si>
    <t xml:space="preserve">tt1608180</t>
  </si>
  <si>
    <t xml:space="preserve">Pequenos Incêndios Por Toda Parte</t>
  </si>
  <si>
    <t xml:space="preserve">Little Fires Everywhere</t>
  </si>
  <si>
    <t xml:space="preserve">tt8089592</t>
  </si>
  <si>
    <t xml:space="preserve">9-1-1: Lone Star</t>
  </si>
  <si>
    <t xml:space="preserve">tt10323338</t>
  </si>
  <si>
    <t xml:space="preserve">Phineas e Ferb</t>
  </si>
  <si>
    <t xml:space="preserve">Phineas and Ferb</t>
  </si>
  <si>
    <t xml:space="preserve">tt0852863</t>
  </si>
  <si>
    <t xml:space="preserve">Private Practice</t>
  </si>
  <si>
    <t xml:space="preserve">tt0972412</t>
  </si>
  <si>
    <t xml:space="preserve">MacGyver</t>
  </si>
  <si>
    <t xml:space="preserve">tt1399045</t>
  </si>
  <si>
    <t xml:space="preserve">Invasão</t>
  </si>
  <si>
    <t xml:space="preserve">Invasion</t>
  </si>
  <si>
    <t xml:space="preserve">tt9737326</t>
  </si>
  <si>
    <t xml:space="preserve">Las Vegas</t>
  </si>
  <si>
    <t xml:space="preserve">tt0364828</t>
  </si>
  <si>
    <t xml:space="preserve">Hunters</t>
  </si>
  <si>
    <t xml:space="preserve">tt7456722</t>
  </si>
  <si>
    <t xml:space="preserve">Tokyo Vice</t>
  </si>
  <si>
    <t xml:space="preserve">tt2887954</t>
  </si>
  <si>
    <t xml:space="preserve">Spy x Family</t>
  </si>
  <si>
    <t xml:space="preserve">Spy × Family</t>
  </si>
  <si>
    <t xml:space="preserve">tt13706018</t>
  </si>
  <si>
    <t xml:space="preserve">FBI: Os Mais Procurados</t>
  </si>
  <si>
    <t xml:space="preserve">FBI: Most Wanted</t>
  </si>
  <si>
    <t xml:space="preserve">tt9742936</t>
  </si>
  <si>
    <t xml:space="preserve">Sword Art Online</t>
  </si>
  <si>
    <t xml:space="preserve">tt2250192</t>
  </si>
  <si>
    <t xml:space="preserve">A Casa Mágica da Gabby</t>
  </si>
  <si>
    <t xml:space="preserve">Gabby's Dollhouse</t>
  </si>
  <si>
    <t xml:space="preserve">tt9165438</t>
  </si>
  <si>
    <t xml:space="preserve">Jordan, a Médica-Legista</t>
  </si>
  <si>
    <t xml:space="preserve">Crossing Jordan</t>
  </si>
  <si>
    <t xml:space="preserve">tt0284718</t>
  </si>
  <si>
    <t xml:space="preserve">Uma Mente Excepcional</t>
  </si>
  <si>
    <t xml:space="preserve">High Potential</t>
  </si>
  <si>
    <t xml:space="preserve">tt22091076</t>
  </si>
  <si>
    <t xml:space="preserve">Pousando no Amor</t>
  </si>
  <si>
    <t xml:space="preserve">Crash Landing on You</t>
  </si>
  <si>
    <t xml:space="preserve">tt10850932</t>
  </si>
  <si>
    <t xml:space="preserve">Samantha Who?</t>
  </si>
  <si>
    <t xml:space="preserve">tt0898332</t>
  </si>
  <si>
    <t xml:space="preserve">Servant</t>
  </si>
  <si>
    <t xml:space="preserve">tt8068860</t>
  </si>
  <si>
    <t xml:space="preserve">La Palma</t>
  </si>
  <si>
    <t xml:space="preserve">tt30317229</t>
  </si>
  <si>
    <t xml:space="preserve">Estação 19</t>
  </si>
  <si>
    <t xml:space="preserve">Station 19</t>
  </si>
  <si>
    <t xml:space="preserve">tt7053188</t>
  </si>
  <si>
    <t xml:space="preserve">Shark</t>
  </si>
  <si>
    <t xml:space="preserve">tt0805666</t>
  </si>
  <si>
    <t xml:space="preserve">Apesar de Tudo</t>
  </si>
  <si>
    <t xml:space="preserve">Still Standing</t>
  </si>
  <si>
    <t xml:space="preserve">tt0320970</t>
  </si>
  <si>
    <t xml:space="preserve">Vegas</t>
  </si>
  <si>
    <t xml:space="preserve">tt2262383</t>
  </si>
  <si>
    <t xml:space="preserve">Tudo Culpa Dela</t>
  </si>
  <si>
    <t xml:space="preserve">All Her Fault</t>
  </si>
  <si>
    <t xml:space="preserve">tt31314751</t>
  </si>
  <si>
    <t xml:space="preserve">Haikyu!!</t>
  </si>
  <si>
    <t xml:space="preserve">tt3398540</t>
  </si>
  <si>
    <t xml:space="preserve">Magnum P.I.</t>
  </si>
  <si>
    <t xml:space="preserve">tt7942796</t>
  </si>
  <si>
    <t xml:space="preserve">Fantasmas</t>
  </si>
  <si>
    <t xml:space="preserve">Ghosts</t>
  </si>
  <si>
    <t xml:space="preserve">tt11379026</t>
  </si>
  <si>
    <t xml:space="preserve">Snowfall</t>
  </si>
  <si>
    <t xml:space="preserve">tt6439752</t>
  </si>
  <si>
    <t xml:space="preserve">Leap of Faith</t>
  </si>
  <si>
    <t xml:space="preserve">tt0291628</t>
  </si>
  <si>
    <t xml:space="preserve">O Incrível Mundo de Gumball</t>
  </si>
  <si>
    <t xml:space="preserve">The Amazing World of Gumball</t>
  </si>
  <si>
    <t xml:space="preserve">tt1942683</t>
  </si>
  <si>
    <t xml:space="preserve">Sugar</t>
  </si>
  <si>
    <t xml:space="preserve">tt16418808</t>
  </si>
  <si>
    <t xml:space="preserve">Eleventh Hour - O Último Recurso</t>
  </si>
  <si>
    <t xml:space="preserve">Eleventh Hour</t>
  </si>
  <si>
    <t xml:space="preserve">tt1118697</t>
  </si>
  <si>
    <t xml:space="preserve">As Novas Aventuras da Velha Christine</t>
  </si>
  <si>
    <t xml:space="preserve">The New Adventures of Old Christine</t>
  </si>
  <si>
    <t xml:space="preserve">tt0462128</t>
  </si>
  <si>
    <t xml:space="preserve">Resident Evil: A Série</t>
  </si>
  <si>
    <t xml:space="preserve">tt9660182</t>
  </si>
  <si>
    <t xml:space="preserve">Projeto Intelligence</t>
  </si>
  <si>
    <t xml:space="preserve">Intelligence</t>
  </si>
  <si>
    <t xml:space="preserve">tt2693776</t>
  </si>
  <si>
    <t xml:space="preserve">Código Negro</t>
  </si>
  <si>
    <t xml:space="preserve">Code Black</t>
  </si>
  <si>
    <t xml:space="preserve">tt4452630</t>
  </si>
  <si>
    <t xml:space="preserve">Nossa Bandeira É a Morte</t>
  </si>
  <si>
    <t xml:space="preserve">Our Flag Means Death</t>
  </si>
  <si>
    <t xml:space="preserve">tt11000902</t>
  </si>
  <si>
    <t xml:space="preserve">Eu Sou Groot</t>
  </si>
  <si>
    <t xml:space="preserve">I Am Groot</t>
  </si>
  <si>
    <t xml:space="preserve">tt13623148</t>
  </si>
  <si>
    <t xml:space="preserve">Instinct</t>
  </si>
  <si>
    <t xml:space="preserve">tt4124758</t>
  </si>
  <si>
    <t xml:space="preserve">The Conners</t>
  </si>
  <si>
    <t xml:space="preserve">tt8595140</t>
  </si>
  <si>
    <t xml:space="preserve">A Lei de Harry</t>
  </si>
  <si>
    <t xml:space="preserve">Harry's Law</t>
  </si>
  <si>
    <t xml:space="preserve">tt1582453</t>
  </si>
  <si>
    <t xml:space="preserve">Os Padrinhos Mágicos</t>
  </si>
  <si>
    <t xml:space="preserve">The Fairly OddParents</t>
  </si>
  <si>
    <t xml:space="preserve">tt0235918</t>
  </si>
  <si>
    <t xml:space="preserve">O Tutor</t>
  </si>
  <si>
    <t xml:space="preserve">The Guardian</t>
  </si>
  <si>
    <t xml:space="preserve">tt0285370</t>
  </si>
  <si>
    <t xml:space="preserve">Life in Pieces</t>
  </si>
  <si>
    <t xml:space="preserve">tt4384086</t>
  </si>
  <si>
    <t xml:space="preserve">Fauda</t>
  </si>
  <si>
    <t xml:space="preserve">tt4565380</t>
  </si>
  <si>
    <t xml:space="preserve">My Name</t>
  </si>
  <si>
    <t xml:space="preserve">tt12940504</t>
  </si>
  <si>
    <t xml:space="preserve">Entre Estranhos</t>
  </si>
  <si>
    <t xml:space="preserve">The Crowded Room</t>
  </si>
  <si>
    <t xml:space="preserve">tt14417718</t>
  </si>
  <si>
    <t xml:space="preserve">CSI: Cyber</t>
  </si>
  <si>
    <t xml:space="preserve">tt3560060</t>
  </si>
  <si>
    <t xml:space="preserve">Entrevista com o Vampiro</t>
  </si>
  <si>
    <t xml:space="preserve">Interview with the Vampire</t>
  </si>
  <si>
    <t xml:space="preserve">tt3960394</t>
  </si>
  <si>
    <t xml:space="preserve">Os Millers</t>
  </si>
  <si>
    <t xml:space="preserve">The Millers</t>
  </si>
  <si>
    <t xml:space="preserve">tt2737290</t>
  </si>
  <si>
    <t xml:space="preserve">The Dropout</t>
  </si>
  <si>
    <t xml:space="preserve">tt10166622</t>
  </si>
  <si>
    <t xml:space="preserve">Inside Schwartz</t>
  </si>
  <si>
    <t xml:space="preserve">tt0281450</t>
  </si>
  <si>
    <t xml:space="preserve">Pam &amp; Tommy</t>
  </si>
  <si>
    <t xml:space="preserve">tt13659418</t>
  </si>
  <si>
    <t xml:space="preserve">Commander in Chief</t>
  </si>
  <si>
    <t xml:space="preserve">tt0429455</t>
  </si>
  <si>
    <t xml:space="preserve">Deus Me Adicionou</t>
  </si>
  <si>
    <t xml:space="preserve">God Friended Me</t>
  </si>
  <si>
    <t xml:space="preserve">tt7948998</t>
  </si>
  <si>
    <t xml:space="preserve">Arlequina</t>
  </si>
  <si>
    <t xml:space="preserve">Harley Quinn</t>
  </si>
  <si>
    <t xml:space="preserve">tt7658402</t>
  </si>
  <si>
    <t xml:space="preserve">Dragon Ball Super</t>
  </si>
  <si>
    <t xml:space="preserve">tt4644488</t>
  </si>
  <si>
    <t xml:space="preserve">Shades of Blue: Segredos Policiais</t>
  </si>
  <si>
    <t xml:space="preserve">Shades of Blue</t>
  </si>
  <si>
    <t xml:space="preserve">tt4118584</t>
  </si>
  <si>
    <t xml:space="preserve">Drake &amp; Josh</t>
  </si>
  <si>
    <t xml:space="preserve">tt0363328</t>
  </si>
  <si>
    <t xml:space="preserve">Teach You a Lesson</t>
  </si>
  <si>
    <t xml:space="preserve">tt34809853</t>
  </si>
  <si>
    <t xml:space="preserve">Outra Vida</t>
  </si>
  <si>
    <t xml:space="preserve">Another Life</t>
  </si>
  <si>
    <t xml:space="preserve">tt8369840</t>
  </si>
  <si>
    <t xml:space="preserve">Steven Universo</t>
  </si>
  <si>
    <t xml:space="preserve">Steven Universe</t>
  </si>
  <si>
    <t xml:space="preserve">tt3061046</t>
  </si>
  <si>
    <t xml:space="preserve">Rob</t>
  </si>
  <si>
    <t xml:space="preserve">tt1840429</t>
  </si>
  <si>
    <t xml:space="preserve">Criminal Minds: Suspect Behavior</t>
  </si>
  <si>
    <t xml:space="preserve">tt1703874</t>
  </si>
  <si>
    <t xml:space="preserve">O Ensaio</t>
  </si>
  <si>
    <t xml:space="preserve">The Rehearsal</t>
  </si>
  <si>
    <t xml:space="preserve">tt10802170</t>
  </si>
  <si>
    <t xml:space="preserve">Bom Dia, Miami</t>
  </si>
  <si>
    <t xml:space="preserve">Good Morning, Miami</t>
  </si>
  <si>
    <t xml:space="preserve">tt0320018</t>
  </si>
  <si>
    <t xml:space="preserve">Years and Years</t>
  </si>
  <si>
    <t xml:space="preserve">tt8694364</t>
  </si>
  <si>
    <t xml:space="preserve">Solar Opposites</t>
  </si>
  <si>
    <t xml:space="preserve">tt8910922</t>
  </si>
  <si>
    <t xml:space="preserve">Os Jovens Titãs</t>
  </si>
  <si>
    <t xml:space="preserve">Teen Titans</t>
  </si>
  <si>
    <t xml:space="preserve">tt0343314</t>
  </si>
  <si>
    <t xml:space="preserve">O Mecanismo</t>
  </si>
  <si>
    <t xml:space="preserve">The Mechanism</t>
  </si>
  <si>
    <t xml:space="preserve">tt6873658</t>
  </si>
  <si>
    <t xml:space="preserve">Sweet Home</t>
  </si>
  <si>
    <t xml:space="preserve">tt11612120</t>
  </si>
  <si>
    <t xml:space="preserve">The Good Fight</t>
  </si>
  <si>
    <t xml:space="preserve">tt5853176</t>
  </si>
  <si>
    <t xml:space="preserve">Zack &amp; Cody: Gêmeos em Ação</t>
  </si>
  <si>
    <t xml:space="preserve">The Suite Life of Zack &amp; Cody</t>
  </si>
  <si>
    <t xml:space="preserve">tt0426371</t>
  </si>
  <si>
    <t xml:space="preserve">A Vida Sexual das Universitárias</t>
  </si>
  <si>
    <t xml:space="preserve">The Sex Lives of College Girls</t>
  </si>
  <si>
    <t xml:space="preserve">tt11212276</t>
  </si>
  <si>
    <t xml:space="preserve">Os Feiticeiros de Waverly Place</t>
  </si>
  <si>
    <t xml:space="preserve">Wizards of Waverly Place</t>
  </si>
  <si>
    <t xml:space="preserve">tt0799922</t>
  </si>
  <si>
    <t xml:space="preserve">Casamento Grego: A Série</t>
  </si>
  <si>
    <t xml:space="preserve">My Big Fat Greek Life</t>
  </si>
  <si>
    <t xml:space="preserve">tt0340256</t>
  </si>
  <si>
    <t xml:space="preserve">The White Queen</t>
  </si>
  <si>
    <t xml:space="preserve">tt2372220</t>
  </si>
  <si>
    <t xml:space="preserve">Bob: O Bebê Falante</t>
  </si>
  <si>
    <t xml:space="preserve">Baby Bob</t>
  </si>
  <si>
    <t xml:space="preserve">tt0307719</t>
  </si>
  <si>
    <t xml:space="preserve">Future Man</t>
  </si>
  <si>
    <t xml:space="preserve">tt4975856</t>
  </si>
  <si>
    <t xml:space="preserve">Uma Advogada Extraordinária</t>
  </si>
  <si>
    <t xml:space="preserve">Extraordinary Attorney Woo</t>
  </si>
  <si>
    <t xml:space="preserve">tt20869502</t>
  </si>
  <si>
    <t xml:space="preserve">Profecia do Inferno</t>
  </si>
  <si>
    <t xml:space="preserve">Hellbound</t>
  </si>
  <si>
    <t xml:space="preserve">tt12235718</t>
  </si>
  <si>
    <t xml:space="preserve">Out of Practice</t>
  </si>
  <si>
    <t xml:space="preserve">tt0460666</t>
  </si>
  <si>
    <t xml:space="preserve">O Rastreador</t>
  </si>
  <si>
    <t xml:space="preserve">Tracker</t>
  </si>
  <si>
    <t xml:space="preserve">tt13875494</t>
  </si>
  <si>
    <t xml:space="preserve">Primeira Morte</t>
  </si>
  <si>
    <t xml:space="preserve">First Kill</t>
  </si>
  <si>
    <t xml:space="preserve">tt13315156</t>
  </si>
  <si>
    <t xml:space="preserve">Ben 10</t>
  </si>
  <si>
    <t xml:space="preserve">tt0760437</t>
  </si>
  <si>
    <t xml:space="preserve">Fúria</t>
  </si>
  <si>
    <t xml:space="preserve">Furious</t>
  </si>
  <si>
    <t xml:space="preserve">tt36303968</t>
  </si>
  <si>
    <t xml:space="preserve">Kim Possible</t>
  </si>
  <si>
    <t xml:space="preserve">tt0278866</t>
  </si>
  <si>
    <t xml:space="preserve">American Horror Stories</t>
  </si>
  <si>
    <t xml:space="preserve">tt12306692</t>
  </si>
  <si>
    <t xml:space="preserve">Brilhante Victória</t>
  </si>
  <si>
    <t xml:space="preserve">Victorious</t>
  </si>
  <si>
    <t xml:space="preserve">tt1604099</t>
  </si>
  <si>
    <t xml:space="preserve">How I Met Your Father</t>
  </si>
  <si>
    <t xml:space="preserve">tt14500082</t>
  </si>
  <si>
    <t xml:space="preserve">Doces Magnólias</t>
  </si>
  <si>
    <t xml:space="preserve">Sweet Magnolias</t>
  </si>
  <si>
    <t xml:space="preserve">tt9077540</t>
  </si>
  <si>
    <t xml:space="preserve">DTF St. Louis</t>
  </si>
  <si>
    <t xml:space="preserve">tt34385331</t>
  </si>
  <si>
    <t xml:space="preserve">Com Amor, Victor</t>
  </si>
  <si>
    <t xml:space="preserve">Love, Victor</t>
  </si>
  <si>
    <t xml:space="preserve">tt10166602</t>
  </si>
  <si>
    <t xml:space="preserve">3%</t>
  </si>
  <si>
    <t xml:space="preserve">tt4922804</t>
  </si>
  <si>
    <t xml:space="preserve">Neagley: Detetive Particular</t>
  </si>
  <si>
    <t xml:space="preserve">Neagley</t>
  </si>
  <si>
    <t xml:space="preserve">tt33539520</t>
  </si>
  <si>
    <t xml:space="preserve">Boa Sorte, Charlie!</t>
  </si>
  <si>
    <t xml:space="preserve">Good Luck Charlie</t>
  </si>
  <si>
    <t xml:space="preserve">tt1415889</t>
  </si>
  <si>
    <t xml:space="preserve">Caçadores de Trolls: Contos de Arcadia</t>
  </si>
  <si>
    <t xml:space="preserve">Trollhunters: Tales of Arcadia</t>
  </si>
  <si>
    <t xml:space="preserve">tt1734135</t>
  </si>
  <si>
    <t xml:space="preserve">Constelação</t>
  </si>
  <si>
    <t xml:space="preserve">Constellation</t>
  </si>
  <si>
    <t xml:space="preserve">tt19395018</t>
  </si>
  <si>
    <t xml:space="preserve">Under the Bridge</t>
  </si>
  <si>
    <t xml:space="preserve">tt1640719</t>
  </si>
  <si>
    <t xml:space="preserve">Palm Royale</t>
  </si>
  <si>
    <t xml:space="preserve">tt8888540</t>
  </si>
  <si>
    <t xml:space="preserve">Danny Phantom</t>
  </si>
  <si>
    <t xml:space="preserve">tt0366005</t>
  </si>
  <si>
    <t xml:space="preserve">As Visões da Raven</t>
  </si>
  <si>
    <t xml:space="preserve">That's So Raven</t>
  </si>
  <si>
    <t xml:space="preserve">tt0300865</t>
  </si>
  <si>
    <t xml:space="preserve">Além da Imaginação</t>
  </si>
  <si>
    <t xml:space="preserve">The Twilight Zone</t>
  </si>
  <si>
    <t xml:space="preserve">tt2583620</t>
  </si>
  <si>
    <t xml:space="preserve">The Boys Apresenta: Diabólicos</t>
  </si>
  <si>
    <t xml:space="preserve">Diabolical</t>
  </si>
  <si>
    <t xml:space="preserve">tt16350094</t>
  </si>
  <si>
    <t xml:space="preserve">Margo e a Falta de Dinheiro</t>
  </si>
  <si>
    <t xml:space="preserve">Margo's Got Money Troubles</t>
  </si>
  <si>
    <t xml:space="preserve">tt31137273</t>
  </si>
  <si>
    <t xml:space="preserve">Jessie</t>
  </si>
  <si>
    <t xml:space="preserve">tt1865769</t>
  </si>
  <si>
    <t xml:space="preserve">Admirável Mundo Novo</t>
  </si>
  <si>
    <t xml:space="preserve">Brave New World</t>
  </si>
  <si>
    <t xml:space="preserve">tt9814116</t>
  </si>
  <si>
    <t xml:space="preserve">Marshals: Uma História de Yellowstone</t>
  </si>
  <si>
    <t xml:space="preserve">Marshals</t>
  </si>
  <si>
    <t xml:space="preserve">tt36849871</t>
  </si>
  <si>
    <t xml:space="preserve">Love Life</t>
  </si>
  <si>
    <t xml:space="preserve">tt10380768</t>
  </si>
  <si>
    <t xml:space="preserve">Senna</t>
  </si>
  <si>
    <t xml:space="preserve">tt9145758</t>
  </si>
  <si>
    <t xml:space="preserve">Sterling Point</t>
  </si>
  <si>
    <t xml:space="preserve">tt35618070</t>
  </si>
  <si>
    <t xml:space="preserve">Lizzie McGuire</t>
  </si>
  <si>
    <t xml:space="preserve">tt0273366</t>
  </si>
  <si>
    <t xml:space="preserve">Fortuna</t>
  </si>
  <si>
    <t xml:space="preserve">Loot</t>
  </si>
  <si>
    <t xml:space="preserve">tt14271498</t>
  </si>
  <si>
    <t xml:space="preserve">Entrelinhas pontilhadas</t>
  </si>
  <si>
    <t xml:space="preserve">Tear Along the Dotted Line</t>
  </si>
  <si>
    <t xml:space="preserve">tt15614372</t>
  </si>
  <si>
    <t xml:space="preserve">Carrie: A Estranha</t>
  </si>
  <si>
    <t xml:space="preserve">Carrie</t>
  </si>
  <si>
    <t xml:space="preserve">tt11540908</t>
  </si>
  <si>
    <t xml:space="preserve">A Leste do Éden</t>
  </si>
  <si>
    <t xml:space="preserve">East of Eden</t>
  </si>
  <si>
    <t xml:space="preserve">tt21097264</t>
  </si>
  <si>
    <t xml:space="preserve">Miraculous: As Aventuras de Ladybug</t>
  </si>
  <si>
    <t xml:space="preserve">Miraculous: Tales of Ladybug &amp; Cat Noir</t>
  </si>
  <si>
    <t xml:space="preserve">tt2580046</t>
  </si>
  <si>
    <t xml:space="preserve">O Símbolo Perdido</t>
  </si>
  <si>
    <t xml:space="preserve">The Lost Symbol</t>
  </si>
  <si>
    <t xml:space="preserve">tt10478054</t>
  </si>
  <si>
    <t xml:space="preserve">Search Party</t>
  </si>
  <si>
    <t xml:space="preserve">tt5460226</t>
  </si>
  <si>
    <t xml:space="preserve">The One</t>
  </si>
  <si>
    <t xml:space="preserve">tt13879466</t>
  </si>
  <si>
    <t xml:space="preserve">Quase Lá</t>
  </si>
  <si>
    <t xml:space="preserve">Close Enough</t>
  </si>
  <si>
    <t xml:space="preserve">tt6994156</t>
  </si>
  <si>
    <t xml:space="preserve">Stuart Não Consegue Salvar o Universo</t>
  </si>
  <si>
    <t xml:space="preserve">Stuart Fails to Save the Universe</t>
  </si>
  <si>
    <t xml:space="preserve">tt27497393</t>
  </si>
  <si>
    <t xml:space="preserve">A Volta ao Mundo em 80 Dias</t>
  </si>
  <si>
    <t xml:space="preserve">Around the World in 80 Days</t>
  </si>
  <si>
    <t xml:space="preserve">tt9174578</t>
  </si>
  <si>
    <t xml:space="preserve">Lei &amp; Ordem: Crime Organizado</t>
  </si>
  <si>
    <t xml:space="preserve">Law &amp; Order: Organized Crime</t>
  </si>
  <si>
    <t xml:space="preserve">tt12677870</t>
  </si>
  <si>
    <t xml:space="preserve">Sky Rojo</t>
  </si>
  <si>
    <t xml:space="preserve">tt8690776</t>
  </si>
  <si>
    <t xml:space="preserve">Austin &amp; Ally</t>
  </si>
  <si>
    <t xml:space="preserve">tt1830491</t>
  </si>
  <si>
    <t xml:space="preserve">Dollface</t>
  </si>
  <si>
    <t xml:space="preserve">tt7661046</t>
  </si>
  <si>
    <t xml:space="preserve">Sam &amp; Cat</t>
  </si>
  <si>
    <t xml:space="preserve">tt2487090</t>
  </si>
  <si>
    <t xml:space="preserve">Trem Infinito</t>
  </si>
  <si>
    <t xml:space="preserve">Infinity Train</t>
  </si>
  <si>
    <t xml:space="preserve">tt8146754</t>
  </si>
  <si>
    <t xml:space="preserve">O Atentado ao Voo Pan Am 103</t>
  </si>
  <si>
    <t xml:space="preserve">The Bombing of Pan Am 103</t>
  </si>
  <si>
    <t xml:space="preserve">tt13592494</t>
  </si>
  <si>
    <t xml:space="preserve">Tell Me a Story</t>
  </si>
  <si>
    <t xml:space="preserve">tt7695916</t>
  </si>
  <si>
    <t xml:space="preserve">Pretty Little Liars: Um Novo Pecado</t>
  </si>
  <si>
    <t xml:space="preserve">Pretty Little Liars: Original Sin</t>
  </si>
  <si>
    <t xml:space="preserve">tt13075042</t>
  </si>
  <si>
    <t xml:space="preserve">High School Musical: A Série: O Musical</t>
  </si>
  <si>
    <t xml:space="preserve">High School Musical: The Musical: The Series</t>
  </si>
  <si>
    <t xml:space="preserve">tt8510382</t>
  </si>
  <si>
    <t xml:space="preserve">Cosmos: Mundos Possíveis</t>
  </si>
  <si>
    <t xml:space="preserve">Cosmos: Possible Worlds</t>
  </si>
  <si>
    <t xml:space="preserve">tt11170862</t>
  </si>
  <si>
    <t xml:space="preserve">Meu Nome é Farah</t>
  </si>
  <si>
    <t xml:space="preserve">My Name Is Farah</t>
  </si>
  <si>
    <t xml:space="preserve">tt21874046</t>
  </si>
  <si>
    <t xml:space="preserve">Profundezas</t>
  </si>
  <si>
    <t xml:space="preserve">Below</t>
  </si>
  <si>
    <t xml:space="preserve">tt35934755</t>
  </si>
  <si>
    <t xml:space="preserve">Henry Danger</t>
  </si>
  <si>
    <t xml:space="preserve">tt3596174</t>
  </si>
  <si>
    <t xml:space="preserve">Beauty in Black</t>
  </si>
  <si>
    <t xml:space="preserve">tt31260386</t>
  </si>
  <si>
    <t xml:space="preserve">Os Thundermans</t>
  </si>
  <si>
    <t xml:space="preserve">The Thundermans</t>
  </si>
  <si>
    <t xml:space="preserve">tt2712516</t>
  </si>
  <si>
    <t xml:space="preserve">Flagrantes de Família</t>
  </si>
  <si>
    <t xml:space="preserve">Family Business</t>
  </si>
  <si>
    <t xml:space="preserve">tt10423460</t>
  </si>
  <si>
    <t xml:space="preserve">Desaparecida</t>
  </si>
  <si>
    <t xml:space="preserve">Last Seen</t>
  </si>
  <si>
    <t xml:space="preserve">tt6037988</t>
  </si>
  <si>
    <t xml:space="preserve">Guia Astrológico para Corações Partidos</t>
  </si>
  <si>
    <t xml:space="preserve">An Astrological Guide for Broken Hearts</t>
  </si>
  <si>
    <t xml:space="preserve">tt14759406</t>
  </si>
  <si>
    <t xml:space="preserve">Cidade Invisível</t>
  </si>
  <si>
    <t xml:space="preserve">Invisible City (Cidade Invisível)</t>
  </si>
  <si>
    <t xml:space="preserve">tt8878862</t>
  </si>
  <si>
    <t xml:space="preserve">Daemons do Reino das Sombras</t>
  </si>
  <si>
    <t xml:space="preserve">Daemons of the Shadow Realm</t>
  </si>
  <si>
    <t xml:space="preserve">tt37532356</t>
  </si>
  <si>
    <t xml:space="preserve">Presidente Curtis</t>
  </si>
  <si>
    <t xml:space="preserve">President Curtis</t>
  </si>
  <si>
    <t xml:space="preserve">tt37692332</t>
  </si>
  <si>
    <t xml:space="preserve">Smoking Behind the Supermarket with You</t>
  </si>
  <si>
    <t xml:space="preserve">tt37614297</t>
  </si>
  <si>
    <t xml:space="preserve">Bom Dia, Verônica</t>
  </si>
  <si>
    <t xml:space="preserve">tt12987918</t>
  </si>
  <si>
    <t xml:space="preserve">Nos Bastidores: The Mandalorian</t>
  </si>
  <si>
    <t xml:space="preserve">Disney Gallery: The Mandalorian</t>
  </si>
  <si>
    <t xml:space="preserve">tt12162902</t>
  </si>
  <si>
    <t xml:space="preserve">As Amigas do Clube</t>
  </si>
  <si>
    <t xml:space="preserve">The Perfect Lie</t>
  </si>
  <si>
    <t xml:space="preserve">tt37439410</t>
  </si>
  <si>
    <t xml:space="preserve">O Mundo Segundo Jeff Goldblum</t>
  </si>
  <si>
    <t xml:space="preserve">The World According to Jeff Goldblum</t>
  </si>
  <si>
    <t xml:space="preserve">tt10196390</t>
  </si>
  <si>
    <t xml:space="preserve">The Ghost in the Shell</t>
  </si>
  <si>
    <t xml:space="preserve">tt36517689</t>
  </si>
  <si>
    <t xml:space="preserve">O Tempo Que Te Dou</t>
  </si>
  <si>
    <t xml:space="preserve">The Time It Takes</t>
  </si>
  <si>
    <t xml:space="preserve">tt13322938</t>
  </si>
  <si>
    <t xml:space="preserve">O Problema Final</t>
  </si>
  <si>
    <t xml:space="preserve">The Final Problem</t>
  </si>
  <si>
    <t xml:space="preserve">tt36832679</t>
  </si>
  <si>
    <t xml:space="preserve">Rebelde</t>
  </si>
  <si>
    <t xml:space="preserve">tt0414766</t>
  </si>
  <si>
    <t xml:space="preserve">Coisa Mais Linda</t>
  </si>
  <si>
    <t xml:space="preserve">tt8001788</t>
  </si>
  <si>
    <t xml:space="preserve">Primavera Antecipada</t>
  </si>
  <si>
    <t xml:space="preserve">The Early Spring</t>
  </si>
  <si>
    <t xml:space="preserve">tt37884717</t>
  </si>
  <si>
    <t xml:space="preserve">DNA do Crime</t>
  </si>
  <si>
    <t xml:space="preserve">tt22459586</t>
  </si>
  <si>
    <t xml:space="preserve">Avenida Brasil</t>
  </si>
  <si>
    <t xml:space="preserve">tt2303077</t>
  </si>
  <si>
    <t xml:space="preserve">The Countryside</t>
  </si>
  <si>
    <t xml:space="preserve">tt8038148</t>
  </si>
  <si>
    <t xml:space="preserve">Cidade dos Homens</t>
  </si>
  <si>
    <t xml:space="preserve">tt0364801</t>
  </si>
  <si>
    <t xml:space="preserve">American Hostage</t>
  </si>
  <si>
    <t xml:space="preserve">tt30051064</t>
  </si>
  <si>
    <t xml:space="preserve">Escola Minerva</t>
  </si>
  <si>
    <t xml:space="preserve">Minerva Academy</t>
  </si>
  <si>
    <t xml:space="preserve">tt28765828</t>
  </si>
  <si>
    <t xml:space="preserve">Irmandade</t>
  </si>
  <si>
    <t xml:space="preserve">tt8905964</t>
  </si>
  <si>
    <t xml:space="preserve">Habeas Corpus</t>
  </si>
  <si>
    <t xml:space="preserve">tt39369819</t>
  </si>
  <si>
    <t xml:space="preserve">Sintonia</t>
  </si>
  <si>
    <t xml:space="preserve">tt8165086</t>
  </si>
  <si>
    <t xml:space="preserve">Meus Mortos Tristes</t>
  </si>
  <si>
    <t xml:space="preserve">My Sad Dead</t>
  </si>
  <si>
    <t xml:space="preserve">tt37158600</t>
  </si>
  <si>
    <t xml:space="preserve">A Grande Família</t>
  </si>
  <si>
    <t xml:space="preserve">A Grande Família (2001)</t>
  </si>
  <si>
    <t xml:space="preserve">tt0281447</t>
  </si>
  <si>
    <t xml:space="preserve">Os Normais</t>
  </si>
  <si>
    <t xml:space="preserve">tt0287254</t>
  </si>
  <si>
    <t xml:space="preserve">Irmãos</t>
  </si>
  <si>
    <t xml:space="preserve">Ang probinsyano</t>
  </si>
  <si>
    <t xml:space="preserve">tt6155146</t>
  </si>
  <si>
    <t xml:space="preserve">O Novato</t>
  </si>
  <si>
    <t xml:space="preserve">Shinzanmono</t>
  </si>
  <si>
    <t xml:space="preserve">tt1602379</t>
  </si>
  <si>
    <t xml:space="preserve">Vai que Cola</t>
  </si>
  <si>
    <t xml:space="preserve">tt3021746</t>
  </si>
  <si>
    <t xml:space="preserve">Connecting...</t>
  </si>
  <si>
    <t xml:space="preserve">tt12810046</t>
  </si>
  <si>
    <t xml:space="preserve">Tapas &amp; Beijos</t>
  </si>
  <si>
    <t xml:space="preserve">tt1974895</t>
  </si>
  <si>
    <t xml:space="preserve">Sob Pressão</t>
  </si>
  <si>
    <t xml:space="preserve">tt7216954</t>
  </si>
  <si>
    <t xml:space="preserve">Terra e Paixão</t>
  </si>
  <si>
    <t xml:space="preserve">Land of Desire</t>
  </si>
  <si>
    <t xml:space="preserve">tt23950448</t>
  </si>
  <si>
    <t xml:space="preserve">Emergência 53</t>
  </si>
  <si>
    <t xml:space="preserve">tt38073770</t>
  </si>
  <si>
    <t xml:space="preserve">Insubstituível</t>
  </si>
  <si>
    <t xml:space="preserve">Irreplaceable</t>
  </si>
  <si>
    <t xml:space="preserve">tt37819415</t>
  </si>
  <si>
    <t xml:space="preserve">Carrossel</t>
  </si>
  <si>
    <t xml:space="preserve">tt2215338</t>
  </si>
  <si>
    <t xml:space="preserve">Em Coma</t>
  </si>
  <si>
    <t xml:space="preserve">Stolen Heartbeats</t>
  </si>
  <si>
    <t xml:space="preserve">tt45403168</t>
  </si>
  <si>
    <t xml:space="preserve">Sessão de Terapia</t>
  </si>
  <si>
    <t xml:space="preserve">tt2928890</t>
  </si>
  <si>
    <t xml:space="preserve">Lottie Dottie Chicken</t>
  </si>
  <si>
    <t xml:space="preserve">tt6925620</t>
  </si>
  <si>
    <t xml:space="preserve">Sítio do Picapau Amarelo</t>
  </si>
  <si>
    <t xml:space="preserve">Sítio do Picapau Amarelo (2001)</t>
  </si>
  <si>
    <t xml:space="preserve">tt0294196</t>
  </si>
  <si>
    <t xml:space="preserve">Chiquititas</t>
  </si>
  <si>
    <t xml:space="preserve">Chiquititas (2013)</t>
  </si>
  <si>
    <t xml:space="preserve">tt2734004</t>
  </si>
  <si>
    <t xml:space="preserve">Cúmplices de um Resgate</t>
  </si>
  <si>
    <t xml:space="preserve">tt5056360</t>
  </si>
  <si>
    <t xml:space="preserve">Código</t>
  </si>
  <si>
    <t xml:space="preserve">Grupo</t>
  </si>
  <si>
    <t xml:space="preserve">Descrição</t>
  </si>
  <si>
    <t xml:space="preserve">URL</t>
  </si>
  <si>
    <t xml:space="preserve">S001</t>
  </si>
  <si>
    <t xml:space="preserve">Audiência oficial de séries</t>
  </si>
  <si>
    <t xml:space="preserve">us_viewers_episode_linear</t>
  </si>
  <si>
    <t xml:space="preserve">https://en.wikipedia.org/wiki/Adventure_Time</t>
  </si>
  <si>
    <t xml:space="preserve">us_avg_viewers_per_episode | us_viewers_episode_linear</t>
  </si>
  <si>
    <t xml:space="preserve">https://en.wikipedia.org/wiki/Avatar:_The_Last_Airbender</t>
  </si>
  <si>
    <t xml:space="preserve">us_avg_viewers_per_episode_cross_platform | us_viewers_episode_linear</t>
  </si>
  <si>
    <t xml:space="preserve">https://en.wikipedia.org/wiki/Euphoria_(American_TV_series)</t>
  </si>
  <si>
    <t xml:space="preserve">S004</t>
  </si>
  <si>
    <t xml:space="preserve">us_avg_viewers_nielsen_season</t>
  </si>
  <si>
    <t xml:space="preserve">https://en.wikipedia.org/wiki/Everybody_Hates_Chris</t>
  </si>
  <si>
    <t xml:space="preserve">S005</t>
  </si>
  <si>
    <t xml:space="preserve">https://en.wikipedia.org/wiki/Felina_(Breaking_Bad)</t>
  </si>
  <si>
    <t xml:space="preserve">S006</t>
  </si>
  <si>
    <t xml:space="preserve">https://en.wikipedia.org/wiki/Game_of_Thrones</t>
  </si>
  <si>
    <t xml:space="preserve">us_avg_viewers_nielsen_season | us_viewers_episode_linear</t>
  </si>
  <si>
    <t xml:space="preserve">https://en.wikipedia.org/wiki/Grey%27s_Anatomy_season_2</t>
  </si>
  <si>
    <t xml:space="preserve">S008</t>
  </si>
  <si>
    <t xml:space="preserve">https://en.wikipedia.org/wiki/Hannah_Montana</t>
  </si>
  <si>
    <t xml:space="preserve">us_viewers_premiere_night_cross_platform</t>
  </si>
  <si>
    <t xml:space="preserve">https://en.wikipedia.org/wiki/House_of_the_Dragon</t>
  </si>
  <si>
    <t xml:space="preserve">https://en.wikipedia.org/wiki/ICarly_(2007_TV_series)</t>
  </si>
  <si>
    <t xml:space="preserve">S011</t>
  </si>
  <si>
    <t xml:space="preserve">https://en.wikipedia.org/wiki/List_of_Breaking_Bad_episodes</t>
  </si>
  <si>
    <t xml:space="preserve">us_avg_viewers_computed_from_episodes | us_viewers_episode_linear</t>
  </si>
  <si>
    <t xml:space="preserve">https://en.wikipedia.org/wiki/List_of_Dexter_episodes</t>
  </si>
  <si>
    <t xml:space="preserve">S013</t>
  </si>
  <si>
    <t xml:space="preserve">https://en.wikipedia.org/wiki/List_of_Glee_episodes</t>
  </si>
  <si>
    <t xml:space="preserve">https://en.wikipedia.org/wiki/List_of_Gossip_Girl_episodes</t>
  </si>
  <si>
    <t xml:space="preserve">https://en.wikipedia.org/wiki/List_of_House_episodes</t>
  </si>
  <si>
    <t xml:space="preserve">https://en.wikipedia.org/wiki/List_of_Lost_episodes</t>
  </si>
  <si>
    <t xml:space="preserve">uk_avg_viewers_series | uk_viewers_episode</t>
  </si>
  <si>
    <t xml:space="preserve">https://en.wikipedia.org/wiki/List_of_Peaky_Blinders_episodes</t>
  </si>
  <si>
    <t xml:space="preserve">S018</t>
  </si>
  <si>
    <t xml:space="preserve">https://en.wikipedia.org/wiki/List_of_Pretty_Little_Liars_episodes</t>
  </si>
  <si>
    <t xml:space="preserve">uk_avg_viewers_series</t>
  </si>
  <si>
    <t xml:space="preserve">https://en.wikipedia.org/wiki/List_of_Sherlock_episodes</t>
  </si>
  <si>
    <t xml:space="preserve">https://en.wikipedia.org/wiki/List_of_Supernatural_episodes</t>
  </si>
  <si>
    <t xml:space="preserve">https://en.wikipedia.org/wiki/List_of_The_Big_Bang_Theory_episodes</t>
  </si>
  <si>
    <t xml:space="preserve">https://en.wikipedia.org/wiki/List_of_The_Office_(American_TV_series)_episodes</t>
  </si>
  <si>
    <t xml:space="preserve">https://en.wikipedia.org/wiki/List_of_The_Vampire_Diaries_episodes</t>
  </si>
  <si>
    <t xml:space="preserve">nielsen_us_streaming_minutes | platform_reported_global_viewers</t>
  </si>
  <si>
    <t xml:space="preserve">https://en.wikipedia.org/wiki/The_Boys_(TV_series)</t>
  </si>
  <si>
    <t xml:space="preserve">S025</t>
  </si>
  <si>
    <t xml:space="preserve">us_viewers_episode_cross_platform | us_viewers_episode_linear</t>
  </si>
  <si>
    <t xml:space="preserve">https://en.wikipedia.org/wiki/The_Iron_Throne_(Game_of_Thrones)</t>
  </si>
  <si>
    <t xml:space="preserve">us_avg_viewers_cross_platform_2_months | us_avg_viewers_per_episode_cross_platform | us_viewers_episode_cross_platform_2_months</t>
  </si>
  <si>
    <t xml:space="preserve">https://en.wikipedia.org/wiki/The_Last_of_Us_(TV_series)</t>
  </si>
  <si>
    <t xml:space="preserve">Nielsen streaming 2020 anual | nielsen_us_streaming_minutes</t>
  </si>
  <si>
    <t xml:space="preserve">https://en.wikipedia.org/wiki/The_Mandalorian</t>
  </si>
  <si>
    <t xml:space="preserve">https://en.wikipedia.org/wiki/The_Walking_Dead_(TV_series)</t>
  </si>
  <si>
    <t xml:space="preserve">S029</t>
  </si>
  <si>
    <t xml:space="preserve">Netflix Global Top 10 TV (Non-English) semanal</t>
  </si>
  <si>
    <t xml:space="preserve">https://flixpatrol.com/title/sintonia/hours/</t>
  </si>
  <si>
    <t xml:space="preserve">Netflix Most Popular TV (English) - all time</t>
  </si>
  <si>
    <t xml:space="preserve">https://www.netflix.com/tudum/top10/most-popular/tv</t>
  </si>
  <si>
    <t xml:space="preserve">Netflix Most Popular TV (Non-English) - all time</t>
  </si>
  <si>
    <t xml:space="preserve">https://www.netflix.com/tudum/top10/most-popular/tv-non-english</t>
  </si>
  <si>
    <t xml:space="preserve">S032</t>
  </si>
  <si>
    <t xml:space="preserve">nielsen_us_streaming_minutes_week</t>
  </si>
  <si>
    <t xml:space="preserve">https://www.thewrap.com/ted-lasso-season-3-series-high-minutes-watched/</t>
  </si>
  <si>
    <t xml:space="preserve">S033</t>
  </si>
  <si>
    <t xml:space="preserve">https://www.whats-on-netflix.com/news/invisible-city-canceled-at-netflix-wont-return-for-season-3/</t>
  </si>
  <si>
    <t xml:space="preserve">S034</t>
  </si>
  <si>
    <t xml:space="preserve">Wikipédia (EN) — 2001 in film</t>
  </si>
  <si>
    <t xml:space="preserve">https://en.wikipedia.org/wiki/2001_in_film</t>
  </si>
  <si>
    <t xml:space="preserve">S035</t>
  </si>
  <si>
    <t xml:space="preserve">Wikipédia (EN) — 2002 in film</t>
  </si>
  <si>
    <t xml:space="preserve">https://en.wikipedia.org/wiki/2002_in_film</t>
  </si>
  <si>
    <t xml:space="preserve">S036</t>
  </si>
  <si>
    <t xml:space="preserve">Wikipédia (EN) — 2003 in film</t>
  </si>
  <si>
    <t xml:space="preserve">https://en.wikipedia.org/wiki/2003_in_film</t>
  </si>
  <si>
    <t xml:space="preserve">S037</t>
  </si>
  <si>
    <t xml:space="preserve">Wikipédia (EN) — 2004 in film</t>
  </si>
  <si>
    <t xml:space="preserve">https://en.wikipedia.org/wiki/2004_in_film</t>
  </si>
  <si>
    <t xml:space="preserve">S038</t>
  </si>
  <si>
    <t xml:space="preserve">Wikipédia (EN) — 2005 in film</t>
  </si>
  <si>
    <t xml:space="preserve">https://en.wikipedia.org/wiki/2005_in_film</t>
  </si>
  <si>
    <t xml:space="preserve">S039</t>
  </si>
  <si>
    <t xml:space="preserve">Wikipédia (EN) — 2006 in film</t>
  </si>
  <si>
    <t xml:space="preserve">https://en.wikipedia.org/wiki/2006_in_film</t>
  </si>
  <si>
    <t xml:space="preserve">S040</t>
  </si>
  <si>
    <t xml:space="preserve">Wikipédia (EN) — 2007 in film</t>
  </si>
  <si>
    <t xml:space="preserve">https://en.wikipedia.org/wiki/2007_in_film</t>
  </si>
  <si>
    <t xml:space="preserve">S041</t>
  </si>
  <si>
    <t xml:space="preserve">Wikipédia (EN) — 2008 in film</t>
  </si>
  <si>
    <t xml:space="preserve">https://en.wikipedia.org/wiki/2008_in_film</t>
  </si>
  <si>
    <t xml:space="preserve">S042</t>
  </si>
  <si>
    <t xml:space="preserve">Wikipédia (EN) — 2009 in film</t>
  </si>
  <si>
    <t xml:space="preserve">https://en.wikipedia.org/wiki/2009_in_film</t>
  </si>
  <si>
    <t xml:space="preserve">S043</t>
  </si>
  <si>
    <t xml:space="preserve">Wikipédia (EN) — 2010 in film</t>
  </si>
  <si>
    <t xml:space="preserve">https://en.wikipedia.org/wiki/2010_in_film</t>
  </si>
  <si>
    <t xml:space="preserve">S044</t>
  </si>
  <si>
    <t xml:space="preserve">Wikipédia (EN) — 2011 in film</t>
  </si>
  <si>
    <t xml:space="preserve">https://en.wikipedia.org/wiki/2011_in_film</t>
  </si>
  <si>
    <t xml:space="preserve">Wikipédia (EN) — 2012 in film</t>
  </si>
  <si>
    <t xml:space="preserve">https://en.wikipedia.org/wiki/2012_in_film</t>
  </si>
  <si>
    <t xml:space="preserve">S046</t>
  </si>
  <si>
    <t xml:space="preserve">Wikipédia (EN) — 2013 in film</t>
  </si>
  <si>
    <t xml:space="preserve">https://en.wikipedia.org/wiki/2013_in_film</t>
  </si>
  <si>
    <t xml:space="preserve">Wikipédia (EN) — 2014 in film</t>
  </si>
  <si>
    <t xml:space="preserve">https://en.wikipedia.org/wiki/2014_in_film</t>
  </si>
  <si>
    <t xml:space="preserve">Wikipédia (EN) — 2015 in film</t>
  </si>
  <si>
    <t xml:space="preserve">https://en.wikipedia.org/wiki/2015_in_film</t>
  </si>
  <si>
    <t xml:space="preserve">S049</t>
  </si>
  <si>
    <t xml:space="preserve">Wikipédia (EN) — 2016 in film</t>
  </si>
  <si>
    <t xml:space="preserve">https://en.wikipedia.org/wiki/2016_in_film</t>
  </si>
  <si>
    <t xml:space="preserve">S050</t>
  </si>
  <si>
    <t xml:space="preserve">Wikipédia (EN) — 2017 in film</t>
  </si>
  <si>
    <t xml:space="preserve">https://en.wikipedia.org/wiki/2017_in_film</t>
  </si>
  <si>
    <t xml:space="preserve">S051</t>
  </si>
  <si>
    <t xml:space="preserve">Wikipédia (EN) — 2018 in film</t>
  </si>
  <si>
    <t xml:space="preserve">https://en.wikipedia.org/wiki/2018_in_film</t>
  </si>
  <si>
    <t xml:space="preserve">S052</t>
  </si>
  <si>
    <t xml:space="preserve">Wikipédia (EN) — 2019 in film</t>
  </si>
  <si>
    <t xml:space="preserve">https://en.wikipedia.org/wiki/2019_in_film</t>
  </si>
  <si>
    <t xml:space="preserve">S053</t>
  </si>
  <si>
    <t xml:space="preserve">Wikipédia (EN) — 2020 in film</t>
  </si>
  <si>
    <t xml:space="preserve">https://en.wikipedia.org/wiki/2020_in_film</t>
  </si>
  <si>
    <t xml:space="preserve">S054</t>
  </si>
  <si>
    <t xml:space="preserve">Wikipédia (EN) — 2021 in film</t>
  </si>
  <si>
    <t xml:space="preserve">https://en.wikipedia.org/wiki/2021_in_film</t>
  </si>
  <si>
    <t xml:space="preserve">S055</t>
  </si>
  <si>
    <t xml:space="preserve">Wikipédia (EN) — 2022 in film</t>
  </si>
  <si>
    <t xml:space="preserve">https://en.wikipedia.org/wiki/2022_in_film</t>
  </si>
  <si>
    <t xml:space="preserve">S056</t>
  </si>
  <si>
    <t xml:space="preserve">Wikipédia (EN) — 2023 in film</t>
  </si>
  <si>
    <t xml:space="preserve">https://en.wikipedia.org/wiki/2023_in_film</t>
  </si>
  <si>
    <t xml:space="preserve">Wikipédia (EN) — 2024 in film</t>
  </si>
  <si>
    <t xml:space="preserve">https://en.wikipedia.org/wiki/2024_in_film</t>
  </si>
  <si>
    <t xml:space="preserve">Wikipédia (EN) — 2025 in film</t>
  </si>
  <si>
    <t xml:space="preserve">https://en.wikipedia.org/wiki/2025_in_film</t>
  </si>
  <si>
    <t xml:space="preserve">Wikipédia (EN) — 2026 in film</t>
  </si>
  <si>
    <t xml:space="preserve">https://en.wikipedia.org/wiki/2026_in_film</t>
  </si>
  <si>
    <t xml:space="preserve">S060</t>
  </si>
  <si>
    <t xml:space="preserve">Geração Z (YPulse/UCLA/Morning Consult)</t>
  </si>
  <si>
    <t xml:space="preserve">UCLA Center for Scholars &amp; Storytellers - Teens &amp; Screens 2025: 'What is your favorite show or movie?'</t>
  </si>
  <si>
    <t xml:space="preserve">https://au.variety.com/2025/film/news/gen-z-more-animation-less-sex-onscreen-teens-screens-29229/</t>
  </si>
  <si>
    <t xml:space="preserve">S061</t>
  </si>
  <si>
    <t xml:space="preserve">YPulse Media Consumption Monitor - favourite currently airing TV shows (Gen Z)</t>
  </si>
  <si>
    <t xml:space="preserve">https://freemalaysiatoday.com/category/leisure/entertainment/2022/11/08/current-favourite-tv-shows-of-millennials-and-gen-z</t>
  </si>
  <si>
    <t xml:space="preserve">S062</t>
  </si>
  <si>
    <t xml:space="preserve">UCLA Teens &amp; Screens 2023 - favoritos citados</t>
  </si>
  <si>
    <t xml:space="preserve">https://kidscreen.com/?p=205854</t>
  </si>
  <si>
    <t xml:space="preserve">S063</t>
  </si>
  <si>
    <t xml:space="preserve">Morning Consult - Gen Z favorite entertainment franchises (fandom)</t>
  </si>
  <si>
    <t xml:space="preserve">https://morningconsult.com/2022/12/12/gen-z-favorite-franchises/</t>
  </si>
  <si>
    <t xml:space="preserve">S064</t>
  </si>
  <si>
    <t xml:space="preserve">YPulse - Gen Z's 10 Favorite TV Shows Airing Now</t>
  </si>
  <si>
    <t xml:space="preserve">https://www.malaymail.com/news/showbiz/2024/02/16/from-stranger-things-to-greys-anatomy-to-spongebob-gen-zs-top-tv-shows/118294</t>
  </si>
  <si>
    <t xml:space="preserve">S065</t>
  </si>
  <si>
    <t xml:space="preserve">UCLA Teens &amp; Screens 2025 (top 25)</t>
  </si>
  <si>
    <t xml:space="preserve">https://www.thepinknews.com/2025/10/23/these-two-spooky-retro-tv-series-are-gen-zs-favourite-according-to-new-report</t>
  </si>
  <si>
    <t xml:space="preserve">S066</t>
  </si>
  <si>
    <t xml:space="preserve">YPulse - The Top 10 TV Shows Gen Z Loves Right Now</t>
  </si>
  <si>
    <t xml:space="preserve">https://www.ypulse.com/?p=188236</t>
  </si>
  <si>
    <t xml:space="preserve">S067</t>
  </si>
  <si>
    <t xml:space="preserve">YPulse - Millennials &amp; Teens Sound Off: Their 20 Favorite TV Shows Right Now (temporada 2015-16)</t>
  </si>
  <si>
    <t xml:space="preserve">https://www.ypulse.com/article/2016/09/19/millennials-teens-sound-off-their-20-favorite-tv-shows-right-now/</t>
  </si>
  <si>
    <t xml:space="preserve">S068</t>
  </si>
  <si>
    <t xml:space="preserve">YPulse - Gen Z &amp; Millennials' 20 Absolute Favorite TV Shows Now (recorte Gen Z, temporada 2016-17)</t>
  </si>
  <si>
    <t xml:space="preserve">https://www.ypulse.com/article/2017/10/10/gen-z-millennials-20-absolute-favorite-tv-shows-now/</t>
  </si>
  <si>
    <t xml:space="preserve">S069</t>
  </si>
  <si>
    <t xml:space="preserve">YPulse - Gen Z &amp; Millennials Say These Are Their Favorite TV Shows Right Now (temporada 2017-18)</t>
  </si>
  <si>
    <t xml:space="preserve">https://www.ypulse.com/article/2018/10/17/gen-z-millennials-say-these-are-their-favorite-tv-shows-right-now/</t>
  </si>
  <si>
    <t xml:space="preserve">S070</t>
  </si>
  <si>
    <t xml:space="preserve">YPulse - Favorite Movies of All Time (recorte 13-18)</t>
  </si>
  <si>
    <t xml:space="preserve">https://www.ypulse.com/article/2019/10/29/a-new-movie-has-taken-over-as-gen-z-millennials-favorite-of-all-time/</t>
  </si>
  <si>
    <t xml:space="preserve">S071</t>
  </si>
  <si>
    <t xml:space="preserve">YPulse - These Are Gen Z &amp; Millennials' 17 Favorite TV Shows Right Now (recorte Gen Z) | YPulse - These Are Gen Z &amp; Millennials' 17 Favorite TV Shows Right Now (recorte etário)</t>
  </si>
  <si>
    <t xml:space="preserve">https://www.ypulse.com/article/2020/05/26/these-are-gen-z-millennials-17-favorite-tv-shows-right-now/</t>
  </si>
  <si>
    <t xml:space="preserve">S072</t>
  </si>
  <si>
    <t xml:space="preserve">YPulse - Gen Z and Millennials' Top 10 Favorite TV Shows Right Now</t>
  </si>
  <si>
    <t xml:space="preserve">https://www.ypulse.com/article/2023/04/17/gen-z-and-millennials-top-10-favorite-tv-shows-right-now/</t>
  </si>
  <si>
    <t xml:space="preserve">S073</t>
  </si>
  <si>
    <t xml:space="preserve">YPulse - These are Gen Z's Top 10 TV Shows Right Now</t>
  </si>
  <si>
    <t xml:space="preserve">https://www.ypulse.com/article/2023/11/01/these-are-gen-zs-top-10-tv-shows-right-now/</t>
  </si>
  <si>
    <t xml:space="preserve">S074</t>
  </si>
  <si>
    <t xml:space="preserve">YPulse - Gen Z's 15 Favorite TV Shows Right Now</t>
  </si>
  <si>
    <t xml:space="preserve">https://www.ypulse.com/article/2024/09/16/gen-zs-15-favorite-tv-shows-right-now/</t>
  </si>
  <si>
    <t xml:space="preserve">S075</t>
  </si>
  <si>
    <t xml:space="preserve">YPulse - What Are Gen Z's Favorite TV Shows Right Now?</t>
  </si>
  <si>
    <t xml:space="preserve">https://www.ypulse.com/article/2025/02/03/what-are-gen-zs-favorite-tv-shows-right-now/</t>
  </si>
  <si>
    <t xml:space="preserve">S076</t>
  </si>
  <si>
    <t xml:space="preserve">YPulse - European Gen Z's 10 Favorite TV Shows Now</t>
  </si>
  <si>
    <t xml:space="preserve">https://www.ypulse.com/article/2025/02/18/we-european-gen-zs-10-favorite-tv-shows-now/</t>
  </si>
  <si>
    <t xml:space="preserve">S077</t>
  </si>
  <si>
    <t xml:space="preserve">YPulse - Gen Z Names Their 10 Favorite TV Shows Running Now</t>
  </si>
  <si>
    <t xml:space="preserve">https://www.ypulse.com/article/2025/09/16/gen-z-names-their-10-favorite-tv-shows-running-now/</t>
  </si>
  <si>
    <t xml:space="preserve">S078</t>
  </si>
  <si>
    <t xml:space="preserve">JustWatch Brasil</t>
  </si>
  <si>
    <t xml:space="preserve">JustWatch Brasil — popularidade</t>
  </si>
  <si>
    <t xml:space="preserve">https://br.justwatch.com/br/filmes?page=1</t>
  </si>
  <si>
    <t xml:space="preserve">S079</t>
  </si>
  <si>
    <t xml:space="preserve">https://br.justwatch.com/br/filmes?page=2</t>
  </si>
  <si>
    <t xml:space="preserve">S080</t>
  </si>
  <si>
    <t xml:space="preserve">https://br.justwatch.com/br/filmes?page=3</t>
  </si>
  <si>
    <t xml:space="preserve">S081</t>
  </si>
  <si>
    <t xml:space="preserve">https://br.justwatch.com/br/filmes?page=4</t>
  </si>
  <si>
    <t xml:space="preserve">S082</t>
  </si>
  <si>
    <t xml:space="preserve">https://br.justwatch.com/br/series?page=1</t>
  </si>
  <si>
    <t xml:space="preserve">S083</t>
  </si>
  <si>
    <t xml:space="preserve">https://br.justwatch.com/br/series?page=2</t>
  </si>
  <si>
    <t xml:space="preserve">S084</t>
  </si>
  <si>
    <t xml:space="preserve">https://br.justwatch.com/br/series?page=3</t>
  </si>
  <si>
    <t xml:space="preserve">S085</t>
  </si>
  <si>
    <t xml:space="preserve">https://br.justwatch.com/br/series?page=4</t>
  </si>
  <si>
    <t xml:space="preserve">S086</t>
  </si>
  <si>
    <t xml:space="preserve">Letterboxd</t>
  </si>
  <si>
    <t xml:space="preserve">Letterboxd 2016 Year in Review — Highest Rated Overall (top 3 + next ten)</t>
  </si>
  <si>
    <t xml:space="preserve">https://letterboxd.com/2016/</t>
  </si>
  <si>
    <t xml:space="preserve">S087</t>
  </si>
  <si>
    <t xml:space="preserve">Letterboxd 2017 Year in Review — Highest Rated Overall (top 3 + next ten)</t>
  </si>
  <si>
    <t xml:space="preserve">https://letterboxd.com/2017/</t>
  </si>
  <si>
    <t xml:space="preserve">S088</t>
  </si>
  <si>
    <t xml:space="preserve">Letterboxd 2018 Year in Review — Highest Rated Overall (top 3 + next ten)</t>
  </si>
  <si>
    <t xml:space="preserve">https://letterboxd.com/2018/</t>
  </si>
  <si>
    <t xml:space="preserve">S089</t>
  </si>
  <si>
    <t xml:space="preserve">Letterboxd 2019 Year in Review — Highest Rated Overall (top 3 + next ten)</t>
  </si>
  <si>
    <t xml:space="preserve">https://letterboxd.com/2019/</t>
  </si>
  <si>
    <t xml:space="preserve">S090</t>
  </si>
  <si>
    <t xml:space="preserve">Letterboxd 2020 Year in Review — Highest Rated Overall (top 3 + next ten)</t>
  </si>
  <si>
    <t xml:space="preserve">https://letterboxd.com/2020/</t>
  </si>
  <si>
    <t xml:space="preserve">S091</t>
  </si>
  <si>
    <t xml:space="preserve">Letterboxd 2021 Year in Review — Highest Rated Overall (top 3 + next ten)</t>
  </si>
  <si>
    <t xml:space="preserve">https://letterboxd.com/2021/</t>
  </si>
  <si>
    <t xml:space="preserve">S092</t>
  </si>
  <si>
    <t xml:space="preserve">Letterboxd 2022 Year in Review — Highest Rated Overall (top 3 + next ten)</t>
  </si>
  <si>
    <t xml:space="preserve">https://letterboxd.com/2022/</t>
  </si>
  <si>
    <t xml:space="preserve">S093</t>
  </si>
  <si>
    <t xml:space="preserve">Letterboxd 2023 Year in Review — Highest Rated Overall (top 3 + next ten)</t>
  </si>
  <si>
    <t xml:space="preserve">https://letterboxd.com/2023/</t>
  </si>
  <si>
    <t xml:space="preserve">S094</t>
  </si>
  <si>
    <t xml:space="preserve">Letterboxd 2024 Year in Review — Highest Rated Overall (top 3 + next ten)</t>
  </si>
  <si>
    <t xml:space="preserve">https://letterboxd.com/2024/</t>
  </si>
  <si>
    <t xml:space="preserve">S095</t>
  </si>
  <si>
    <t xml:space="preserve">Letterboxd 2025 Year in Review — Highest Rated Overall (top 3 + next ten)</t>
  </si>
  <si>
    <t xml:space="preserve">https://letterboxd.com/2025/</t>
  </si>
  <si>
    <t xml:space="preserve">S096</t>
  </si>
  <si>
    <t xml:space="preserve">Letterboxd 2016 Year in Review — Most Popular Films (official list, top 50)</t>
  </si>
  <si>
    <t xml:space="preserve">https://letterboxd.com/official/list/2016-most-popular-films/</t>
  </si>
  <si>
    <t xml:space="preserve">S097</t>
  </si>
  <si>
    <t xml:space="preserve">Letterboxd 2017 Year in Review — Most Popular Films (official list, top 50)</t>
  </si>
  <si>
    <t xml:space="preserve">https://letterboxd.com/official/list/2017-most-popular-films/</t>
  </si>
  <si>
    <t xml:space="preserve">S098</t>
  </si>
  <si>
    <t xml:space="preserve">Letterboxd 2018 Year in Review — Most Popular Films (official list, top 50)</t>
  </si>
  <si>
    <t xml:space="preserve">https://letterboxd.com/official/list/2018-most-popular-films/</t>
  </si>
  <si>
    <t xml:space="preserve">S099</t>
  </si>
  <si>
    <t xml:space="preserve">Letterboxd 2019 Year in Review — Most Popular Films (official list, top 50)</t>
  </si>
  <si>
    <t xml:space="preserve">https://letterboxd.com/official/list/2019-most-popular-films/</t>
  </si>
  <si>
    <t xml:space="preserve">S100</t>
  </si>
  <si>
    <t xml:space="preserve">Letterboxd 2020 Year in Review — Most Popular Films (official list, top 50)</t>
  </si>
  <si>
    <t xml:space="preserve">https://letterboxd.com/official/list/2020-most-popular-films/</t>
  </si>
  <si>
    <t xml:space="preserve">S101</t>
  </si>
  <si>
    <t xml:space="preserve">Letterboxd 2021 Year in Review — Most Popular Films (official list, top 50)</t>
  </si>
  <si>
    <t xml:space="preserve">https://letterboxd.com/official/list/2021-most-popular-films/</t>
  </si>
  <si>
    <t xml:space="preserve">S102</t>
  </si>
  <si>
    <t xml:space="preserve">Letterboxd 2022 Year in Review — Most Popular Films (official list, top 50)</t>
  </si>
  <si>
    <t xml:space="preserve">https://letterboxd.com/official/list/2022-most-popular-films/</t>
  </si>
  <si>
    <t xml:space="preserve">S103</t>
  </si>
  <si>
    <t xml:space="preserve">Letterboxd 2023 Year in Review — Most Popular Films (official list, top 50)</t>
  </si>
  <si>
    <t xml:space="preserve">https://letterboxd.com/official/list/2023-most-popular-films/</t>
  </si>
  <si>
    <t xml:space="preserve">S104</t>
  </si>
  <si>
    <t xml:space="preserve">Letterboxd 2024 Year in Review — Most Popular Films (official list, top 50)</t>
  </si>
  <si>
    <t xml:space="preserve">https://letterboxd.com/official/list/2024-most-popular-films/</t>
  </si>
  <si>
    <t xml:space="preserve">S105</t>
  </si>
  <si>
    <t xml:space="preserve">Letterboxd 2025 Year in Review — Most Popular Films (official list, top 50)</t>
  </si>
  <si>
    <t xml:space="preserve">https://letterboxd.com/official/list/2025-most-popular-films/</t>
  </si>
  <si>
    <t xml:space="preserve">S106</t>
  </si>
  <si>
    <t xml:space="preserve">Letterboxd most watched films of all time (top 10, via Lifehacker citing Just Jared, 2025-08-23)</t>
  </si>
  <si>
    <t xml:space="preserve">https://lifehacker.ru/top-filmov-na-letterboxd/</t>
  </si>
  <si>
    <t xml:space="preserve">S107</t>
  </si>
  <si>
    <t xml:space="preserve">10 most popular movies of all time on Letterboxd, ranked (Digital Trends, data não identificada)</t>
  </si>
  <si>
    <t xml:space="preserve">https://qa2.www.digitaltrends.com/movies/most-popular-movies-of-all-time-letterboxd-ranked</t>
  </si>
  <si>
    <t xml:space="preserve">S108</t>
  </si>
  <si>
    <t xml:space="preserve">Letterboxd most popular films of all time (via Dexerto, 2024-01-22)</t>
  </si>
  <si>
    <t xml:space="preserve">https://www.dexerto.com/tv-movies/parasite-barbie-most-popular-film-letterboxd-2489674/</t>
  </si>
  <si>
    <t xml:space="preserve">S109</t>
  </si>
  <si>
    <t xml:space="preserve">Letterboxd most watched films of all time (top 10, via Filmstarts, 2024-09-17)</t>
  </si>
  <si>
    <t xml:space="preserve">https://www.filmstarts.de/nachrichten/1000103771.html</t>
  </si>
  <si>
    <t xml:space="preserve">S110</t>
  </si>
  <si>
    <t xml:space="preserve">Nielsen</t>
  </si>
  <si>
    <t xml:space="preserve">Nielsen top 100 shows of the 2019-20 TV season (USA Today ranking, Live+7)</t>
  </si>
  <si>
    <t xml:space="preserve">https://amp.marconews.com/story/entertainment/tv/2020/06/08/ratings-top-100-shows-2019-2020-tv-season/3144382001/</t>
  </si>
  <si>
    <t xml:space="preserve">S111</t>
  </si>
  <si>
    <t xml:space="preserve">Nielsen top-rated US broadcast primetime programs (season average)</t>
  </si>
  <si>
    <t xml:space="preserve">https://en.wikipedia.org/wiki/Top-rated_United_States_television_programs_of_2001%E2%80%9302</t>
  </si>
  <si>
    <t xml:space="preserve">S112</t>
  </si>
  <si>
    <t xml:space="preserve">https://en.wikipedia.org/wiki/Top-rated_United_States_television_programs_of_2002%E2%80%9303</t>
  </si>
  <si>
    <t xml:space="preserve">S113</t>
  </si>
  <si>
    <t xml:space="preserve">https://en.wikipedia.org/wiki/Top-rated_United_States_television_programs_of_2003%E2%80%9304</t>
  </si>
  <si>
    <t xml:space="preserve">S114</t>
  </si>
  <si>
    <t xml:space="preserve">https://en.wikipedia.org/wiki/Top-rated_United_States_television_programs_of_2004%E2%80%9305</t>
  </si>
  <si>
    <t xml:space="preserve">S115</t>
  </si>
  <si>
    <t xml:space="preserve">https://en.wikipedia.org/wiki/Top-rated_United_States_television_programs_of_2005%E2%80%9306</t>
  </si>
  <si>
    <t xml:space="preserve">S116</t>
  </si>
  <si>
    <t xml:space="preserve">https://en.wikipedia.org/wiki/Top-rated_United_States_television_programs_of_2006%E2%80%9307</t>
  </si>
  <si>
    <t xml:space="preserve">S117</t>
  </si>
  <si>
    <t xml:space="preserve">https://en.wikipedia.org/wiki/Top-rated_United_States_television_programs_of_2007%E2%80%9308</t>
  </si>
  <si>
    <t xml:space="preserve">S118</t>
  </si>
  <si>
    <t xml:space="preserve">https://en.wikipedia.org/wiki/Top-rated_United_States_television_programs_of_2008%E2%80%9309</t>
  </si>
  <si>
    <t xml:space="preserve">S119</t>
  </si>
  <si>
    <t xml:space="preserve">https://en.wikipedia.org/wiki/Top-rated_United_States_television_programs_of_2009%E2%80%9310</t>
  </si>
  <si>
    <t xml:space="preserve">S120</t>
  </si>
  <si>
    <t xml:space="preserve">https://en.wikipedia.org/wiki/Top-rated_United_States_television_programs_of_2010%E2%80%9311</t>
  </si>
  <si>
    <t xml:space="preserve">S121</t>
  </si>
  <si>
    <t xml:space="preserve">https://en.wikipedia.org/wiki/Top-rated_United_States_television_programs_of_2011%E2%80%9312</t>
  </si>
  <si>
    <t xml:space="preserve">S122</t>
  </si>
  <si>
    <t xml:space="preserve">https://en.wikipedia.org/wiki/Top-rated_United_States_television_programs_of_2012%E2%80%9313</t>
  </si>
  <si>
    <t xml:space="preserve">S123</t>
  </si>
  <si>
    <t xml:space="preserve">https://en.wikipedia.org/wiki/Top-rated_United_States_television_programs_of_2013%E2%80%9314</t>
  </si>
  <si>
    <t xml:space="preserve">S124</t>
  </si>
  <si>
    <t xml:space="preserve">https://en.wikipedia.org/wiki/Top-rated_United_States_television_programs_of_2014%E2%80%9315</t>
  </si>
  <si>
    <t xml:space="preserve">S125</t>
  </si>
  <si>
    <t xml:space="preserve">https://en.wikipedia.org/wiki/Top-rated_United_States_television_programs_of_2015%E2%80%9316</t>
  </si>
  <si>
    <t xml:space="preserve">S126</t>
  </si>
  <si>
    <t xml:space="preserve">https://en.wikipedia.org/wiki/Top-rated_United_States_television_programs_of_2016%E2%80%9317</t>
  </si>
  <si>
    <t xml:space="preserve">S127</t>
  </si>
  <si>
    <t xml:space="preserve">https://en.wikipedia.org/wiki/Top-rated_United_States_television_programs_of_2017%E2%80%9318</t>
  </si>
  <si>
    <t xml:space="preserve">S128</t>
  </si>
  <si>
    <t xml:space="preserve">https://en.wikipedia.org/wiki/Top-rated_United_States_television_programs_of_2018%E2%80%9319</t>
  </si>
  <si>
    <t xml:space="preserve">S129</t>
  </si>
  <si>
    <t xml:space="preserve">Nielsen top streaming original series of 2021 (top 15)</t>
  </si>
  <si>
    <t xml:space="preserve">https://hypebeast.com/2022/1/netflix-hulu-disney-plus-apple-tv-plus-most-streamed-shows-2021</t>
  </si>
  <si>
    <t xml:space="preserve">S130</t>
  </si>
  <si>
    <t xml:space="preserve">Nielsen top streaming acquired series of 2020 (top 5) | Nielsen top streaming movies of 2020 (top 5) | Nielsen top streaming original series of 2020 (top 5)</t>
  </si>
  <si>
    <t xml:space="preserve">https://techcrunch.com/2021/01/12/nielsen-says-the-office-was-the-most-popular-streaming-series-of-2020</t>
  </si>
  <si>
    <t xml:space="preserve">S131</t>
  </si>
  <si>
    <t xml:space="preserve">Nielsen top 10 streaming movies of 2024 | Nielsen top 10 streaming original series of 2024 | Nielsen top 10 streaming programs of 2024 (overall)</t>
  </si>
  <si>
    <t xml:space="preserve">https://thedesk.net/2025/01/nielsen-most-streamed-tv-movies-2024/</t>
  </si>
  <si>
    <t xml:space="preserve">S132</t>
  </si>
  <si>
    <t xml:space="preserve">Nielsen top 10 streaming movies of 2023</t>
  </si>
  <si>
    <t xml:space="preserve">https://thewrap.com/most-streamed-shows-of-2023-list-suits</t>
  </si>
  <si>
    <t xml:space="preserve">S133</t>
  </si>
  <si>
    <t xml:space="preserve">Nielsen top streaming movies of 2021 (top 5)</t>
  </si>
  <si>
    <t xml:space="preserve">https://tvline.com/2022/01/21/most-streamed-series-of-2021-lucifer-criminal-minds/</t>
  </si>
  <si>
    <t xml:space="preserve">S134</t>
  </si>
  <si>
    <t xml:space="preserve">Nielsen top 15 streaming acquired series of 2022 | Nielsen top 15 streaming movies of 2022 | Nielsen top 15 streaming original series of 2022 | Nielsen top 15 streaming programs of 2022 (overall)</t>
  </si>
  <si>
    <t xml:space="preserve">https://tvline.com/lists/most-popular-streaming-series-movies-2022-stranger-things-ncis/</t>
  </si>
  <si>
    <t xml:space="preserve">S135</t>
  </si>
  <si>
    <t xml:space="preserve">Nielsen top 10 streaming original series of 2023 | Nielsen top 10 streaming programs of 2023 (overall)</t>
  </si>
  <si>
    <t xml:space="preserve">https://tvline.com/lists/most-popular-streaming-shows-suits-ted-lasso-night-agent/top-10-overall-streaming-programs/</t>
  </si>
  <si>
    <t xml:space="preserve">S136</t>
  </si>
  <si>
    <t xml:space="preserve">Nielsen top streaming acquired series of 2021 (top 5)</t>
  </si>
  <si>
    <t xml:space="preserve">https://www.darkhorizons.com/?p=152142</t>
  </si>
  <si>
    <t xml:space="preserve">S137</t>
  </si>
  <si>
    <t xml:space="preserve">Nielsen top streaming TV series of 2020 (overall, top 20)</t>
  </si>
  <si>
    <t xml:space="preserve">https://www.mentalfloss.com/entertainment/tv/most-watched-tv-shows-2020</t>
  </si>
  <si>
    <t xml:space="preserve">S138</t>
  </si>
  <si>
    <t xml:space="preserve">Nielsen top 10 streaming original series of 2025 | Nielsen top 10 streaming programs of 2025 (overall) | Nielsen top streaming movies of 2025 (partial: 3 titles named)</t>
  </si>
  <si>
    <t xml:space="preserve">https://www.tvinsider.com/1242175/streaming-ratings-top-10-tv-movies-2025</t>
  </si>
  <si>
    <t xml:space="preserve">S139</t>
  </si>
  <si>
    <t xml:space="preserve">Parrot Analytics / Whip Media</t>
  </si>
  <si>
    <t xml:space="preserve">Whip Media</t>
  </si>
  <si>
    <t xml:space="preserve">https://advanced-television.com/2021/11/03/whip-watch-report-locke-key-tops-streaming-originals-in-italy/</t>
  </si>
  <si>
    <t xml:space="preserve">S140</t>
  </si>
  <si>
    <t xml:space="preserve">https://advanced-television.com/2021/11/10/whip-watch-report-you-tops-streaming-originals-in-spain/</t>
  </si>
  <si>
    <t xml:space="preserve">S141</t>
  </si>
  <si>
    <t xml:space="preserve">https://advanced-television.com/2021/12/08/whip-watch-report-money-heist-tops-streaming-originals-in-spain/</t>
  </si>
  <si>
    <t xml:space="preserve">S142</t>
  </si>
  <si>
    <t xml:space="preserve">https://advanced-television.com/2022/01/27/whip-watch-report-boba-fett-tops-streaming-originals-in-germany/</t>
  </si>
  <si>
    <t xml:space="preserve">S143</t>
  </si>
  <si>
    <t xml:space="preserve">https://cordcuttersnews.com/encanto-and-cobra-kai-were-the-most-streamed-originals-over-the-weekend/?amp=1</t>
  </si>
  <si>
    <t xml:space="preserve">S144</t>
  </si>
  <si>
    <t xml:space="preserve">https://cordcuttersnews.com/hawkeye-was-the-most-watched-streaming-original-over-thanksgiving/</t>
  </si>
  <si>
    <t xml:space="preserve">S145</t>
  </si>
  <si>
    <t xml:space="preserve">https://cordcuttersnews.com/netflixs-ozark-was-the-most-watched-original-streaming-show-last-week/</t>
  </si>
  <si>
    <t xml:space="preserve">S146</t>
  </si>
  <si>
    <t xml:space="preserve">https://malaysia.news.yahoo.com/netflix-bounces-back-2-most-190055378.html</t>
  </si>
  <si>
    <t xml:space="preserve">S147</t>
  </si>
  <si>
    <t xml:space="preserve">Parrot Analytics</t>
  </si>
  <si>
    <t xml:space="preserve">https://parrotanalytics.com/insights/brazil-streaming-market-share-analysis-2020</t>
  </si>
  <si>
    <t xml:space="preserve">S148</t>
  </si>
  <si>
    <t xml:space="preserve">https://parrotanalytics.com/insights/brazil-television-and-streaming-market-share-analysis-2023</t>
  </si>
  <si>
    <t xml:space="preserve">S149</t>
  </si>
  <si>
    <t xml:space="preserve">https://parrotanalytics.com/insights/leading-svod-platforms-in-brazil-2021</t>
  </si>
  <si>
    <t xml:space="preserve">S150</t>
  </si>
  <si>
    <t xml:space="preserve">https://parrotanalytics.com/insights/the-state-of-streaming-and-tv-in-brazil-q1-2022</t>
  </si>
  <si>
    <t xml:space="preserve">S151</t>
  </si>
  <si>
    <t xml:space="preserve">https://senalnews.com/en/data/what-were-the-most-demanded-series-in-brazil-during-august</t>
  </si>
  <si>
    <t xml:space="preserve">S152</t>
  </si>
  <si>
    <t xml:space="preserve">https://senalnews.com/en/data/what-were-the-most-demanded-series-in-brazil-during-february</t>
  </si>
  <si>
    <t xml:space="preserve">S153</t>
  </si>
  <si>
    <t xml:space="preserve">https://senalnews.com/en/data/what-were-the-most-demanded-series-in-brazil-in-august</t>
  </si>
  <si>
    <t xml:space="preserve">S154</t>
  </si>
  <si>
    <t xml:space="preserve">https://senalnews.com/en/data/what-were-the-most-demanded-series-in-brazil-last-month/amp</t>
  </si>
  <si>
    <t xml:space="preserve">S155</t>
  </si>
  <si>
    <t xml:space="preserve">https://senalnews.com/es/data/cuales-fueron-los-shows-mas-populares-en-brasil-en-febrero</t>
  </si>
  <si>
    <t xml:space="preserve">S156</t>
  </si>
  <si>
    <t xml:space="preserve">https://thewrap.com/most-watched-streaming-shows-2023</t>
  </si>
  <si>
    <t xml:space="preserve">S157</t>
  </si>
  <si>
    <t xml:space="preserve">https://whipmedia.com/press_items/the-tv-shows-people-streamed-the-most-in-2020/</t>
  </si>
  <si>
    <t xml:space="preserve">S158</t>
  </si>
  <si>
    <t xml:space="preserve">https://www.advanced-television.com/2021/10/27/whip-watch-report-you-tops-squid-game-in-france/</t>
  </si>
  <si>
    <t xml:space="preserve">S159</t>
  </si>
  <si>
    <t xml:space="preserve">https://www.advanced-television.com/2021/11/17/whip-watch-report-lucifer-tops-streaming-originals-in-germany/</t>
  </si>
  <si>
    <t xml:space="preserve">S160</t>
  </si>
  <si>
    <t xml:space="preserve">https://www.advanced-television.com/2021/11/24/whip-watch-report-arcane-top-streaming-original-in-france/</t>
  </si>
  <si>
    <t xml:space="preserve">S161</t>
  </si>
  <si>
    <t xml:space="preserve">https://www.advanced-television.com/?p=187991</t>
  </si>
  <si>
    <t xml:space="preserve">S162</t>
  </si>
  <si>
    <t xml:space="preserve">https://www.fandompost.com/2024/03/21/whip-media-reveals-top-10-streaming-originals-for-march-17th-2024/</t>
  </si>
  <si>
    <t xml:space="preserve">S163</t>
  </si>
  <si>
    <t xml:space="preserve">https://www.fandompost.com/2024/05/16/whip-media-reveals-top-10-streaming-originals-for-may-12th-2024</t>
  </si>
  <si>
    <t xml:space="preserve">S164</t>
  </si>
  <si>
    <t xml:space="preserve">https://www.mediaplaynews.com/netflixs-day-shift-the-sandman-top-weekly-whip-media-streaming-charts/</t>
  </si>
  <si>
    <t xml:space="preserve">S165</t>
  </si>
  <si>
    <t xml:space="preserve">https://www.mediaplaynews.com/persuasion-stranger-things-top-weekly-whip-media-streaming-charts/</t>
  </si>
  <si>
    <t xml:space="preserve">S166</t>
  </si>
  <si>
    <t xml:space="preserve">https://www.mediaplaynews.com/spiderhead-the-boys-top-weekly-whip-media-streaming-charts/</t>
  </si>
  <si>
    <t xml:space="preserve">S167</t>
  </si>
  <si>
    <t xml:space="preserve">https://www.mediaplaynews.com/the-gray-man-virgin-river-top-weekly-whip-media-streaming-charts/</t>
  </si>
  <si>
    <t xml:space="preserve">S168</t>
  </si>
  <si>
    <t xml:space="preserve">https://www.mediaplaynews.com/the-kings-man-love-is-blind-top-weekly-whip-media-streaming-charts/</t>
  </si>
  <si>
    <t xml:space="preserve">S169</t>
  </si>
  <si>
    <t xml:space="preserve">https://www.mediaplaynews.com/the-weekend-away-marvelous-mrs-maisel-top-weekly-whip-media-streaming-charts/</t>
  </si>
  <si>
    <t xml:space="preserve">S170</t>
  </si>
  <si>
    <t xml:space="preserve">https://www.mediaplaynews.com/turning-red-upload-top-weekly-whip-media-streaming-charts/</t>
  </si>
  <si>
    <t xml:space="preserve">S171</t>
  </si>
  <si>
    <t xml:space="preserve">https://www.mesaonline.org/wp-content/uploads/2021/07/Attracting-Regional-Audiences-with-Original-Content.pdf</t>
  </si>
  <si>
    <t xml:space="preserve">S172</t>
  </si>
  <si>
    <t xml:space="preserve">https://www.parrotanalytics.com/insights/brazil-television-and-streaming-market-share-analysis-2022-netflix-nbc-cbs-abc-and-hbo</t>
  </si>
  <si>
    <t xml:space="preserve">S173</t>
  </si>
  <si>
    <t xml:space="preserve">https://www.parrotanalytics.com/insights/brazil-television-and-streaming-market-share-analysis-q1-2024-netflix-max-prime-video-globoplay-disney-paramount-plutotv-appletv/</t>
  </si>
  <si>
    <t xml:space="preserve">S174</t>
  </si>
  <si>
    <t xml:space="preserve">https://www.parrotanalytics.com/insights/brazil-television-and-streaming-market-share-analysis-q2-2023-tv-globo-netflix-hbo-cbs-and-record-tv/</t>
  </si>
  <si>
    <t xml:space="preserve">S175</t>
  </si>
  <si>
    <t xml:space="preserve">https://www.parrotanalytics.com/insights/genre-trend-brazil-november-2020-january-2021/</t>
  </si>
  <si>
    <t xml:space="preserve">S176</t>
  </si>
  <si>
    <t xml:space="preserve">https://www.parrotanalytics.com/insights/latin-america-audience-demand-for-digital-originals-and-top-tv-series-genres-in-key-markets/</t>
  </si>
  <si>
    <t xml:space="preserve">S177</t>
  </si>
  <si>
    <t xml:space="preserve">https://www.parrotanalytics.com/insights/the-most-popular-digital-tv-series-in-brazil-in-2018/</t>
  </si>
  <si>
    <t xml:space="preserve">S178</t>
  </si>
  <si>
    <t xml:space="preserve">https://www.parrotanalytics.com/insights/tv-series-demand-across-all-television-platforms-for-brazil-09-february-09-march-2023/</t>
  </si>
  <si>
    <t xml:space="preserve">Público/renda no Brasil</t>
  </si>
  <si>
    <t xml:space="preserve">Wikipédia PT - Bilheteria dos cinemas no Brasil em 2001 (20 maiores bilheterias do ano)</t>
  </si>
  <si>
    <t xml:space="preserve">https://pt.wikipedia.org/wiki/Bilheteria_dos_cinemas_no_Brasil_em_2001</t>
  </si>
  <si>
    <t xml:space="preserve">Wikipédia PT - Bilheteria dos cinemas no Brasil em 2002 (20 maiores bilheterias do ano)</t>
  </si>
  <si>
    <t xml:space="preserve">https://pt.wikipedia.org/wiki/Bilheteria_dos_cinemas_no_Brasil_em_2002</t>
  </si>
  <si>
    <t xml:space="preserve">Wikipédia PT - Bilheteria dos cinemas no Brasil em 2003 (20 maiores bilheterias do ano)</t>
  </si>
  <si>
    <t xml:space="preserve">https://pt.wikipedia.org/wiki/Bilheteria_dos_cinemas_no_Brasil_em_2003</t>
  </si>
  <si>
    <t xml:space="preserve">S182</t>
  </si>
  <si>
    <t xml:space="preserve">Wikipédia PT - Bilheteria dos cinemas no Brasil em 2004 (20 maiores bilheterias do ano)</t>
  </si>
  <si>
    <t xml:space="preserve">https://pt.wikipedia.org/wiki/Bilheteria_dos_cinemas_no_Brasil_em_2004</t>
  </si>
  <si>
    <t xml:space="preserve">S183</t>
  </si>
  <si>
    <t xml:space="preserve">Wikipédia PT - Bilheteria dos cinemas no Brasil em 2005 (20 maiores bilheterias do ano)</t>
  </si>
  <si>
    <t xml:space="preserve">https://pt.wikipedia.org/wiki/Bilheteria_dos_cinemas_no_Brasil_em_2005</t>
  </si>
  <si>
    <t xml:space="preserve">Wikipédia PT - Bilheteria dos cinemas no Brasil em 2006 (20 maiores bilheterias do ano)</t>
  </si>
  <si>
    <t xml:space="preserve">https://pt.wikipedia.org/wiki/Bilheteria_dos_cinemas_no_Brasil_em_2006</t>
  </si>
  <si>
    <t xml:space="preserve">S185</t>
  </si>
  <si>
    <t xml:space="preserve">Wikipédia PT - Bilheteria dos cinemas no Brasil em 2007 (20 maiores bilheterias do ano)</t>
  </si>
  <si>
    <t xml:space="preserve">https://pt.wikipedia.org/wiki/Bilheteria_dos_cinemas_no_Brasil_em_2007</t>
  </si>
  <si>
    <t xml:space="preserve">S186</t>
  </si>
  <si>
    <t xml:space="preserve">Wikipédia PT - Bilheteria dos cinemas no Brasil em 2008 (20 maiores bilheterias do ano)</t>
  </si>
  <si>
    <t xml:space="preserve">https://pt.wikipedia.org/wiki/Bilheteria_dos_cinemas_no_Brasil_em_2008</t>
  </si>
  <si>
    <t xml:space="preserve">Wikipédia PT - Bilheteria dos cinemas no Brasil em 2011 (20 maiores bilheterias do ano)</t>
  </si>
  <si>
    <t xml:space="preserve">https://pt.wikipedia.org/wiki/Bilheteria_dos_cinemas_no_Brasil_em_2011</t>
  </si>
  <si>
    <t xml:space="preserve">Wikipédia PT - Bilheteria dos cinemas no Brasil em 2025 (20 maiores bilheterias do ano)</t>
  </si>
  <si>
    <t xml:space="preserve">https://pt.wikipedia.org/wiki/Bilheteria_dos_cinemas_no_Brasil_em_2025</t>
  </si>
  <si>
    <t xml:space="preserve">Wikipédia PT - Bilheteria dos cinemas no Brasil em 2026 (20 maiores bilheterias do ano)</t>
  </si>
  <si>
    <t xml:space="preserve">https://pt.wikipedia.org/wiki/Bilheteria_dos_cinemas_no_Brasil_em_2026</t>
  </si>
  <si>
    <t xml:space="preserve">S190</t>
  </si>
  <si>
    <t xml:space="preserve">Wikipédia PT - Lista de filmes brasileiros com mais de um milhão de espectadores (ranking histórico)</t>
  </si>
  <si>
    <t xml:space="preserve">https://pt.wikipedia.org/wiki/Lista_de_filmes_brasileiros_com_mais_de_um_milh%C3%A3o_de_espectadores</t>
  </si>
  <si>
    <t xml:space="preserve">Ancine Anuário 2018 - ranking dos 20 títulos brasileiros de maior bilheteria (2018) | Ancine Anuário 2018 - ranking dos 20 títulos de maior bilheteria (2018) | Ancine Anuário 2018 - ranking dos 20 títulos de maior bilheteria 2009-2018</t>
  </si>
  <si>
    <t xml:space="preserve">https://www.gov.br/ancine/pt-br/arquivos/anuario-2018.pdf</t>
  </si>
  <si>
    <t xml:space="preserve">S192</t>
  </si>
  <si>
    <t xml:space="preserve">Ancine Anuário do Audiovisual 2024 - ranking dos 20 longas-metragens brasileiros lançados com maior público 2015-2024 | Ancine Anuário do Audiovisual 2024 - ranking dos 20 longas-metragens lançados com maior público 2015-2024</t>
  </si>
  <si>
    <t xml:space="preserve">https://www.gov.br/ancine/pt-br/oca/anuario-do-audiovisual-brasileiro-arquivos/anuario-do-audiovisual-brasileiro-2024-1.pdf</t>
  </si>
  <si>
    <t xml:space="preserve">S193</t>
  </si>
  <si>
    <t xml:space="preserve">Ancine - 20 maiores bilheterias 2013 | Ancine - 20 maiores bilheterias títulos brasileiros 2013</t>
  </si>
  <si>
    <t xml:space="preserve">https://www.gov.br/ancine/pt-br/oca/cinema/arquivos-pdf/informe-anual-distribuicao-em-salas-2013.pdf</t>
  </si>
  <si>
    <t xml:space="preserve">S194</t>
  </si>
  <si>
    <t xml:space="preserve">Ancine/OCA - Listagem de filmes brasileiros com mais de 500.000 espectadores 1970 a 2024 (publicado em 04/04/2025)</t>
  </si>
  <si>
    <t xml:space="preserve">https://www.gov.br/ancine/pt-br/oca/cinema/arquivos-pdf/listagem-de-filmes-brasileiros-com-mais-de-500-000-espectadores-1970-a-2024.pdf</t>
  </si>
  <si>
    <t xml:space="preserve">S195</t>
  </si>
  <si>
    <t xml:space="preserve">Ancine - Classificação dos títulos brasileiros lançados em 2007 por renda e público</t>
  </si>
  <si>
    <t xml:space="preserve">https://www.gov.br/ancine/pt-br/oca/cinema/arquivos-pdf/relatorio-anual-distribuicao-em-salas-2007.pdf</t>
  </si>
  <si>
    <t xml:space="preserve">S196</t>
  </si>
  <si>
    <t xml:space="preserve">Ancine - Títulos brasileiros lançados por renda - 2008</t>
  </si>
  <si>
    <t xml:space="preserve">https://www.gov.br/ancine/pt-br/oca/cinema/arquivos-pdf/relatorio-anual-distribuicao-em-salas-2008.pdf</t>
  </si>
  <si>
    <t xml:space="preserve">S197</t>
  </si>
  <si>
    <t xml:space="preserve">Ancine - Filmes brasileiros lançados em 2009 | Ancine - Top 20 lançamentos 2009 (público em 2009)</t>
  </si>
  <si>
    <t xml:space="preserve">https://www.gov.br/ancine/pt-br/oca/cinema/arquivos-pdf/relatorio-anual-distribuicao-em-salas-2009.pdf</t>
  </si>
  <si>
    <t xml:space="preserve">Ancine Anuário 2020 - filmes brasileiros 20 títulos com maior público (2020) | Ancine Anuário 2020 - ranking dos 20 títulos com maior público (2020)</t>
  </si>
  <si>
    <t xml:space="preserve">https://www.gov.br/ancine/pt-br/oca/publicacoes/arquivos.pdf/anuario-2020.pdf</t>
  </si>
  <si>
    <t xml:space="preserve">Ancine Anuário 2021 - filmes brasileiros ranking dos 20 títulos com maior público (2021) | Ancine Anuário 2021 - ranking dos 20 títulos com maior público (2021)</t>
  </si>
  <si>
    <t xml:space="preserve">https://www.gov.br/ancine/pt-br/oca/publicacoes/arquivos.pdf/anuario-2021.pdf</t>
  </si>
  <si>
    <t xml:space="preserve">Ancine Anuário 2022 - ranking dos 20 longas-metragens brasileiros com maior público em 2022 | Ancine Anuário 2022 - ranking dos 20 longas-metragens com maior público em 2022</t>
  </si>
  <si>
    <t xml:space="preserve">https://www.gov.br/ancine/pt-br/oca/publicacoes/arquivos.pdf/anuario-2022.pdf</t>
  </si>
  <si>
    <t xml:space="preserve">Ancine Anuário 2023 - ranking dos 20 longas-metragens brasileiros com maior público em 2023 | Ancine Anuário 2023 - ranking dos 20 longas-metragens com maior público em 2023 | Ancine Anuário 2023 - ranking dos 20 longas-metragens lançados com maior público 2014-2023</t>
  </si>
  <si>
    <t xml:space="preserve">https://www.gov.br/ancine/pt-br/oca/publicacoes/arquivos.pdf/anuario-2023.pdf</t>
  </si>
  <si>
    <t xml:space="preserve">S202</t>
  </si>
  <si>
    <t xml:space="preserve">Ancine Anuário 2015 - ranking dos 20 títulos brasileiros de maior bilheteria (2015) | Ancine Anuário 2015 - ranking dos 20 títulos de maior bilheteria (2015)</t>
  </si>
  <si>
    <t xml:space="preserve">https://www.gov.br/ancine/pt-br/oca/publicacoes/arquivos.pdf/anuario_2015.pdf</t>
  </si>
  <si>
    <t xml:space="preserve">Ancine Anuário 2017 - ranking dos 20 títulos brasileiros de maior bilheteria (2017) | Ancine Anuário 2017 - ranking dos 20 títulos de maior bilheteria (2017)</t>
  </si>
  <si>
    <t xml:space="preserve">https://www.gov.br/ancine/pt-br/oca/publicacoes/arquivos.pdf/anuario_2017.pdf</t>
  </si>
  <si>
    <t xml:space="preserve">S204</t>
  </si>
  <si>
    <t xml:space="preserve">Ancine - Lançamentos brasileiros 2010 | Ancine - Top 20 geral lançamentos de 2010 por público</t>
  </si>
  <si>
    <t xml:space="preserve">https://www.gov.br/ancine/pt-br/oca/publicacoes/arquivos.pdf/informe_distribuicao_2010.pdf</t>
  </si>
  <si>
    <t xml:space="preserve">S205</t>
  </si>
  <si>
    <t xml:space="preserve">Ancine - 20 maiores bilheterias 2012 | Ancine - 20 maiores bilheterias brasileiras 2012</t>
  </si>
  <si>
    <t xml:space="preserve">https://www.gov.br/ancine/pt-br/oca/publicacoes/arquivos.pdf/informe_distribuicao_2012.pdf</t>
  </si>
  <si>
    <t xml:space="preserve">S206</t>
  </si>
  <si>
    <t xml:space="preserve">Ancine - 20 maiores bilheterias 2014 | Ancine - 20 maiores bilheterias de filmes brasileiros 2014</t>
  </si>
  <si>
    <t xml:space="preserve">https://www.gov.br/ancine/pt-br/oca/publicacoes/arquivos.pdf/informe_distribuicao_2014.pdf</t>
  </si>
  <si>
    <t xml:space="preserve">Ancine - filmes brasileiros 20 maiores bilheterias 2016 | Ancine - ranking dos 20 títulos com maior bilheteria 2016</t>
  </si>
  <si>
    <t xml:space="preserve">https://www.gov.br/ancine/pt-br/oca/publicacoes/arquivos.pdf/informe_distribuicao_2016_0.pdf</t>
  </si>
  <si>
    <t xml:space="preserve">Ancine - filmes brasileiros 20 maiores bilheterias em 2019 | Ancine - ranking dos 20 títulos com maior público em 2019</t>
  </si>
  <si>
    <t xml:space="preserve">https://www.gov.br/ancine/pt-br/oca/publicacoes/arquivos.pdf/informe_distribuicao_2019.pdf</t>
  </si>
  <si>
    <t xml:space="preserve">Ancine - Mercado cinematográfico 2024, ranking dos 20 longas-metragens brasileiros com maior público em 2024 | Ancine - Mercado cinematográfico 2024, ranking dos 20 longas-metragens com maior público em 2024</t>
  </si>
  <si>
    <t xml:space="preserve">https://www.gov.br/ancine/pt-br/oca/publicacoes/arquivos.pdf/mercado-cinematografico-2024.pdf</t>
  </si>
  <si>
    <t xml:space="preserve">IMDb: datasets oficiais title.basics, title.ratings e title.akas (https://datasets.imdbws.com/), baixados em 13/10/2026. Todas as consultas em 13/10/2026.</t>
  </si>
  <si>
    <t xml:space="preserve">Ancine — Listagem de filmes brasileiros com mais de 500 mil espectadores 1970–2024: NESTA BASE só entram os filmes lançados de 2001 em diante.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</si>
</sst>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2E5E4E"/>
        <bgColor rgb="FF008080"/>
      </patternFill>
    </fill>
    <fill>
      <patternFill patternType="solid">
        <fgColor rgb="FF6B4E16"/>
        <bgColor rgb="FF333300"/>
      </patternFill>
    </fill>
    <fill>
      <patternFill patternType="solid">
        <fgColor rgb="FF5B2C6F"/>
        <bgColor rgb="FF6600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E4E"/>
          <bgColor rgb="FF000000"/>
        </patternFill>
      </fill>
    </dxf>
    <dxf>
      <fill>
        <patternFill patternType="solid">
          <fgColor rgb="FF6B4E16"/>
          <bgColor rgb="FF000000"/>
        </patternFill>
      </fill>
    </dxf>
    <dxf>
      <fill>
        <patternFill patternType="solid">
          <fgColor rgb="FF5B2C6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6B4E16"/>
      <rgbColor rgb="FF993366"/>
      <rgbColor rgb="FF5B2C6F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39.5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  <c r="B5" s="3" t="n">
        <v>0.03</v>
      </c>
    </row>
    <row r="6" customFormat="false" ht="15" hidden="false" customHeight="false" outlineLevel="0" collapsed="false">
      <c r="A6" s="2" t="s">
        <v>4</v>
      </c>
      <c r="B6" s="3" t="n">
        <v>0.333333333333333</v>
      </c>
    </row>
    <row r="7" customFormat="false" ht="15" hidden="false" customHeight="false" outlineLevel="0" collapsed="false">
      <c r="A7" s="2" t="s">
        <v>5</v>
      </c>
      <c r="B7" s="3" t="n">
        <v>0.7</v>
      </c>
    </row>
    <row r="8" customFormat="false" ht="15" hidden="false" customHeight="false" outlineLevel="0" collapsed="false">
      <c r="A8" s="2" t="s">
        <v>6</v>
      </c>
      <c r="B8" s="3" t="n">
        <v>0.4</v>
      </c>
    </row>
    <row r="9" customFormat="false" ht="15" hidden="false" customHeight="false" outlineLevel="0" collapsed="false">
      <c r="A9" s="2" t="s">
        <v>7</v>
      </c>
      <c r="B9" s="3" t="n">
        <v>50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8</v>
      </c>
    </row>
    <row r="12" customFormat="false" ht="26.85" hidden="false" customHeight="false" outlineLevel="0" collapsed="false">
      <c r="A12" s="2" t="s">
        <v>9</v>
      </c>
    </row>
    <row r="13" customFormat="false" ht="39.5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4" t="s">
        <v>11</v>
      </c>
    </row>
    <row r="15" customFormat="false" ht="39.55" hidden="false" customHeight="false" outlineLevel="0" collapsed="false">
      <c r="A15" s="2" t="s">
        <v>12</v>
      </c>
    </row>
    <row r="16" customFormat="false" ht="26.85" hidden="false" customHeight="false" outlineLevel="0" collapsed="false">
      <c r="A16" s="2" t="s">
        <v>13</v>
      </c>
    </row>
    <row r="17" customFormat="false" ht="26.8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4" t="s">
        <v>15</v>
      </c>
    </row>
    <row r="20" customFormat="false" ht="39.5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4" t="s">
        <v>17</v>
      </c>
    </row>
    <row r="23" customFormat="false" ht="39.5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4" t="s">
        <v>19</v>
      </c>
    </row>
    <row r="26" customFormat="false" ht="26.85" hidden="false" customHeight="false" outlineLevel="0" collapsed="false">
      <c r="A26" s="2" t="s">
        <v>20</v>
      </c>
    </row>
    <row r="27" customFormat="false" ht="26.85" hidden="false" customHeight="false" outlineLevel="0" collapsed="false">
      <c r="A27" s="2" t="s">
        <v>21</v>
      </c>
    </row>
    <row r="28" customFormat="false" ht="26.85" hidden="false" customHeight="false" outlineLevel="0" collapsed="false">
      <c r="A28" s="2" t="s">
        <v>22</v>
      </c>
    </row>
    <row r="29" customFormat="false" ht="26.8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26.8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4" t="s">
        <v>26</v>
      </c>
    </row>
    <row r="34" customFormat="false" ht="26.8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4" t="s">
        <v>28</v>
      </c>
    </row>
    <row r="37" customFormat="false" ht="26.85" hidden="false" customHeight="false" outlineLevel="0" collapsed="false">
      <c r="A37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5" t="s">
        <v>30</v>
      </c>
    </row>
    <row r="3" customFormat="false" ht="15" hidden="false" customHeight="false" outlineLevel="0" collapsed="false">
      <c r="A3" s="6" t="s">
        <v>31</v>
      </c>
    </row>
    <row r="4" customFormat="false" ht="15" hidden="false" customHeight="false" outlineLevel="0" collapsed="false">
      <c r="A4" s="6" t="s">
        <v>32</v>
      </c>
      <c r="B4" s="7" t="n">
        <f aca="false">COUNTA(Filmes!A2:A354)</f>
        <v>353</v>
      </c>
    </row>
    <row r="5" customFormat="false" ht="15" hidden="false" customHeight="false" outlineLevel="0" collapsed="false">
      <c r="A5" s="7" t="s">
        <v>33</v>
      </c>
      <c r="B5" s="7" t="n">
        <f aca="false">COUNTIF(Filmes!Y2:Y354,"A")</f>
        <v>71</v>
      </c>
    </row>
    <row r="6" customFormat="false" ht="15" hidden="false" customHeight="false" outlineLevel="0" collapsed="false">
      <c r="A6" s="7" t="s">
        <v>34</v>
      </c>
      <c r="B6" s="7" t="n">
        <f aca="false">COUNTIF(Filmes!Y2:Y354,"B")</f>
        <v>163</v>
      </c>
    </row>
    <row r="7" customFormat="false" ht="15" hidden="false" customHeight="false" outlineLevel="0" collapsed="false">
      <c r="A7" s="7" t="s">
        <v>35</v>
      </c>
      <c r="B7" s="7" t="n">
        <f aca="false">COUNTIF(Filmes!Y2:Y354,"C")</f>
        <v>119</v>
      </c>
    </row>
    <row r="8" customFormat="false" ht="15" hidden="false" customHeight="false" outlineLevel="0" collapsed="false">
      <c r="A8" s="7" t="s">
        <v>36</v>
      </c>
      <c r="B8" s="7" t="n">
        <f aca="false">COUNTIF(Filmes!E2:E354,"Sim")</f>
        <v>7</v>
      </c>
    </row>
    <row r="9" customFormat="false" ht="15" hidden="false" customHeight="false" outlineLevel="0" collapsed="false">
      <c r="A9" s="7" t="s">
        <v>37</v>
      </c>
      <c r="B9" s="7" t="n">
        <f aca="false">COUNTIF(Filmes!P2:P354,3)</f>
        <v>230</v>
      </c>
    </row>
    <row r="10" customFormat="false" ht="15" hidden="false" customHeight="false" outlineLevel="0" collapsed="false">
      <c r="A10" s="7" t="s">
        <v>38</v>
      </c>
      <c r="B10" s="7" t="n">
        <f aca="false">COUNTIF(Filmes!W2:W354,"&gt;0")</f>
        <v>197</v>
      </c>
    </row>
    <row r="11" customFormat="false" ht="15" hidden="false" customHeight="false" outlineLevel="0" collapsed="false">
      <c r="A11" s="7" t="s">
        <v>39</v>
      </c>
      <c r="B11" s="7" t="n">
        <f aca="false">COUNTIF(Filmes!F2:F354,"Adicionado*")</f>
        <v>39</v>
      </c>
    </row>
    <row r="12" customFormat="false" ht="15" hidden="false" customHeight="false" outlineLevel="0" collapsed="false">
      <c r="A12" s="6" t="s">
        <v>40</v>
      </c>
    </row>
    <row r="13" customFormat="false" ht="15" hidden="false" customHeight="false" outlineLevel="0" collapsed="false">
      <c r="A13" s="6" t="s">
        <v>32</v>
      </c>
      <c r="B13" s="7" t="n">
        <f aca="false">COUNTA(Séries!A2:A85)</f>
        <v>84</v>
      </c>
    </row>
    <row r="14" customFormat="false" ht="15" hidden="false" customHeight="false" outlineLevel="0" collapsed="false">
      <c r="A14" s="7" t="s">
        <v>33</v>
      </c>
      <c r="B14" s="7" t="n">
        <f aca="false">COUNTIF(Séries!AB2:AB85,"A")</f>
        <v>39</v>
      </c>
    </row>
    <row r="15" customFormat="false" ht="15" hidden="false" customHeight="false" outlineLevel="0" collapsed="false">
      <c r="A15" s="7" t="s">
        <v>34</v>
      </c>
      <c r="B15" s="7" t="n">
        <f aca="false">COUNTIF(Séries!AB2:AB85,"B")</f>
        <v>32</v>
      </c>
    </row>
    <row r="16" customFormat="false" ht="15" hidden="false" customHeight="false" outlineLevel="0" collapsed="false">
      <c r="A16" s="7" t="s">
        <v>35</v>
      </c>
      <c r="B16" s="7" t="n">
        <f aca="false">COUNTIF(Séries!AB2:AB85,"C")</f>
        <v>13</v>
      </c>
    </row>
    <row r="17" customFormat="false" ht="15" hidden="false" customHeight="false" outlineLevel="0" collapsed="false">
      <c r="A17" s="7" t="s">
        <v>41</v>
      </c>
      <c r="B17" s="7" t="n">
        <f aca="false">COUNT(Séries!T2:T85)</f>
        <v>55</v>
      </c>
    </row>
    <row r="18" customFormat="false" ht="15" hidden="false" customHeight="false" outlineLevel="0" collapsed="false">
      <c r="A18" s="7" t="s">
        <v>38</v>
      </c>
      <c r="B18" s="7" t="n">
        <f aca="false">COUNTIF(Séries!Z2:Z85,"&gt;0")</f>
        <v>75</v>
      </c>
    </row>
    <row r="19" customFormat="false" ht="15" hidden="false" customHeight="false" outlineLevel="0" collapsed="false">
      <c r="A19" s="7" t="s">
        <v>42</v>
      </c>
      <c r="B19" s="7" t="n">
        <f aca="false">COUNTIF(Séries!F2:F85,"Adicionado*")</f>
        <v>26</v>
      </c>
    </row>
    <row r="20" customFormat="false" ht="15" hidden="false" customHeight="false" outlineLevel="0" collapsed="false">
      <c r="A20" s="6" t="s">
        <v>43</v>
      </c>
      <c r="B20" s="7" t="n">
        <f aca="false">B4+B13</f>
        <v>437</v>
      </c>
    </row>
    <row r="21" customFormat="false" ht="15" hidden="false" customHeight="false" outlineLevel="0" collapsed="false">
      <c r="A21" s="6" t="s">
        <v>44</v>
      </c>
      <c r="B21" s="7" t="n">
        <f aca="false">COUNTA(Excluídos!A2:A1428)</f>
        <v>1427</v>
      </c>
    </row>
    <row r="22" customFormat="false" ht="15" hidden="false" customHeight="false" outlineLevel="0" collapsed="false">
      <c r="A22" s="6" t="s">
        <v>45</v>
      </c>
      <c r="B22" s="7" t="s">
        <v>46</v>
      </c>
    </row>
    <row r="23" customFormat="false" ht="15" hidden="false" customHeight="false" outlineLevel="0" collapsed="false">
      <c r="A23" s="6" t="s">
        <v>47</v>
      </c>
      <c r="B23" s="7" t="n">
        <f aca="false">COUNTIF(Filmes!AJ2:AJ354,"Sim")</f>
        <v>50</v>
      </c>
    </row>
    <row r="24" customFormat="false" ht="15" hidden="false" customHeight="false" outlineLevel="0" collapsed="false">
      <c r="A24" s="6" t="s">
        <v>48</v>
      </c>
      <c r="B24" s="7" t="n">
        <f aca="false">COUNTIF(Séries!AN2:AN85,"Sim")</f>
        <v>50</v>
      </c>
    </row>
    <row r="25" customFormat="false" ht="15" hidden="false" customHeight="false" outlineLevel="0" collapsed="false">
      <c r="A25" s="6" t="s">
        <v>49</v>
      </c>
      <c r="B25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7"/>
    <col collapsed="false" customWidth="true" hidden="false" outlineLevel="0" max="15" min="13" style="0" width="9"/>
    <col collapsed="false" customWidth="true" hidden="false" outlineLevel="0" max="16" min="16" style="0" width="8"/>
    <col collapsed="false" customWidth="true" hidden="false" outlineLevel="0" max="17" min="17" style="0" width="26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24"/>
    <col collapsed="false" customWidth="true" hidden="false" outlineLevel="0" max="22" min="22" style="0" width="14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6"/>
    <col collapsed="false" customWidth="true" hidden="false" outlineLevel="0" max="26" min="26" style="0" width="8"/>
    <col collapsed="false" customWidth="true" hidden="false" outlineLevel="0" max="27" min="27" style="0" width="20"/>
    <col collapsed="false" customWidth="true" hidden="false" outlineLevel="0" max="28" min="28" style="0" width="22"/>
    <col collapsed="false" customWidth="true" hidden="false" outlineLevel="0" max="29" min="29" style="0" width="30"/>
    <col collapsed="false" customWidth="true" hidden="false" outlineLevel="0" max="30" min="30" style="0" width="13"/>
    <col collapsed="false" customWidth="true" hidden="false" outlineLevel="0" max="31" min="31" style="0" width="26"/>
    <col collapsed="false" customWidth="true" hidden="false" outlineLevel="0" max="32" min="32" style="0" width="16"/>
    <col collapsed="false" customWidth="true" hidden="false" outlineLevel="0" max="33" min="33" style="0" width="11"/>
    <col collapsed="false" customWidth="true" hidden="false" outlineLevel="0" max="36" min="34" style="0" width="10"/>
  </cols>
  <sheetData>
    <row r="1" customFormat="false" ht="57.75" hidden="false" customHeight="true" outlineLevel="0" collapsed="false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10" t="s">
        <v>67</v>
      </c>
      <c r="R1" s="10" t="s">
        <v>68</v>
      </c>
      <c r="S1" s="10" t="s">
        <v>69</v>
      </c>
      <c r="T1" s="10" t="s">
        <v>70</v>
      </c>
      <c r="U1" s="10" t="s">
        <v>71</v>
      </c>
      <c r="V1" s="10" t="s">
        <v>72</v>
      </c>
      <c r="W1" s="10" t="s">
        <v>73</v>
      </c>
      <c r="X1" s="11" t="s">
        <v>74</v>
      </c>
      <c r="Y1" s="11" t="s">
        <v>75</v>
      </c>
      <c r="Z1" s="11" t="s">
        <v>76</v>
      </c>
      <c r="AA1" s="11" t="s">
        <v>77</v>
      </c>
      <c r="AB1" s="8" t="s">
        <v>78</v>
      </c>
      <c r="AC1" s="8" t="s">
        <v>79</v>
      </c>
      <c r="AD1" s="8" t="s">
        <v>80</v>
      </c>
      <c r="AE1" s="8" t="s">
        <v>81</v>
      </c>
      <c r="AF1" s="8" t="s">
        <v>82</v>
      </c>
      <c r="AG1" s="8" t="s">
        <v>83</v>
      </c>
      <c r="AH1" s="11" t="s">
        <v>84</v>
      </c>
      <c r="AI1" s="11" t="s">
        <v>85</v>
      </c>
      <c r="AJ1" s="11" t="s">
        <v>86</v>
      </c>
    </row>
    <row r="2" customFormat="false" ht="15" hidden="false" customHeight="false" outlineLevel="0" collapsed="false">
      <c r="A2" s="12" t="s">
        <v>87</v>
      </c>
      <c r="B2" s="12" t="s">
        <v>88</v>
      </c>
      <c r="C2" s="12" t="s">
        <v>89</v>
      </c>
      <c r="D2" s="12" t="s">
        <v>90</v>
      </c>
      <c r="E2" s="12" t="s">
        <v>91</v>
      </c>
      <c r="F2" s="12" t="s">
        <v>92</v>
      </c>
      <c r="G2" s="13" t="n">
        <v>19656475</v>
      </c>
      <c r="H2" s="13" t="n">
        <v>338624955</v>
      </c>
      <c r="I2" s="13" t="n">
        <v>2799439100</v>
      </c>
      <c r="J2" s="12" t="n">
        <v>1</v>
      </c>
      <c r="K2" s="13" t="n">
        <v>1499173</v>
      </c>
      <c r="L2" s="12" t="n">
        <v>8.4</v>
      </c>
      <c r="M2" s="14" t="n">
        <f aca="false">IF(G2="","",PERCENTRANK($G$2:$G$354,G2))</f>
        <v>0.997</v>
      </c>
      <c r="N2" s="14" t="n">
        <f aca="false">IF(I2="","",PERCENTRANK($I$2:$I$354,I2))</f>
        <v>1</v>
      </c>
      <c r="O2" s="14" t="n">
        <f aca="false">IF(K2="","",PERCENTRANK($K$2:$K$354,K2))</f>
        <v>0.966</v>
      </c>
      <c r="P2" s="12" t="n">
        <f aca="false">COUNT(M2:O2)</f>
        <v>3</v>
      </c>
      <c r="Q2" s="12" t="s">
        <v>93</v>
      </c>
      <c r="W2" s="12" t="n">
        <f aca="false">COUNTA(Q2:V2)</f>
        <v>1</v>
      </c>
      <c r="X2" s="14" t="n">
        <f aca="false">IF(P2=0,"",MIN(1,AVERAGE(M2:O2)+Critérios!$B$5*W2))</f>
        <v>1</v>
      </c>
      <c r="Y2" s="12" t="str">
        <f aca="false">IF(X2="","",IF(X2&gt;=Critérios!$B$7,"A",IF(X2&gt;=Critérios!$B$8,"B","C")))</f>
        <v>A</v>
      </c>
      <c r="Z2" s="12" t="n">
        <f aca="false">IF(X2="","",RANK(X2,$X$2:$X$354))</f>
        <v>1</v>
      </c>
      <c r="AA2" s="12" t="str">
        <f aca="false">IF(X2="","Sairia — sem métrica",IF(PERCENTRANK($X$2:$X$354,X2)&lt;Critérios!$B$6,"Sairia — terço inferior","Fica"))</f>
        <v>Fica</v>
      </c>
      <c r="AB2" s="12" t="s">
        <v>94</v>
      </c>
      <c r="AD2" s="15" t="s">
        <v>95</v>
      </c>
      <c r="AE2" s="16"/>
      <c r="AF2" s="12" t="s">
        <v>96</v>
      </c>
      <c r="AG2" s="12" t="s">
        <v>97</v>
      </c>
      <c r="AH2" s="12" t="n">
        <f aca="false">COUNT(G2,I2,K2)+COUNTA(Q2:V2)</f>
        <v>4</v>
      </c>
      <c r="AI2" s="12" t="str">
        <f aca="false">IF(AH2&gt;=3,"Sim","Não")</f>
        <v>Sim</v>
      </c>
      <c r="AJ2" s="12" t="str">
        <f aca="false">IF(AND(Z2&lt;&gt;"",Z2&lt;=Critérios!$B$9),"Sim","Não")</f>
        <v>Sim</v>
      </c>
    </row>
    <row r="3" customFormat="false" ht="15" hidden="false" customHeight="false" outlineLevel="0" collapsed="false">
      <c r="A3" s="12" t="s">
        <v>98</v>
      </c>
      <c r="B3" s="12" t="s">
        <v>99</v>
      </c>
      <c r="C3" s="12" t="s">
        <v>100</v>
      </c>
      <c r="D3" s="12" t="s">
        <v>101</v>
      </c>
      <c r="E3" s="12" t="s">
        <v>91</v>
      </c>
      <c r="F3" s="12" t="s">
        <v>92</v>
      </c>
      <c r="G3" s="13" t="n">
        <v>16614010</v>
      </c>
      <c r="H3" s="13" t="n">
        <v>307392631</v>
      </c>
      <c r="I3" s="13" t="n">
        <v>1921426073</v>
      </c>
      <c r="J3" s="12" t="n">
        <v>1</v>
      </c>
      <c r="K3" s="13" t="n">
        <v>1081111</v>
      </c>
      <c r="L3" s="12" t="n">
        <v>8.1</v>
      </c>
      <c r="M3" s="14" t="n">
        <f aca="false">IF(G3="","",PERCENTRANK($G$2:$G$354,G3))</f>
        <v>0.99</v>
      </c>
      <c r="N3" s="14" t="n">
        <f aca="false">IF(I3="","",PERCENTRANK($I$2:$I$354,I3))</f>
        <v>0.97</v>
      </c>
      <c r="O3" s="14" t="n">
        <f aca="false">IF(K3="","",PERCENTRANK($K$2:$K$354,K3))</f>
        <v>0.912</v>
      </c>
      <c r="P3" s="12" t="n">
        <f aca="false">COUNT(M3:O3)</f>
        <v>3</v>
      </c>
      <c r="Q3" s="12" t="s">
        <v>102</v>
      </c>
      <c r="R3" s="12" t="s">
        <v>103</v>
      </c>
      <c r="T3" s="12" t="s">
        <v>104</v>
      </c>
      <c r="W3" s="12" t="n">
        <f aca="false">COUNTA(Q3:V3)</f>
        <v>3</v>
      </c>
      <c r="X3" s="14" t="n">
        <f aca="false">IF(P3=0,"",MIN(1,AVERAGE(M3:O3)+Critérios!$B$5*W3))</f>
        <v>1</v>
      </c>
      <c r="Y3" s="12" t="str">
        <f aca="false">IF(X3="","",IF(X3&gt;=Critérios!$B$7,"A",IF(X3&gt;=Critérios!$B$8,"B","C")))</f>
        <v>A</v>
      </c>
      <c r="Z3" s="12" t="n">
        <f aca="false">IF(X3="","",RANK(X3,$X$2:$X$354))</f>
        <v>1</v>
      </c>
      <c r="AA3" s="12" t="str">
        <f aca="false">IF(X3="","Sairia — sem métrica",IF(PERCENTRANK($X$2:$X$354,X3)&lt;Critérios!$B$6,"Sairia — terço inferior","Fica"))</f>
        <v>Fica</v>
      </c>
      <c r="AB3" s="12" t="s">
        <v>105</v>
      </c>
      <c r="AD3" s="15" t="s">
        <v>95</v>
      </c>
      <c r="AE3" s="16"/>
      <c r="AF3" s="12" t="s">
        <v>106</v>
      </c>
      <c r="AG3" s="12" t="s">
        <v>107</v>
      </c>
      <c r="AH3" s="12" t="n">
        <f aca="false">COUNT(G3,I3,K3)+COUNTA(Q3:V3)</f>
        <v>6</v>
      </c>
      <c r="AI3" s="12" t="str">
        <f aca="false">IF(AH3&gt;=3,"Sim","Não")</f>
        <v>Sim</v>
      </c>
      <c r="AJ3" s="12" t="str">
        <f aca="false">IF(AND(Z3&lt;&gt;"",Z3&lt;=Critérios!$B$9),"Sim","Não")</f>
        <v>Sim</v>
      </c>
    </row>
    <row r="4" customFormat="false" ht="15" hidden="false" customHeight="false" outlineLevel="0" collapsed="false">
      <c r="A4" s="12" t="s">
        <v>108</v>
      </c>
      <c r="B4" s="12" t="s">
        <v>109</v>
      </c>
      <c r="C4" s="12" t="s">
        <v>110</v>
      </c>
      <c r="D4" s="12" t="s">
        <v>111</v>
      </c>
      <c r="E4" s="12" t="s">
        <v>91</v>
      </c>
      <c r="F4" s="12" t="s">
        <v>92</v>
      </c>
      <c r="G4" s="13" t="n">
        <v>14502151</v>
      </c>
      <c r="H4" s="13" t="n">
        <v>238029913</v>
      </c>
      <c r="I4" s="13" t="n">
        <v>2048359754</v>
      </c>
      <c r="J4" s="12" t="n">
        <v>1</v>
      </c>
      <c r="K4" s="13" t="n">
        <v>1417008</v>
      </c>
      <c r="L4" s="12" t="n">
        <v>8.4</v>
      </c>
      <c r="M4" s="14" t="n">
        <f aca="false">IF(G4="","",PERCENTRANK($G$2:$G$354,G4))</f>
        <v>0.984</v>
      </c>
      <c r="N4" s="14" t="n">
        <f aca="false">IF(I4="","",PERCENTRANK($I$2:$I$354,I4))</f>
        <v>0.975</v>
      </c>
      <c r="O4" s="14" t="n">
        <f aca="false">IF(K4="","",PERCENTRANK($K$2:$K$354,K4))</f>
        <v>0.963</v>
      </c>
      <c r="P4" s="12" t="n">
        <f aca="false">COUNT(M4:O4)</f>
        <v>3</v>
      </c>
      <c r="Q4" s="12" t="s">
        <v>112</v>
      </c>
      <c r="W4" s="12" t="n">
        <f aca="false">COUNTA(Q4:V4)</f>
        <v>1</v>
      </c>
      <c r="X4" s="14" t="n">
        <f aca="false">IF(P4=0,"",MIN(1,AVERAGE(M4:O4)+Critérios!$B$5*W4))</f>
        <v>1</v>
      </c>
      <c r="Y4" s="12" t="str">
        <f aca="false">IF(X4="","",IF(X4&gt;=Critérios!$B$7,"A",IF(X4&gt;=Critérios!$B$8,"B","C")))</f>
        <v>A</v>
      </c>
      <c r="Z4" s="12" t="n">
        <f aca="false">IF(X4="","",RANK(X4,$X$2:$X$354))</f>
        <v>1</v>
      </c>
      <c r="AA4" s="12" t="str">
        <f aca="false">IF(X4="","Sairia — sem métrica",IF(PERCENTRANK($X$2:$X$354,X4)&lt;Critérios!$B$6,"Sairia — terço inferior","Fica"))</f>
        <v>Fica</v>
      </c>
      <c r="AB4" s="12" t="s">
        <v>94</v>
      </c>
      <c r="AD4" s="15" t="s">
        <v>95</v>
      </c>
      <c r="AE4" s="16"/>
      <c r="AF4" s="12" t="s">
        <v>113</v>
      </c>
      <c r="AG4" s="12" t="s">
        <v>114</v>
      </c>
      <c r="AH4" s="12" t="n">
        <f aca="false">COUNT(G4,I4,K4)+COUNTA(Q4:V4)</f>
        <v>4</v>
      </c>
      <c r="AI4" s="12" t="str">
        <f aca="false">IF(AH4&gt;=3,"Sim","Não")</f>
        <v>Sim</v>
      </c>
      <c r="AJ4" s="12" t="str">
        <f aca="false">IF(AND(Z4&lt;&gt;"",Z4&lt;=Critérios!$B$9),"Sim","Não")</f>
        <v>Sim</v>
      </c>
    </row>
    <row r="5" customFormat="false" ht="15" hidden="false" customHeight="false" outlineLevel="0" collapsed="false">
      <c r="A5" s="12" t="s">
        <v>115</v>
      </c>
      <c r="B5" s="12" t="s">
        <v>116</v>
      </c>
      <c r="C5" s="12" t="s">
        <v>117</v>
      </c>
      <c r="D5" s="12" t="s">
        <v>118</v>
      </c>
      <c r="E5" s="12" t="s">
        <v>91</v>
      </c>
      <c r="F5" s="12" t="s">
        <v>92</v>
      </c>
      <c r="G5" s="13" t="n">
        <v>11551730</v>
      </c>
      <c r="H5" s="13" t="n">
        <v>240271275</v>
      </c>
      <c r="I5" s="13" t="n">
        <v>2320250281</v>
      </c>
      <c r="J5" s="12" t="n">
        <v>1</v>
      </c>
      <c r="K5" s="13" t="n">
        <v>649893</v>
      </c>
      <c r="L5" s="12" t="n">
        <v>7.5</v>
      </c>
      <c r="M5" s="14" t="n">
        <f aca="false">IF(G5="","",PERCENTRANK($G$2:$G$354,G5))</f>
        <v>0.98</v>
      </c>
      <c r="N5" s="14" t="n">
        <f aca="false">IF(I5="","",PERCENTRANK($I$2:$I$354,I5))</f>
        <v>0.987</v>
      </c>
      <c r="O5" s="14" t="n">
        <f aca="false">IF(K5="","",PERCENTRANK($K$2:$K$354,K5))</f>
        <v>0.696</v>
      </c>
      <c r="P5" s="12" t="n">
        <f aca="false">COUNT(M5:O5)</f>
        <v>3</v>
      </c>
      <c r="Q5" s="12" t="s">
        <v>119</v>
      </c>
      <c r="S5" s="12" t="s">
        <v>120</v>
      </c>
      <c r="T5" s="12" t="s">
        <v>121</v>
      </c>
      <c r="W5" s="12" t="n">
        <f aca="false">COUNTA(Q5:V5)</f>
        <v>3</v>
      </c>
      <c r="X5" s="14" t="n">
        <f aca="false">IF(P5=0,"",MIN(1,AVERAGE(M5:O5)+Critérios!$B$5*W5))</f>
        <v>0.977666666666667</v>
      </c>
      <c r="Y5" s="12" t="str">
        <f aca="false">IF(X5="","",IF(X5&gt;=Critérios!$B$7,"A",IF(X5&gt;=Critérios!$B$8,"B","C")))</f>
        <v>A</v>
      </c>
      <c r="Z5" s="12" t="n">
        <f aca="false">IF(X5="","",RANK(X5,$X$2:$X$354))</f>
        <v>4</v>
      </c>
      <c r="AA5" s="12" t="str">
        <f aca="false">IF(X5="","Sairia — sem métrica",IF(PERCENTRANK($X$2:$X$354,X5)&lt;Critérios!$B$6,"Sairia — terço inferior","Fica"))</f>
        <v>Fica</v>
      </c>
      <c r="AB5" s="12" t="s">
        <v>105</v>
      </c>
      <c r="AD5" s="15" t="s">
        <v>95</v>
      </c>
      <c r="AE5" s="16"/>
      <c r="AF5" s="12" t="s">
        <v>122</v>
      </c>
      <c r="AG5" s="12" t="s">
        <v>123</v>
      </c>
      <c r="AH5" s="12" t="n">
        <f aca="false">COUNT(G5,I5,K5)+COUNTA(Q5:V5)</f>
        <v>6</v>
      </c>
      <c r="AI5" s="12" t="str">
        <f aca="false">IF(AH5&gt;=3,"Sim","Não")</f>
        <v>Sim</v>
      </c>
      <c r="AJ5" s="12" t="str">
        <f aca="false">IF(AND(Z5&lt;&gt;"",Z5&lt;=Critérios!$B$9),"Sim","Não")</f>
        <v>Sim</v>
      </c>
    </row>
    <row r="6" customFormat="false" ht="15" hidden="false" customHeight="false" outlineLevel="0" collapsed="false">
      <c r="A6" s="12" t="s">
        <v>124</v>
      </c>
      <c r="B6" s="12" t="s">
        <v>125</v>
      </c>
      <c r="C6" s="12" t="s">
        <v>126</v>
      </c>
      <c r="D6" s="12" t="s">
        <v>127</v>
      </c>
      <c r="E6" s="12" t="s">
        <v>91</v>
      </c>
      <c r="F6" s="12" t="s">
        <v>128</v>
      </c>
      <c r="G6" s="17"/>
      <c r="H6" s="17"/>
      <c r="I6" s="17"/>
      <c r="K6" s="13" t="n">
        <v>1258464</v>
      </c>
      <c r="L6" s="12" t="n">
        <v>8.1</v>
      </c>
      <c r="M6" s="14" t="str">
        <f aca="false">IF(G6="","",PERCENTRANK($G$2:$G$354,G6))</f>
        <v/>
      </c>
      <c r="N6" s="14" t="str">
        <f aca="false">IF(I6="","",PERCENTRANK($I$2:$I$354,I6))</f>
        <v/>
      </c>
      <c r="O6" s="14" t="n">
        <f aca="false">IF(K6="","",PERCENTRANK($K$2:$K$354,K6))</f>
        <v>0.943</v>
      </c>
      <c r="P6" s="12" t="n">
        <f aca="false">COUNT(M6:O6)</f>
        <v>1</v>
      </c>
      <c r="R6" s="12" t="s">
        <v>129</v>
      </c>
      <c r="W6" s="12" t="n">
        <f aca="false">COUNTA(Q6:V6)</f>
        <v>1</v>
      </c>
      <c r="X6" s="14" t="n">
        <f aca="false">IF(P6=0,"",MIN(1,AVERAGE(M6:O6)+Critérios!$B$5*W6))</f>
        <v>0.973</v>
      </c>
      <c r="Y6" s="12" t="str">
        <f aca="false">IF(X6="","",IF(X6&gt;=Critérios!$B$7,"A",IF(X6&gt;=Critérios!$B$8,"B","C")))</f>
        <v>A</v>
      </c>
      <c r="Z6" s="12" t="n">
        <f aca="false">IF(X6="","",RANK(X6,$X$2:$X$354))</f>
        <v>5</v>
      </c>
      <c r="AA6" s="12" t="str">
        <f aca="false">IF(X6="","Sairia — sem métrica",IF(PERCENTRANK($X$2:$X$354,X6)&lt;Critérios!$B$6,"Sairia — terço inferior","Fica"))</f>
        <v>Fica</v>
      </c>
      <c r="AB6" s="12" t="s">
        <v>105</v>
      </c>
      <c r="AC6" s="12" t="s">
        <v>130</v>
      </c>
      <c r="AD6" s="15" t="s">
        <v>95</v>
      </c>
      <c r="AE6" s="16"/>
      <c r="AG6" s="12" t="s">
        <v>131</v>
      </c>
      <c r="AH6" s="12" t="n">
        <f aca="false">COUNT(G6,I6,K6)+COUNTA(Q6:V6)</f>
        <v>2</v>
      </c>
      <c r="AI6" s="12" t="str">
        <f aca="false">IF(AH6&gt;=3,"Sim","Não")</f>
        <v>Não</v>
      </c>
      <c r="AJ6" s="12" t="str">
        <f aca="false">IF(AND(Z6&lt;&gt;"",Z6&lt;=Critérios!$B$9),"Sim","Não")</f>
        <v>Sim</v>
      </c>
    </row>
    <row r="7" customFormat="false" ht="15" hidden="false" customHeight="false" outlineLevel="0" collapsed="false">
      <c r="A7" s="12" t="s">
        <v>132</v>
      </c>
      <c r="B7" s="12" t="s">
        <v>133</v>
      </c>
      <c r="C7" s="12" t="s">
        <v>133</v>
      </c>
      <c r="D7" s="12" t="s">
        <v>134</v>
      </c>
      <c r="E7" s="12" t="s">
        <v>91</v>
      </c>
      <c r="F7" s="12" t="s">
        <v>92</v>
      </c>
      <c r="G7" s="13" t="n">
        <v>9111628</v>
      </c>
      <c r="H7" s="13" t="n">
        <v>102346712</v>
      </c>
      <c r="I7" s="13" t="n">
        <v>2743577587</v>
      </c>
      <c r="J7" s="12" t="n">
        <v>1</v>
      </c>
      <c r="K7" s="13" t="n">
        <v>1518568</v>
      </c>
      <c r="L7" s="12" t="n">
        <v>7.9</v>
      </c>
      <c r="M7" s="14" t="n">
        <f aca="false">IF(G7="","",PERCENTRANK($G$2:$G$354,G7))</f>
        <v>0.944</v>
      </c>
      <c r="N7" s="14" t="n">
        <f aca="false">IF(I7="","",PERCENTRANK($I$2:$I$354,I7))</f>
        <v>0.996</v>
      </c>
      <c r="O7" s="14" t="n">
        <f aca="false">IF(K7="","",PERCENTRANK($K$2:$K$354,K7))</f>
        <v>0.969</v>
      </c>
      <c r="P7" s="12" t="n">
        <f aca="false">COUNT(M7:O7)</f>
        <v>3</v>
      </c>
      <c r="W7" s="12" t="n">
        <f aca="false">COUNTA(Q7:V7)</f>
        <v>0</v>
      </c>
      <c r="X7" s="14" t="n">
        <f aca="false">IF(P7=0,"",MIN(1,AVERAGE(M7:O7)+Critérios!$B$5*W7))</f>
        <v>0.969666666666667</v>
      </c>
      <c r="Y7" s="12" t="str">
        <f aca="false">IF(X7="","",IF(X7&gt;=Critérios!$B$7,"A",IF(X7&gt;=Critérios!$B$8,"B","C")))</f>
        <v>A</v>
      </c>
      <c r="Z7" s="12" t="n">
        <f aca="false">IF(X7="","",RANK(X7,$X$2:$X$354))</f>
        <v>6</v>
      </c>
      <c r="AA7" s="12" t="str">
        <f aca="false">IF(X7="","Sairia — sem métrica",IF(PERCENTRANK($X$2:$X$354,X7)&lt;Critérios!$B$6,"Sairia — terço inferior","Fica"))</f>
        <v>Fica</v>
      </c>
      <c r="AB7" s="12" t="s">
        <v>105</v>
      </c>
      <c r="AD7" s="15" t="s">
        <v>95</v>
      </c>
      <c r="AE7" s="16"/>
      <c r="AF7" s="12" t="s">
        <v>135</v>
      </c>
      <c r="AG7" s="12" t="s">
        <v>136</v>
      </c>
      <c r="AH7" s="12" t="n">
        <f aca="false">COUNT(G7,I7,K7)+COUNTA(Q7:V7)</f>
        <v>3</v>
      </c>
      <c r="AI7" s="12" t="str">
        <f aca="false">IF(AH7&gt;=3,"Sim","Não")</f>
        <v>Sim</v>
      </c>
      <c r="AJ7" s="12" t="str">
        <f aca="false">IF(AND(Z7&lt;&gt;"",Z7&lt;=Critérios!$B$9),"Sim","Não")</f>
        <v>Sim</v>
      </c>
    </row>
    <row r="8" customFormat="false" ht="15" hidden="false" customHeight="false" outlineLevel="0" collapsed="false">
      <c r="A8" s="12" t="s">
        <v>137</v>
      </c>
      <c r="B8" s="12" t="s">
        <v>138</v>
      </c>
      <c r="C8" s="12" t="s">
        <v>139</v>
      </c>
      <c r="D8" s="12" t="s">
        <v>140</v>
      </c>
      <c r="E8" s="12" t="s">
        <v>91</v>
      </c>
      <c r="F8" s="12" t="s">
        <v>92</v>
      </c>
      <c r="G8" s="13" t="n">
        <v>10911371</v>
      </c>
      <c r="H8" s="13" t="n">
        <v>129595590</v>
      </c>
      <c r="I8" s="13" t="n">
        <v>1518812988</v>
      </c>
      <c r="J8" s="12" t="n">
        <v>1</v>
      </c>
      <c r="K8" s="13" t="n">
        <v>1587532</v>
      </c>
      <c r="L8" s="12" t="n">
        <v>8</v>
      </c>
      <c r="M8" s="14" t="n">
        <f aca="false">IF(G8="","",PERCENTRANK($G$2:$G$354,G8))</f>
        <v>0.977</v>
      </c>
      <c r="N8" s="14" t="n">
        <f aca="false">IF(I8="","",PERCENTRANK($I$2:$I$354,I8))</f>
        <v>0.945</v>
      </c>
      <c r="O8" s="14" t="n">
        <f aca="false">IF(K8="","",PERCENTRANK($K$2:$K$354,K8))</f>
        <v>0.974</v>
      </c>
      <c r="P8" s="12" t="n">
        <f aca="false">COUNT(M8:O8)</f>
        <v>3</v>
      </c>
      <c r="W8" s="12" t="n">
        <f aca="false">COUNTA(Q8:V8)</f>
        <v>0</v>
      </c>
      <c r="X8" s="14" t="n">
        <f aca="false">IF(P8=0,"",MIN(1,AVERAGE(M8:O8)+Critérios!$B$5*W8))</f>
        <v>0.965333333333333</v>
      </c>
      <c r="Y8" s="12" t="str">
        <f aca="false">IF(X8="","",IF(X8&gt;=Critérios!$B$7,"A",IF(X8&gt;=Critérios!$B$8,"B","C")))</f>
        <v>A</v>
      </c>
      <c r="Z8" s="12" t="n">
        <f aca="false">IF(X8="","",RANK(X8,$X$2:$X$354))</f>
        <v>7</v>
      </c>
      <c r="AA8" s="12" t="str">
        <f aca="false">IF(X8="","Sairia — sem métrica",IF(PERCENTRANK($X$2:$X$354,X8)&lt;Critérios!$B$6,"Sairia — terço inferior","Fica"))</f>
        <v>Fica</v>
      </c>
      <c r="AB8" s="12" t="s">
        <v>94</v>
      </c>
      <c r="AD8" s="15" t="s">
        <v>95</v>
      </c>
      <c r="AE8" s="16"/>
      <c r="AF8" s="12" t="s">
        <v>141</v>
      </c>
      <c r="AG8" s="12" t="s">
        <v>142</v>
      </c>
      <c r="AH8" s="12" t="n">
        <f aca="false">COUNT(G8,I8,K8)+COUNTA(Q8:V8)</f>
        <v>3</v>
      </c>
      <c r="AI8" s="12" t="str">
        <f aca="false">IF(AH8&gt;=3,"Sim","Não")</f>
        <v>Sim</v>
      </c>
      <c r="AJ8" s="12" t="str">
        <f aca="false">IF(AND(Z8&lt;&gt;"",Z8&lt;=Critérios!$B$9),"Sim","Não")</f>
        <v>Sim</v>
      </c>
    </row>
    <row r="9" customFormat="false" ht="15" hidden="false" customHeight="false" outlineLevel="0" collapsed="false">
      <c r="A9" s="12" t="s">
        <v>143</v>
      </c>
      <c r="B9" s="12" t="s">
        <v>144</v>
      </c>
      <c r="C9" s="12" t="s">
        <v>145</v>
      </c>
      <c r="D9" s="12" t="s">
        <v>146</v>
      </c>
      <c r="E9" s="12" t="s">
        <v>91</v>
      </c>
      <c r="F9" s="12" t="s">
        <v>128</v>
      </c>
      <c r="G9" s="17"/>
      <c r="H9" s="17"/>
      <c r="I9" s="17"/>
      <c r="K9" s="13" t="n">
        <v>1217854</v>
      </c>
      <c r="L9" s="12" t="n">
        <v>8.2</v>
      </c>
      <c r="M9" s="14" t="str">
        <f aca="false">IF(G9="","",PERCENTRANK($G$2:$G$354,G9))</f>
        <v/>
      </c>
      <c r="N9" s="14" t="str">
        <f aca="false">IF(I9="","",PERCENTRANK($I$2:$I$354,I9))</f>
        <v/>
      </c>
      <c r="O9" s="14" t="n">
        <f aca="false">IF(K9="","",PERCENTRANK($K$2:$K$354,K9))</f>
        <v>0.935</v>
      </c>
      <c r="P9" s="12" t="n">
        <f aca="false">COUNT(M9:O9)</f>
        <v>1</v>
      </c>
      <c r="R9" s="12" t="s">
        <v>147</v>
      </c>
      <c r="W9" s="12" t="n">
        <f aca="false">COUNTA(Q9:V9)</f>
        <v>1</v>
      </c>
      <c r="X9" s="14" t="n">
        <f aca="false">IF(P9=0,"",MIN(1,AVERAGE(M9:O9)+Critérios!$B$5*W9))</f>
        <v>0.965</v>
      </c>
      <c r="Y9" s="12" t="str">
        <f aca="false">IF(X9="","",IF(X9&gt;=Critérios!$B$7,"A",IF(X9&gt;=Critérios!$B$8,"B","C")))</f>
        <v>A</v>
      </c>
      <c r="Z9" s="12" t="n">
        <f aca="false">IF(X9="","",RANK(X9,$X$2:$X$354))</f>
        <v>8</v>
      </c>
      <c r="AA9" s="12" t="str">
        <f aca="false">IF(X9="","Sairia — sem métrica",IF(PERCENTRANK($X$2:$X$354,X9)&lt;Critérios!$B$6,"Sairia — terço inferior","Fica"))</f>
        <v>Fica</v>
      </c>
      <c r="AB9" s="12" t="s">
        <v>105</v>
      </c>
      <c r="AC9" s="12" t="s">
        <v>130</v>
      </c>
      <c r="AD9" s="15" t="s">
        <v>95</v>
      </c>
      <c r="AE9" s="16"/>
      <c r="AG9" s="12" t="s">
        <v>148</v>
      </c>
      <c r="AH9" s="12" t="n">
        <f aca="false">COUNT(G9,I9,K9)+COUNTA(Q9:V9)</f>
        <v>2</v>
      </c>
      <c r="AI9" s="12" t="str">
        <f aca="false">IF(AH9&gt;=3,"Sim","Não")</f>
        <v>Não</v>
      </c>
      <c r="AJ9" s="12" t="str">
        <f aca="false">IF(AND(Z9&lt;&gt;"",Z9&lt;=Critérios!$B$9),"Sim","Não")</f>
        <v>Sim</v>
      </c>
    </row>
    <row r="10" customFormat="false" ht="15" hidden="false" customHeight="false" outlineLevel="0" collapsed="false">
      <c r="A10" s="12" t="s">
        <v>149</v>
      </c>
      <c r="B10" s="12" t="s">
        <v>150</v>
      </c>
      <c r="C10" s="12" t="s">
        <v>151</v>
      </c>
      <c r="D10" s="12" t="s">
        <v>152</v>
      </c>
      <c r="E10" s="12" t="s">
        <v>91</v>
      </c>
      <c r="F10" s="12" t="s">
        <v>128</v>
      </c>
      <c r="G10" s="17"/>
      <c r="H10" s="17"/>
      <c r="I10" s="17"/>
      <c r="K10" s="13" t="n">
        <v>1199281</v>
      </c>
      <c r="L10" s="12" t="n">
        <v>8.3</v>
      </c>
      <c r="M10" s="14" t="str">
        <f aca="false">IF(G10="","",PERCENTRANK($G$2:$G$354,G10))</f>
        <v/>
      </c>
      <c r="N10" s="14" t="str">
        <f aca="false">IF(I10="","",PERCENTRANK($I$2:$I$354,I10))</f>
        <v/>
      </c>
      <c r="O10" s="14" t="n">
        <f aca="false">IF(K10="","",PERCENTRANK($K$2:$K$354,K10))</f>
        <v>0.929</v>
      </c>
      <c r="P10" s="12" t="n">
        <f aca="false">COUNT(M10:O10)</f>
        <v>1</v>
      </c>
      <c r="R10" s="12" t="s">
        <v>153</v>
      </c>
      <c r="W10" s="12" t="n">
        <f aca="false">COUNTA(Q10:V10)</f>
        <v>1</v>
      </c>
      <c r="X10" s="14" t="n">
        <f aca="false">IF(P10=0,"",MIN(1,AVERAGE(M10:O10)+Critérios!$B$5*W10))</f>
        <v>0.959</v>
      </c>
      <c r="Y10" s="12" t="str">
        <f aca="false">IF(X10="","",IF(X10&gt;=Critérios!$B$7,"A",IF(X10&gt;=Critérios!$B$8,"B","C")))</f>
        <v>A</v>
      </c>
      <c r="Z10" s="12" t="n">
        <f aca="false">IF(X10="","",RANK(X10,$X$2:$X$354))</f>
        <v>9</v>
      </c>
      <c r="AA10" s="12" t="str">
        <f aca="false">IF(X10="","Sairia — sem métrica",IF(PERCENTRANK($X$2:$X$354,X10)&lt;Critérios!$B$6,"Sairia — terço inferior","Fica"))</f>
        <v>Fica</v>
      </c>
      <c r="AB10" s="12" t="s">
        <v>105</v>
      </c>
      <c r="AC10" s="12" t="s">
        <v>130</v>
      </c>
      <c r="AD10" s="15" t="s">
        <v>95</v>
      </c>
      <c r="AE10" s="16"/>
      <c r="AG10" s="12" t="s">
        <v>154</v>
      </c>
      <c r="AH10" s="12" t="n">
        <f aca="false">COUNT(G10,I10,K10)+COUNTA(Q10:V10)</f>
        <v>2</v>
      </c>
      <c r="AI10" s="12" t="str">
        <f aca="false">IF(AH10&gt;=3,"Sim","Não")</f>
        <v>Não</v>
      </c>
      <c r="AJ10" s="12" t="str">
        <f aca="false">IF(AND(Z10&lt;&gt;"",Z10&lt;=Critérios!$B$9),"Sim","Não")</f>
        <v>Sim</v>
      </c>
    </row>
    <row r="11" customFormat="false" ht="15" hidden="false" customHeight="false" outlineLevel="0" collapsed="false">
      <c r="A11" s="12" t="s">
        <v>155</v>
      </c>
      <c r="B11" s="12" t="s">
        <v>156</v>
      </c>
      <c r="C11" s="12" t="s">
        <v>157</v>
      </c>
      <c r="D11" s="12" t="s">
        <v>158</v>
      </c>
      <c r="E11" s="12" t="s">
        <v>91</v>
      </c>
      <c r="F11" s="12" t="s">
        <v>128</v>
      </c>
      <c r="G11" s="17"/>
      <c r="H11" s="17"/>
      <c r="I11" s="17"/>
      <c r="K11" s="13" t="n">
        <v>1191566</v>
      </c>
      <c r="L11" s="12" t="n">
        <v>8.1</v>
      </c>
      <c r="M11" s="14" t="str">
        <f aca="false">IF(G11="","",PERCENTRANK($G$2:$G$354,G11))</f>
        <v/>
      </c>
      <c r="N11" s="14" t="str">
        <f aca="false">IF(I11="","",PERCENTRANK($I$2:$I$354,I11))</f>
        <v/>
      </c>
      <c r="O11" s="14" t="n">
        <f aca="false">IF(K11="","",PERCENTRANK($K$2:$K$354,K11))</f>
        <v>0.926</v>
      </c>
      <c r="P11" s="12" t="n">
        <f aca="false">COUNT(M11:O11)</f>
        <v>1</v>
      </c>
      <c r="R11" s="12" t="s">
        <v>159</v>
      </c>
      <c r="W11" s="12" t="n">
        <f aca="false">COUNTA(Q11:V11)</f>
        <v>1</v>
      </c>
      <c r="X11" s="14" t="n">
        <f aca="false">IF(P11=0,"",MIN(1,AVERAGE(M11:O11)+Critérios!$B$5*W11))</f>
        <v>0.956</v>
      </c>
      <c r="Y11" s="12" t="str">
        <f aca="false">IF(X11="","",IF(X11&gt;=Critérios!$B$7,"A",IF(X11&gt;=Critérios!$B$8,"B","C")))</f>
        <v>A</v>
      </c>
      <c r="Z11" s="12" t="n">
        <f aca="false">IF(X11="","",RANK(X11,$X$2:$X$354))</f>
        <v>10</v>
      </c>
      <c r="AA11" s="12" t="str">
        <f aca="false">IF(X11="","Sairia — sem métrica",IF(PERCENTRANK($X$2:$X$354,X11)&lt;Critérios!$B$6,"Sairia — terço inferior","Fica"))</f>
        <v>Fica</v>
      </c>
      <c r="AB11" s="12" t="s">
        <v>105</v>
      </c>
      <c r="AC11" s="12" t="s">
        <v>130</v>
      </c>
      <c r="AD11" s="15" t="s">
        <v>95</v>
      </c>
      <c r="AE11" s="16"/>
      <c r="AG11" s="12" t="s">
        <v>160</v>
      </c>
      <c r="AH11" s="12" t="n">
        <f aca="false">COUNT(G11,I11,K11)+COUNTA(Q11:V11)</f>
        <v>2</v>
      </c>
      <c r="AI11" s="12" t="str">
        <f aca="false">IF(AH11&gt;=3,"Sim","Não")</f>
        <v>Não</v>
      </c>
      <c r="AJ11" s="12" t="str">
        <f aca="false">IF(AND(Z11&lt;&gt;"",Z11&lt;=Critérios!$B$9),"Sim","Não")</f>
        <v>Sim</v>
      </c>
    </row>
    <row r="12" customFormat="false" ht="15" hidden="false" customHeight="false" outlineLevel="0" collapsed="false">
      <c r="A12" s="12" t="s">
        <v>161</v>
      </c>
      <c r="B12" s="12" t="s">
        <v>162</v>
      </c>
      <c r="C12" s="12" t="s">
        <v>163</v>
      </c>
      <c r="D12" s="12" t="s">
        <v>90</v>
      </c>
      <c r="E12" s="12" t="s">
        <v>91</v>
      </c>
      <c r="F12" s="12" t="s">
        <v>92</v>
      </c>
      <c r="G12" s="13" t="n">
        <v>9766507</v>
      </c>
      <c r="H12" s="13" t="n">
        <v>157153605</v>
      </c>
      <c r="I12" s="13" t="n">
        <v>1079751311</v>
      </c>
      <c r="J12" s="12" t="n">
        <v>6</v>
      </c>
      <c r="K12" s="13" t="n">
        <v>1730798</v>
      </c>
      <c r="L12" s="12" t="n">
        <v>8.3</v>
      </c>
      <c r="M12" s="14" t="n">
        <f aca="false">IF(G12="","",PERCENTRANK($G$2:$G$354,G12))</f>
        <v>0.958</v>
      </c>
      <c r="N12" s="14" t="n">
        <f aca="false">IF(I12="","",PERCENTRANK($I$2:$I$354,I12))</f>
        <v>0.822</v>
      </c>
      <c r="O12" s="14" t="n">
        <f aca="false">IF(K12="","",PERCENTRANK($K$2:$K$354,K12))</f>
        <v>0.977</v>
      </c>
      <c r="P12" s="12" t="n">
        <f aca="false">COUNT(M12:O12)</f>
        <v>3</v>
      </c>
      <c r="Q12" s="12" t="s">
        <v>164</v>
      </c>
      <c r="W12" s="12" t="n">
        <f aca="false">COUNTA(Q12:V12)</f>
        <v>1</v>
      </c>
      <c r="X12" s="14" t="n">
        <f aca="false">IF(P12=0,"",MIN(1,AVERAGE(M12:O12)+Critérios!$B$5*W12))</f>
        <v>0.949</v>
      </c>
      <c r="Y12" s="12" t="str">
        <f aca="false">IF(X12="","",IF(X12&gt;=Critérios!$B$7,"A",IF(X12&gt;=Critérios!$B$8,"B","C")))</f>
        <v>A</v>
      </c>
      <c r="Z12" s="12" t="n">
        <f aca="false">IF(X12="","",RANK(X12,$X$2:$X$354))</f>
        <v>11</v>
      </c>
      <c r="AA12" s="12" t="str">
        <f aca="false">IF(X12="","Sairia — sem métrica",IF(PERCENTRANK($X$2:$X$354,X12)&lt;Critérios!$B$6,"Sairia — terço inferior","Fica"))</f>
        <v>Fica</v>
      </c>
      <c r="AB12" s="12" t="s">
        <v>105</v>
      </c>
      <c r="AD12" s="15" t="s">
        <v>95</v>
      </c>
      <c r="AE12" s="16"/>
      <c r="AF12" s="12" t="s">
        <v>96</v>
      </c>
      <c r="AG12" s="12" t="s">
        <v>165</v>
      </c>
      <c r="AH12" s="12" t="n">
        <f aca="false">COUNT(G12,I12,K12)+COUNTA(Q12:V12)</f>
        <v>4</v>
      </c>
      <c r="AI12" s="12" t="str">
        <f aca="false">IF(AH12&gt;=3,"Sim","Não")</f>
        <v>Sim</v>
      </c>
      <c r="AJ12" s="12" t="str">
        <f aca="false">IF(AND(Z12&lt;&gt;"",Z12&lt;=Critérios!$B$9),"Sim","Não")</f>
        <v>Sim</v>
      </c>
    </row>
    <row r="13" customFormat="false" ht="15" hidden="false" customHeight="false" outlineLevel="0" collapsed="false">
      <c r="A13" s="12" t="s">
        <v>166</v>
      </c>
      <c r="B13" s="12" t="s">
        <v>167</v>
      </c>
      <c r="C13" s="12" t="s">
        <v>168</v>
      </c>
      <c r="D13" s="12" t="s">
        <v>90</v>
      </c>
      <c r="E13" s="12" t="s">
        <v>91</v>
      </c>
      <c r="F13" s="12" t="s">
        <v>169</v>
      </c>
      <c r="G13" s="17"/>
      <c r="H13" s="17"/>
      <c r="I13" s="17"/>
      <c r="K13" s="13" t="n">
        <v>982180</v>
      </c>
      <c r="L13" s="12" t="n">
        <v>7.6</v>
      </c>
      <c r="M13" s="14" t="str">
        <f aca="false">IF(G13="","",PERCENTRANK($G$2:$G$354,G13))</f>
        <v/>
      </c>
      <c r="N13" s="14" t="str">
        <f aca="false">IF(I13="","",PERCENTRANK($I$2:$I$354,I13))</f>
        <v/>
      </c>
      <c r="O13" s="14" t="n">
        <f aca="false">IF(K13="","",PERCENTRANK($K$2:$K$354,K13))</f>
        <v>0.881</v>
      </c>
      <c r="P13" s="12" t="n">
        <f aca="false">COUNT(M13:O13)</f>
        <v>1</v>
      </c>
      <c r="Q13" s="12" t="s">
        <v>170</v>
      </c>
      <c r="R13" s="12" t="s">
        <v>171</v>
      </c>
      <c r="W13" s="12" t="n">
        <f aca="false">COUNTA(Q13:V13)</f>
        <v>2</v>
      </c>
      <c r="X13" s="14" t="n">
        <f aca="false">IF(P13=0,"",MIN(1,AVERAGE(M13:O13)+Critérios!$B$5*W13))</f>
        <v>0.941</v>
      </c>
      <c r="Y13" s="12" t="str">
        <f aca="false">IF(X13="","",IF(X13&gt;=Critérios!$B$7,"A",IF(X13&gt;=Critérios!$B$8,"B","C")))</f>
        <v>A</v>
      </c>
      <c r="Z13" s="12" t="n">
        <f aca="false">IF(X13="","",RANK(X13,$X$2:$X$354))</f>
        <v>12</v>
      </c>
      <c r="AA13" s="12" t="str">
        <f aca="false">IF(X13="","Sairia — sem métrica",IF(PERCENTRANK($X$2:$X$354,X13)&lt;Critérios!$B$6,"Sairia — terço inferior","Fica"))</f>
        <v>Fica</v>
      </c>
      <c r="AB13" s="12" t="s">
        <v>105</v>
      </c>
      <c r="AD13" s="15" t="s">
        <v>95</v>
      </c>
      <c r="AE13" s="16"/>
      <c r="AG13" s="12" t="s">
        <v>172</v>
      </c>
      <c r="AH13" s="12" t="n">
        <f aca="false">COUNT(G13,I13,K13)+COUNTA(Q13:V13)</f>
        <v>3</v>
      </c>
      <c r="AI13" s="12" t="str">
        <f aca="false">IF(AH13&gt;=3,"Sim","Não")</f>
        <v>Sim</v>
      </c>
      <c r="AJ13" s="12" t="str">
        <f aca="false">IF(AND(Z13&lt;&gt;"",Z13&lt;=Critérios!$B$9),"Sim","Não")</f>
        <v>Sim</v>
      </c>
    </row>
    <row r="14" customFormat="false" ht="15" hidden="false" customHeight="false" outlineLevel="0" collapsed="false">
      <c r="A14" s="12" t="s">
        <v>173</v>
      </c>
      <c r="B14" s="12" t="s">
        <v>174</v>
      </c>
      <c r="C14" s="12" t="s">
        <v>174</v>
      </c>
      <c r="D14" s="12" t="s">
        <v>175</v>
      </c>
      <c r="E14" s="12" t="s">
        <v>91</v>
      </c>
      <c r="F14" s="12" t="s">
        <v>92</v>
      </c>
      <c r="G14" s="13" t="n">
        <v>10679592</v>
      </c>
      <c r="H14" s="13" t="n">
        <v>207205705</v>
      </c>
      <c r="I14" s="13" t="n">
        <v>1448232531</v>
      </c>
      <c r="J14" s="12" t="n">
        <v>1</v>
      </c>
      <c r="K14" s="13" t="n">
        <v>708172</v>
      </c>
      <c r="L14" s="12" t="n">
        <v>6.8</v>
      </c>
      <c r="M14" s="14" t="n">
        <f aca="false">IF(G14="","",PERCENTRANK($G$2:$G$354,G14))</f>
        <v>0.974</v>
      </c>
      <c r="N14" s="14" t="n">
        <f aca="false">IF(I14="","",PERCENTRANK($I$2:$I$354,I14))</f>
        <v>0.924</v>
      </c>
      <c r="O14" s="14" t="n">
        <f aca="false">IF(K14="","",PERCENTRANK($K$2:$K$354,K14))</f>
        <v>0.727</v>
      </c>
      <c r="P14" s="12" t="n">
        <f aca="false">COUNT(M14:O14)</f>
        <v>3</v>
      </c>
      <c r="Q14" s="12" t="s">
        <v>176</v>
      </c>
      <c r="U14" s="12" t="s">
        <v>177</v>
      </c>
      <c r="W14" s="12" t="n">
        <f aca="false">COUNTA(Q14:V14)</f>
        <v>2</v>
      </c>
      <c r="X14" s="14" t="n">
        <f aca="false">IF(P14=0,"",MIN(1,AVERAGE(M14:O14)+Critérios!$B$5*W14))</f>
        <v>0.935</v>
      </c>
      <c r="Y14" s="12" t="str">
        <f aca="false">IF(X14="","",IF(X14&gt;=Critérios!$B$7,"A",IF(X14&gt;=Critérios!$B$8,"B","C")))</f>
        <v>A</v>
      </c>
      <c r="Z14" s="12" t="n">
        <f aca="false">IF(X14="","",RANK(X14,$X$2:$X$354))</f>
        <v>13</v>
      </c>
      <c r="AA14" s="12" t="str">
        <f aca="false">IF(X14="","Sairia — sem métrica",IF(PERCENTRANK($X$2:$X$354,X14)&lt;Critérios!$B$6,"Sairia — terço inferior","Fica"))</f>
        <v>Fica</v>
      </c>
      <c r="AB14" s="12" t="s">
        <v>105</v>
      </c>
      <c r="AD14" s="15" t="s">
        <v>95</v>
      </c>
      <c r="AE14" s="16"/>
      <c r="AF14" s="12" t="s">
        <v>178</v>
      </c>
      <c r="AG14" s="12" t="s">
        <v>179</v>
      </c>
      <c r="AH14" s="12" t="n">
        <f aca="false">COUNT(G14,I14,K14)+COUNTA(Q14:V14)</f>
        <v>5</v>
      </c>
      <c r="AI14" s="12" t="str">
        <f aca="false">IF(AH14&gt;=3,"Sim","Não")</f>
        <v>Sim</v>
      </c>
      <c r="AJ14" s="12" t="str">
        <f aca="false">IF(AND(Z14&lt;&gt;"",Z14&lt;=Critérios!$B$9),"Sim","Não")</f>
        <v>Sim</v>
      </c>
    </row>
    <row r="15" customFormat="false" ht="15" hidden="false" customHeight="false" outlineLevel="0" collapsed="false">
      <c r="A15" s="12" t="s">
        <v>180</v>
      </c>
      <c r="B15" s="12" t="s">
        <v>181</v>
      </c>
      <c r="C15" s="12" t="s">
        <v>182</v>
      </c>
      <c r="D15" s="12" t="s">
        <v>183</v>
      </c>
      <c r="E15" s="12" t="s">
        <v>91</v>
      </c>
      <c r="F15" s="12" t="s">
        <v>92</v>
      </c>
      <c r="G15" s="13" t="n">
        <v>10130740</v>
      </c>
      <c r="H15" s="13" t="n">
        <v>146203313</v>
      </c>
      <c r="I15" s="13" t="n">
        <v>1402809540</v>
      </c>
      <c r="J15" s="12" t="n">
        <v>4</v>
      </c>
      <c r="K15" s="13" t="n">
        <v>1026043</v>
      </c>
      <c r="L15" s="12" t="n">
        <v>7.3</v>
      </c>
      <c r="M15" s="14" t="n">
        <f aca="false">IF(G15="","",PERCENTRANK($G$2:$G$354,G15))</f>
        <v>0.967</v>
      </c>
      <c r="N15" s="14" t="n">
        <f aca="false">IF(I15="","",PERCENTRANK($I$2:$I$354,I15))</f>
        <v>0.919</v>
      </c>
      <c r="O15" s="14" t="n">
        <f aca="false">IF(K15="","",PERCENTRANK($K$2:$K$354,K15))</f>
        <v>0.901</v>
      </c>
      <c r="P15" s="12" t="n">
        <f aca="false">COUNT(M15:O15)</f>
        <v>3</v>
      </c>
      <c r="W15" s="12" t="n">
        <f aca="false">COUNTA(Q15:V15)</f>
        <v>0</v>
      </c>
      <c r="X15" s="14" t="n">
        <f aca="false">IF(P15=0,"",MIN(1,AVERAGE(M15:O15)+Critérios!$B$5*W15))</f>
        <v>0.929</v>
      </c>
      <c r="Y15" s="12" t="str">
        <f aca="false">IF(X15="","",IF(X15&gt;=Critérios!$B$7,"A",IF(X15&gt;=Critérios!$B$8,"B","C")))</f>
        <v>A</v>
      </c>
      <c r="Z15" s="12" t="n">
        <f aca="false">IF(X15="","",RANK(X15,$X$2:$X$354))</f>
        <v>14</v>
      </c>
      <c r="AA15" s="12" t="str">
        <f aca="false">IF(X15="","Sairia — sem métrica",IF(PERCENTRANK($X$2:$X$354,X15)&lt;Critérios!$B$6,"Sairia — terço inferior","Fica"))</f>
        <v>Fica</v>
      </c>
      <c r="AB15" s="12" t="s">
        <v>94</v>
      </c>
      <c r="AD15" s="15" t="s">
        <v>95</v>
      </c>
      <c r="AE15" s="16"/>
      <c r="AF15" s="12" t="s">
        <v>184</v>
      </c>
      <c r="AG15" s="12" t="s">
        <v>185</v>
      </c>
      <c r="AH15" s="12" t="n">
        <f aca="false">COUNT(G15,I15,K15)+COUNTA(Q15:V15)</f>
        <v>3</v>
      </c>
      <c r="AI15" s="12" t="str">
        <f aca="false">IF(AH15&gt;=3,"Sim","Não")</f>
        <v>Sim</v>
      </c>
      <c r="AJ15" s="12" t="str">
        <f aca="false">IF(AND(Z15&lt;&gt;"",Z15&lt;=Critérios!$B$9),"Sim","Não")</f>
        <v>Sim</v>
      </c>
    </row>
    <row r="16" customFormat="false" ht="15" hidden="false" customHeight="false" outlineLevel="0" collapsed="false">
      <c r="A16" s="12" t="s">
        <v>186</v>
      </c>
      <c r="B16" s="12" t="s">
        <v>187</v>
      </c>
      <c r="C16" s="12" t="s">
        <v>188</v>
      </c>
      <c r="D16" s="12" t="s">
        <v>189</v>
      </c>
      <c r="E16" s="12" t="s">
        <v>91</v>
      </c>
      <c r="F16" s="12" t="s">
        <v>92</v>
      </c>
      <c r="G16" s="13" t="n">
        <v>9617668</v>
      </c>
      <c r="H16" s="13" t="n">
        <v>143337776</v>
      </c>
      <c r="I16" s="13" t="n">
        <v>1153296293</v>
      </c>
      <c r="J16" s="12" t="n">
        <v>1</v>
      </c>
      <c r="K16" s="13" t="n">
        <v>953097</v>
      </c>
      <c r="L16" s="12" t="n">
        <v>7.8</v>
      </c>
      <c r="M16" s="14" t="n">
        <f aca="false">IF(G16="","",PERCENTRANK($G$2:$G$354,G16))</f>
        <v>0.954</v>
      </c>
      <c r="N16" s="14" t="n">
        <f aca="false">IF(I16="","",PERCENTRANK($I$2:$I$354,I16))</f>
        <v>0.864</v>
      </c>
      <c r="O16" s="14" t="n">
        <f aca="false">IF(K16="","",PERCENTRANK($K$2:$K$354,K16))</f>
        <v>0.866</v>
      </c>
      <c r="P16" s="12" t="n">
        <f aca="false">COUNT(M16:O16)</f>
        <v>3</v>
      </c>
      <c r="Q16" s="12" t="s">
        <v>190</v>
      </c>
      <c r="W16" s="12" t="n">
        <f aca="false">COUNTA(Q16:V16)</f>
        <v>1</v>
      </c>
      <c r="X16" s="14" t="n">
        <f aca="false">IF(P16=0,"",MIN(1,AVERAGE(M16:O16)+Critérios!$B$5*W16))</f>
        <v>0.924666666666667</v>
      </c>
      <c r="Y16" s="12" t="str">
        <f aca="false">IF(X16="","",IF(X16&gt;=Critérios!$B$7,"A",IF(X16&gt;=Critérios!$B$8,"B","C")))</f>
        <v>A</v>
      </c>
      <c r="Z16" s="12" t="n">
        <f aca="false">IF(X16="","",RANK(X16,$X$2:$X$354))</f>
        <v>15</v>
      </c>
      <c r="AA16" s="12" t="str">
        <f aca="false">IF(X16="","Sairia — sem métrica",IF(PERCENTRANK($X$2:$X$354,X16)&lt;Critérios!$B$6,"Sairia — terço inferior","Fica"))</f>
        <v>Fica</v>
      </c>
      <c r="AB16" s="12" t="s">
        <v>105</v>
      </c>
      <c r="AD16" s="15" t="s">
        <v>95</v>
      </c>
      <c r="AE16" s="16"/>
      <c r="AF16" s="12" t="s">
        <v>191</v>
      </c>
      <c r="AG16" s="12" t="s">
        <v>192</v>
      </c>
      <c r="AH16" s="12" t="n">
        <f aca="false">COUNT(G16,I16,K16)+COUNTA(Q16:V16)</f>
        <v>4</v>
      </c>
      <c r="AI16" s="12" t="str">
        <f aca="false">IF(AH16&gt;=3,"Sim","Não")</f>
        <v>Sim</v>
      </c>
      <c r="AJ16" s="12" t="str">
        <f aca="false">IF(AND(Z16&lt;&gt;"",Z16&lt;=Critérios!$B$9),"Sim","Não")</f>
        <v>Sim</v>
      </c>
    </row>
    <row r="17" customFormat="false" ht="15" hidden="false" customHeight="false" outlineLevel="0" collapsed="false">
      <c r="A17" s="12" t="s">
        <v>193</v>
      </c>
      <c r="B17" s="12" t="s">
        <v>194</v>
      </c>
      <c r="C17" s="12" t="s">
        <v>195</v>
      </c>
      <c r="D17" s="12" t="s">
        <v>111</v>
      </c>
      <c r="E17" s="12" t="s">
        <v>91</v>
      </c>
      <c r="F17" s="12" t="s">
        <v>92</v>
      </c>
      <c r="G17" s="13" t="n">
        <v>7438252</v>
      </c>
      <c r="H17" s="13" t="n">
        <v>120998283</v>
      </c>
      <c r="I17" s="13" t="n">
        <v>1347597973</v>
      </c>
      <c r="J17" s="12" t="n">
        <v>2</v>
      </c>
      <c r="K17" s="13" t="n">
        <v>929481</v>
      </c>
      <c r="L17" s="12" t="n">
        <v>7.3</v>
      </c>
      <c r="M17" s="14" t="n">
        <f aca="false">IF(G17="","",PERCENTRANK($G$2:$G$354,G17))</f>
        <v>0.873</v>
      </c>
      <c r="N17" s="14" t="n">
        <f aca="false">IF(I17="","",PERCENTRANK($I$2:$I$354,I17))</f>
        <v>0.911</v>
      </c>
      <c r="O17" s="14" t="n">
        <f aca="false">IF(K17="","",PERCENTRANK($K$2:$K$354,K17))</f>
        <v>0.849</v>
      </c>
      <c r="P17" s="12" t="n">
        <f aca="false">COUNT(M17:O17)</f>
        <v>3</v>
      </c>
      <c r="Q17" s="12" t="s">
        <v>196</v>
      </c>
      <c r="W17" s="12" t="n">
        <f aca="false">COUNTA(Q17:V17)</f>
        <v>1</v>
      </c>
      <c r="X17" s="14" t="n">
        <f aca="false">IF(P17=0,"",MIN(1,AVERAGE(M17:O17)+Critérios!$B$5*W17))</f>
        <v>0.907666666666667</v>
      </c>
      <c r="Y17" s="12" t="str">
        <f aca="false">IF(X17="","",IF(X17&gt;=Critérios!$B$7,"A",IF(X17&gt;=Critérios!$B$8,"B","C")))</f>
        <v>A</v>
      </c>
      <c r="Z17" s="12" t="n">
        <f aca="false">IF(X17="","",RANK(X17,$X$2:$X$354))</f>
        <v>16</v>
      </c>
      <c r="AA17" s="12" t="str">
        <f aca="false">IF(X17="","Sairia — sem métrica",IF(PERCENTRANK($X$2:$X$354,X17)&lt;Critérios!$B$6,"Sairia — terço inferior","Fica"))</f>
        <v>Fica</v>
      </c>
      <c r="AB17" s="12" t="s">
        <v>105</v>
      </c>
      <c r="AD17" s="15" t="s">
        <v>95</v>
      </c>
      <c r="AE17" s="16"/>
      <c r="AF17" s="12" t="s">
        <v>197</v>
      </c>
      <c r="AG17" s="12" t="s">
        <v>198</v>
      </c>
      <c r="AH17" s="12" t="n">
        <f aca="false">COUNT(G17,I17,K17)+COUNTA(Q17:V17)</f>
        <v>4</v>
      </c>
      <c r="AI17" s="12" t="str">
        <f aca="false">IF(AH17&gt;=3,"Sim","Não")</f>
        <v>Sim</v>
      </c>
      <c r="AJ17" s="12" t="str">
        <f aca="false">IF(AND(Z17&lt;&gt;"",Z17&lt;=Critérios!$B$9),"Sim","Não")</f>
        <v>Sim</v>
      </c>
    </row>
    <row r="18" customFormat="false" ht="15" hidden="false" customHeight="false" outlineLevel="0" collapsed="false">
      <c r="A18" s="12" t="s">
        <v>199</v>
      </c>
      <c r="B18" s="12" t="s">
        <v>200</v>
      </c>
      <c r="C18" s="12" t="s">
        <v>201</v>
      </c>
      <c r="D18" s="12" t="s">
        <v>202</v>
      </c>
      <c r="E18" s="12" t="s">
        <v>91</v>
      </c>
      <c r="F18" s="12" t="s">
        <v>92</v>
      </c>
      <c r="G18" s="13" t="n">
        <v>7633472</v>
      </c>
      <c r="H18" s="13" t="n">
        <v>96488326</v>
      </c>
      <c r="I18" s="13" t="n">
        <v>1214811252</v>
      </c>
      <c r="J18" s="12" t="n">
        <v>2</v>
      </c>
      <c r="K18" s="13" t="n">
        <v>987286</v>
      </c>
      <c r="L18" s="12" t="n">
        <v>7.1</v>
      </c>
      <c r="M18" s="14" t="n">
        <f aca="false">IF(G18="","",PERCENTRANK($G$2:$G$354,G18))</f>
        <v>0.879</v>
      </c>
      <c r="N18" s="14" t="n">
        <f aca="false">IF(I18="","",PERCENTRANK($I$2:$I$354,I18))</f>
        <v>0.873</v>
      </c>
      <c r="O18" s="14" t="n">
        <f aca="false">IF(K18="","",PERCENTRANK($K$2:$K$354,K18))</f>
        <v>0.886</v>
      </c>
      <c r="P18" s="12" t="n">
        <f aca="false">COUNT(M18:O18)</f>
        <v>3</v>
      </c>
      <c r="W18" s="12" t="n">
        <f aca="false">COUNTA(Q18:V18)</f>
        <v>0</v>
      </c>
      <c r="X18" s="14" t="n">
        <f aca="false">IF(P18=0,"",MIN(1,AVERAGE(M18:O18)+Critérios!$B$5*W18))</f>
        <v>0.879333333333333</v>
      </c>
      <c r="Y18" s="12" t="str">
        <f aca="false">IF(X18="","",IF(X18&gt;=Critérios!$B$7,"A",IF(X18&gt;=Critérios!$B$8,"B","C")))</f>
        <v>A</v>
      </c>
      <c r="Z18" s="12" t="n">
        <f aca="false">IF(X18="","",RANK(X18,$X$2:$X$354))</f>
        <v>17</v>
      </c>
      <c r="AA18" s="12" t="str">
        <f aca="false">IF(X18="","Sairia — sem métrica",IF(PERCENTRANK($X$2:$X$354,X18)&lt;Critérios!$B$6,"Sairia — terço inferior","Fica"))</f>
        <v>Fica</v>
      </c>
      <c r="AB18" s="12" t="s">
        <v>105</v>
      </c>
      <c r="AD18" s="15" t="s">
        <v>95</v>
      </c>
      <c r="AE18" s="16"/>
      <c r="AF18" s="12" t="s">
        <v>203</v>
      </c>
      <c r="AG18" s="12" t="s">
        <v>204</v>
      </c>
      <c r="AH18" s="12" t="n">
        <f aca="false">COUNT(G18,I18,K18)+COUNTA(Q18:V18)</f>
        <v>3</v>
      </c>
      <c r="AI18" s="12" t="str">
        <f aca="false">IF(AH18&gt;=3,"Sim","Não")</f>
        <v>Sim</v>
      </c>
      <c r="AJ18" s="12" t="str">
        <f aca="false">IF(AND(Z18&lt;&gt;"",Z18&lt;=Critérios!$B$9),"Sim","Não")</f>
        <v>Sim</v>
      </c>
    </row>
    <row r="19" customFormat="false" ht="15" hidden="false" customHeight="false" outlineLevel="0" collapsed="false">
      <c r="A19" s="12" t="s">
        <v>205</v>
      </c>
      <c r="B19" s="12" t="s">
        <v>206</v>
      </c>
      <c r="C19" s="12"/>
      <c r="D19" s="12" t="s">
        <v>207</v>
      </c>
      <c r="E19" s="12" t="s">
        <v>91</v>
      </c>
      <c r="F19" s="12" t="s">
        <v>92</v>
      </c>
      <c r="G19" s="13" t="n">
        <v>6400985</v>
      </c>
      <c r="H19" s="13" t="n">
        <v>91260487</v>
      </c>
      <c r="I19" s="17"/>
      <c r="K19" s="13" t="n">
        <v>943654</v>
      </c>
      <c r="L19" s="12" t="n">
        <v>8.1</v>
      </c>
      <c r="M19" s="14" t="n">
        <f aca="false">IF(G19="","",PERCENTRANK($G$2:$G$354,G19))</f>
        <v>0.83</v>
      </c>
      <c r="N19" s="14" t="str">
        <f aca="false">IF(I19="","",PERCENTRANK($I$2:$I$354,I19))</f>
        <v/>
      </c>
      <c r="O19" s="14" t="n">
        <f aca="false">IF(K19="","",PERCENTRANK($K$2:$K$354,K19))</f>
        <v>0.861</v>
      </c>
      <c r="P19" s="12" t="n">
        <f aca="false">COUNT(M19:O19)</f>
        <v>2</v>
      </c>
      <c r="Q19" s="12" t="s">
        <v>208</v>
      </c>
      <c r="W19" s="12" t="n">
        <f aca="false">COUNTA(Q19:V19)</f>
        <v>1</v>
      </c>
      <c r="X19" s="14" t="n">
        <f aca="false">IF(P19=0,"",MIN(1,AVERAGE(M19:O19)+Critérios!$B$5*W19))</f>
        <v>0.8755</v>
      </c>
      <c r="Y19" s="12" t="str">
        <f aca="false">IF(X19="","",IF(X19&gt;=Critérios!$B$7,"A",IF(X19&gt;=Critérios!$B$8,"B","C")))</f>
        <v>A</v>
      </c>
      <c r="Z19" s="12" t="n">
        <f aca="false">IF(X19="","",RANK(X19,$X$2:$X$354))</f>
        <v>18</v>
      </c>
      <c r="AA19" s="12" t="str">
        <f aca="false">IF(X19="","Sairia — sem métrica",IF(PERCENTRANK($X$2:$X$354,X19)&lt;Critérios!$B$6,"Sairia — terço inferior","Fica"))</f>
        <v>Fica</v>
      </c>
      <c r="AB19" s="12" t="s">
        <v>105</v>
      </c>
      <c r="AD19" s="15" t="s">
        <v>95</v>
      </c>
      <c r="AE19" s="16"/>
      <c r="AF19" s="12" t="s">
        <v>209</v>
      </c>
      <c r="AG19" s="12" t="s">
        <v>210</v>
      </c>
      <c r="AH19" s="12" t="n">
        <f aca="false">COUNT(G19,I19,K19)+COUNTA(Q19:V19)</f>
        <v>3</v>
      </c>
      <c r="AI19" s="12" t="str">
        <f aca="false">IF(AH19&gt;=3,"Sim","Não")</f>
        <v>Sim</v>
      </c>
      <c r="AJ19" s="12" t="str">
        <f aca="false">IF(AND(Z19&lt;&gt;"",Z19&lt;=Critérios!$B$9),"Sim","Não")</f>
        <v>Sim</v>
      </c>
    </row>
    <row r="20" customFormat="false" ht="15" hidden="false" customHeight="false" outlineLevel="0" collapsed="false">
      <c r="A20" s="12" t="s">
        <v>211</v>
      </c>
      <c r="B20" s="12" t="s">
        <v>212</v>
      </c>
      <c r="C20" s="12" t="s">
        <v>213</v>
      </c>
      <c r="D20" s="12" t="s">
        <v>214</v>
      </c>
      <c r="E20" s="12" t="s">
        <v>91</v>
      </c>
      <c r="F20" s="12" t="s">
        <v>92</v>
      </c>
      <c r="G20" s="13" t="n">
        <v>5577582</v>
      </c>
      <c r="H20" s="13" t="n">
        <v>57145553</v>
      </c>
      <c r="I20" s="13" t="n">
        <v>1341511219</v>
      </c>
      <c r="J20" s="12" t="n">
        <v>1</v>
      </c>
      <c r="K20" s="13" t="n">
        <v>1065924</v>
      </c>
      <c r="L20" s="12" t="n">
        <v>8.1</v>
      </c>
      <c r="M20" s="14" t="n">
        <f aca="false">IF(G20="","",PERCENTRANK($G$2:$G$354,G20))</f>
        <v>0.778</v>
      </c>
      <c r="N20" s="14" t="n">
        <f aca="false">IF(I20="","",PERCENTRANK($I$2:$I$354,I20))</f>
        <v>0.907</v>
      </c>
      <c r="O20" s="14" t="n">
        <f aca="false">IF(K20="","",PERCENTRANK($K$2:$K$354,K20))</f>
        <v>0.906</v>
      </c>
      <c r="P20" s="12" t="n">
        <f aca="false">COUNT(M20:O20)</f>
        <v>3</v>
      </c>
      <c r="W20" s="12" t="n">
        <f aca="false">COUNTA(Q20:V20)</f>
        <v>0</v>
      </c>
      <c r="X20" s="14" t="n">
        <f aca="false">IF(P20=0,"",MIN(1,AVERAGE(M20:O20)+Critérios!$B$5*W20))</f>
        <v>0.863666666666667</v>
      </c>
      <c r="Y20" s="12" t="str">
        <f aca="false">IF(X20="","",IF(X20&gt;=Critérios!$B$7,"A",IF(X20&gt;=Critérios!$B$8,"B","C")))</f>
        <v>A</v>
      </c>
      <c r="Z20" s="12" t="n">
        <f aca="false">IF(X20="","",RANK(X20,$X$2:$X$354))</f>
        <v>19</v>
      </c>
      <c r="AA20" s="12" t="str">
        <f aca="false">IF(X20="","Sairia — sem métrica",IF(PERCENTRANK($X$2:$X$354,X20)&lt;Critérios!$B$6,"Sairia — terço inferior","Fica"))</f>
        <v>Fica</v>
      </c>
      <c r="AB20" s="12" t="s">
        <v>105</v>
      </c>
      <c r="AD20" s="15" t="s">
        <v>95</v>
      </c>
      <c r="AE20" s="16"/>
      <c r="AF20" s="12" t="s">
        <v>215</v>
      </c>
      <c r="AG20" s="12" t="s">
        <v>216</v>
      </c>
      <c r="AH20" s="12" t="n">
        <f aca="false">COUNT(G20,I20,K20)+COUNTA(Q20:V20)</f>
        <v>3</v>
      </c>
      <c r="AI20" s="12" t="str">
        <f aca="false">IF(AH20&gt;=3,"Sim","Não")</f>
        <v>Sim</v>
      </c>
      <c r="AJ20" s="12" t="str">
        <f aca="false">IF(AND(Z20&lt;&gt;"",Z20&lt;=Critérios!$B$9),"Sim","Não")</f>
        <v>Sim</v>
      </c>
    </row>
    <row r="21" customFormat="false" ht="15" hidden="false" customHeight="false" outlineLevel="0" collapsed="false">
      <c r="A21" s="12" t="s">
        <v>217</v>
      </c>
      <c r="B21" s="12" t="s">
        <v>218</v>
      </c>
      <c r="C21" s="12" t="s">
        <v>218</v>
      </c>
      <c r="D21" s="12" t="s">
        <v>118</v>
      </c>
      <c r="E21" s="12" t="s">
        <v>91</v>
      </c>
      <c r="F21" s="12" t="s">
        <v>92</v>
      </c>
      <c r="G21" s="13" t="n">
        <v>5006094</v>
      </c>
      <c r="H21" s="13" t="n">
        <v>110317368</v>
      </c>
      <c r="I21" s="13" t="n">
        <v>1495696292</v>
      </c>
      <c r="J21" s="12" t="n">
        <v>2</v>
      </c>
      <c r="K21" s="13" t="n">
        <v>909213</v>
      </c>
      <c r="L21" s="12" t="n">
        <v>8.2</v>
      </c>
      <c r="M21" s="14" t="n">
        <f aca="false">IF(G21="","",PERCENTRANK($G$2:$G$354,G21))</f>
        <v>0.725</v>
      </c>
      <c r="N21" s="14" t="n">
        <f aca="false">IF(I21="","",PERCENTRANK($I$2:$I$354,I21))</f>
        <v>0.936</v>
      </c>
      <c r="O21" s="14" t="n">
        <f aca="false">IF(K21="","",PERCENTRANK($K$2:$K$354,K21))</f>
        <v>0.835</v>
      </c>
      <c r="P21" s="12" t="n">
        <f aca="false">COUNT(M21:O21)</f>
        <v>3</v>
      </c>
      <c r="Q21" s="12" t="s">
        <v>219</v>
      </c>
      <c r="W21" s="12" t="n">
        <f aca="false">COUNTA(Q21:V21)</f>
        <v>1</v>
      </c>
      <c r="X21" s="14" t="n">
        <f aca="false">IF(P21=0,"",MIN(1,AVERAGE(M21:O21)+Critérios!$B$5*W21))</f>
        <v>0.862</v>
      </c>
      <c r="Y21" s="12" t="str">
        <f aca="false">IF(X21="","",IF(X21&gt;=Critérios!$B$7,"A",IF(X21&gt;=Critérios!$B$8,"B","C")))</f>
        <v>A</v>
      </c>
      <c r="Z21" s="12" t="n">
        <f aca="false">IF(X21="","",RANK(X21,$X$2:$X$354))</f>
        <v>21</v>
      </c>
      <c r="AA21" s="12" t="str">
        <f aca="false">IF(X21="","Sairia — sem métrica",IF(PERCENTRANK($X$2:$X$354,X21)&lt;Critérios!$B$6,"Sairia — terço inferior","Fica"))</f>
        <v>Fica</v>
      </c>
      <c r="AB21" s="12" t="s">
        <v>105</v>
      </c>
      <c r="AD21" s="15" t="s">
        <v>95</v>
      </c>
      <c r="AE21" s="16"/>
      <c r="AF21" s="12" t="s">
        <v>220</v>
      </c>
      <c r="AG21" s="12" t="s">
        <v>221</v>
      </c>
      <c r="AH21" s="12" t="n">
        <f aca="false">COUNT(G21,I21,K21)+COUNTA(Q21:V21)</f>
        <v>4</v>
      </c>
      <c r="AI21" s="12" t="str">
        <f aca="false">IF(AH21&gt;=3,"Sim","Não")</f>
        <v>Sim</v>
      </c>
      <c r="AJ21" s="12" t="str">
        <f aca="false">IF(AND(Z21&lt;&gt;"",Z21&lt;=Critérios!$B$9),"Sim","Não")</f>
        <v>Sim</v>
      </c>
    </row>
    <row r="22" customFormat="false" ht="15" hidden="false" customHeight="false" outlineLevel="0" collapsed="false">
      <c r="A22" s="12" t="s">
        <v>222</v>
      </c>
      <c r="B22" s="12" t="s">
        <v>223</v>
      </c>
      <c r="C22" s="12" t="s">
        <v>224</v>
      </c>
      <c r="D22" s="12" t="s">
        <v>90</v>
      </c>
      <c r="E22" s="12" t="s">
        <v>91</v>
      </c>
      <c r="F22" s="12" t="s">
        <v>92</v>
      </c>
      <c r="G22" s="13" t="n">
        <v>6555353</v>
      </c>
      <c r="H22" s="13" t="n">
        <v>106552456</v>
      </c>
      <c r="I22" s="13" t="n">
        <v>1133927996</v>
      </c>
      <c r="J22" s="12" t="n">
        <v>4</v>
      </c>
      <c r="K22" s="13" t="n">
        <v>679969</v>
      </c>
      <c r="L22" s="12" t="n">
        <v>7.3</v>
      </c>
      <c r="M22" s="14" t="n">
        <f aca="false">IF(G22="","",PERCENTRANK($G$2:$G$354,G22))</f>
        <v>0.837</v>
      </c>
      <c r="N22" s="14" t="n">
        <f aca="false">IF(I22="","",PERCENTRANK($I$2:$I$354,I22))</f>
        <v>0.852</v>
      </c>
      <c r="O22" s="14" t="n">
        <f aca="false">IF(K22="","",PERCENTRANK($K$2:$K$354,K22))</f>
        <v>0.719</v>
      </c>
      <c r="P22" s="12" t="n">
        <f aca="false">COUNT(M22:O22)</f>
        <v>3</v>
      </c>
      <c r="Q22" s="12" t="s">
        <v>225</v>
      </c>
      <c r="R22" s="12" t="s">
        <v>226</v>
      </c>
      <c r="W22" s="12" t="n">
        <f aca="false">COUNTA(Q22:V22)</f>
        <v>2</v>
      </c>
      <c r="X22" s="14" t="n">
        <f aca="false">IF(P22=0,"",MIN(1,AVERAGE(M22:O22)+Critérios!$B$5*W22))</f>
        <v>0.862666666666667</v>
      </c>
      <c r="Y22" s="12" t="str">
        <f aca="false">IF(X22="","",IF(X22&gt;=Critérios!$B$7,"A",IF(X22&gt;=Critérios!$B$8,"B","C")))</f>
        <v>A</v>
      </c>
      <c r="Z22" s="12" t="n">
        <f aca="false">IF(X22="","",RANK(X22,$X$2:$X$354))</f>
        <v>20</v>
      </c>
      <c r="AA22" s="12" t="str">
        <f aca="false">IF(X22="","Sairia — sem métrica",IF(PERCENTRANK($X$2:$X$354,X22)&lt;Critérios!$B$6,"Sairia — terço inferior","Fica"))</f>
        <v>Fica</v>
      </c>
      <c r="AB22" s="12" t="s">
        <v>105</v>
      </c>
      <c r="AD22" s="15" t="s">
        <v>95</v>
      </c>
      <c r="AE22" s="16"/>
      <c r="AF22" s="12" t="s">
        <v>227</v>
      </c>
      <c r="AG22" s="12" t="s">
        <v>228</v>
      </c>
      <c r="AH22" s="12" t="n">
        <f aca="false">COUNT(G22,I22,K22)+COUNTA(Q22:V22)</f>
        <v>5</v>
      </c>
      <c r="AI22" s="12" t="str">
        <f aca="false">IF(AH22&gt;=3,"Sim","Não")</f>
        <v>Sim</v>
      </c>
      <c r="AJ22" s="12" t="str">
        <f aca="false">IF(AND(Z22&lt;&gt;"",Z22&lt;=Critérios!$B$9),"Sim","Não")</f>
        <v>Sim</v>
      </c>
    </row>
    <row r="23" customFormat="false" ht="15" hidden="false" customHeight="false" outlineLevel="0" collapsed="false">
      <c r="A23" s="12" t="s">
        <v>229</v>
      </c>
      <c r="B23" s="12" t="s">
        <v>230</v>
      </c>
      <c r="C23" s="12" t="s">
        <v>231</v>
      </c>
      <c r="D23" s="12" t="s">
        <v>90</v>
      </c>
      <c r="E23" s="12" t="s">
        <v>91</v>
      </c>
      <c r="F23" s="12" t="s">
        <v>92</v>
      </c>
      <c r="G23" s="13" t="n">
        <v>8993389</v>
      </c>
      <c r="H23" s="13" t="n">
        <v>146783970</v>
      </c>
      <c r="I23" s="13" t="n">
        <v>1131274794</v>
      </c>
      <c r="J23" s="12" t="n">
        <v>5</v>
      </c>
      <c r="K23" s="13" t="n">
        <v>675498</v>
      </c>
      <c r="L23" s="12" t="n">
        <v>6.7</v>
      </c>
      <c r="M23" s="14" t="n">
        <f aca="false">IF(G23="","",PERCENTRANK($G$2:$G$354,G23))</f>
        <v>0.938</v>
      </c>
      <c r="N23" s="14" t="n">
        <f aca="false">IF(I23="","",PERCENTRANK($I$2:$I$354,I23))</f>
        <v>0.847</v>
      </c>
      <c r="O23" s="14" t="n">
        <f aca="false">IF(K23="","",PERCENTRANK($K$2:$K$354,K23))</f>
        <v>0.71</v>
      </c>
      <c r="P23" s="12" t="n">
        <f aca="false">COUNT(M23:O23)</f>
        <v>3</v>
      </c>
      <c r="Q23" s="12" t="s">
        <v>232</v>
      </c>
      <c r="W23" s="12" t="n">
        <f aca="false">COUNTA(Q23:V23)</f>
        <v>1</v>
      </c>
      <c r="X23" s="14" t="n">
        <f aca="false">IF(P23=0,"",MIN(1,AVERAGE(M23:O23)+Critérios!$B$5*W23))</f>
        <v>0.861666666666667</v>
      </c>
      <c r="Y23" s="12" t="str">
        <f aca="false">IF(X23="","",IF(X23&gt;=Critérios!$B$7,"A",IF(X23&gt;=Critérios!$B$8,"B","C")))</f>
        <v>A</v>
      </c>
      <c r="Z23" s="12" t="n">
        <f aca="false">IF(X23="","",RANK(X23,$X$2:$X$354))</f>
        <v>22</v>
      </c>
      <c r="AA23" s="12" t="str">
        <f aca="false">IF(X23="","Sairia — sem métrica",IF(PERCENTRANK($X$2:$X$354,X23)&lt;Critérios!$B$6,"Sairia — terço inferior","Fica"))</f>
        <v>Fica</v>
      </c>
      <c r="AB23" s="12" t="s">
        <v>105</v>
      </c>
      <c r="AD23" s="15" t="s">
        <v>95</v>
      </c>
      <c r="AE23" s="16"/>
      <c r="AF23" s="12" t="s">
        <v>96</v>
      </c>
      <c r="AG23" s="12" t="s">
        <v>233</v>
      </c>
      <c r="AH23" s="12" t="n">
        <f aca="false">COUNT(G23,I23,K23)+COUNTA(Q23:V23)</f>
        <v>4</v>
      </c>
      <c r="AI23" s="12" t="str">
        <f aca="false">IF(AH23&gt;=3,"Sim","Não")</f>
        <v>Sim</v>
      </c>
      <c r="AJ23" s="12" t="str">
        <f aca="false">IF(AND(Z23&lt;&gt;"",Z23&lt;=Critérios!$B$9),"Sim","Não")</f>
        <v>Sim</v>
      </c>
    </row>
    <row r="24" customFormat="false" ht="15" hidden="false" customHeight="false" outlineLevel="0" collapsed="false">
      <c r="A24" s="12" t="s">
        <v>234</v>
      </c>
      <c r="B24" s="12" t="s">
        <v>235</v>
      </c>
      <c r="C24" s="12" t="s">
        <v>236</v>
      </c>
      <c r="D24" s="12" t="s">
        <v>158</v>
      </c>
      <c r="E24" s="12" t="s">
        <v>91</v>
      </c>
      <c r="F24" s="12" t="s">
        <v>128</v>
      </c>
      <c r="G24" s="17"/>
      <c r="H24" s="17"/>
      <c r="I24" s="17"/>
      <c r="K24" s="13" t="n">
        <v>887022</v>
      </c>
      <c r="L24" s="12" t="n">
        <v>8</v>
      </c>
      <c r="M24" s="14" t="str">
        <f aca="false">IF(G24="","",PERCENTRANK($G$2:$G$354,G24))</f>
        <v/>
      </c>
      <c r="N24" s="14" t="str">
        <f aca="false">IF(I24="","",PERCENTRANK($I$2:$I$354,I24))</f>
        <v/>
      </c>
      <c r="O24" s="14" t="n">
        <f aca="false">IF(K24="","",PERCENTRANK($K$2:$K$354,K24))</f>
        <v>0.827</v>
      </c>
      <c r="P24" s="12" t="n">
        <f aca="false">COUNT(M24:O24)</f>
        <v>1</v>
      </c>
      <c r="R24" s="12" t="s">
        <v>237</v>
      </c>
      <c r="W24" s="12" t="n">
        <f aca="false">COUNTA(Q24:V24)</f>
        <v>1</v>
      </c>
      <c r="X24" s="14" t="n">
        <f aca="false">IF(P24=0,"",MIN(1,AVERAGE(M24:O24)+Critérios!$B$5*W24))</f>
        <v>0.857</v>
      </c>
      <c r="Y24" s="12" t="str">
        <f aca="false">IF(X24="","",IF(X24&gt;=Critérios!$B$7,"A",IF(X24&gt;=Critérios!$B$8,"B","C")))</f>
        <v>A</v>
      </c>
      <c r="Z24" s="12" t="n">
        <f aca="false">IF(X24="","",RANK(X24,$X$2:$X$354))</f>
        <v>23</v>
      </c>
      <c r="AA24" s="12" t="str">
        <f aca="false">IF(X24="","Sairia — sem métrica",IF(PERCENTRANK($X$2:$X$354,X24)&lt;Critérios!$B$6,"Sairia — terço inferior","Fica"))</f>
        <v>Fica</v>
      </c>
      <c r="AB24" s="12" t="s">
        <v>105</v>
      </c>
      <c r="AC24" s="12" t="s">
        <v>130</v>
      </c>
      <c r="AD24" s="15" t="s">
        <v>95</v>
      </c>
      <c r="AE24" s="16"/>
      <c r="AG24" s="12" t="s">
        <v>238</v>
      </c>
      <c r="AH24" s="12" t="n">
        <f aca="false">COUNT(G24,I24,K24)+COUNTA(Q24:V24)</f>
        <v>2</v>
      </c>
      <c r="AI24" s="12" t="str">
        <f aca="false">IF(AH24&gt;=3,"Sim","Não")</f>
        <v>Não</v>
      </c>
      <c r="AJ24" s="12" t="str">
        <f aca="false">IF(AND(Z24&lt;&gt;"",Z24&lt;=Critérios!$B$9),"Sim","Não")</f>
        <v>Sim</v>
      </c>
    </row>
    <row r="25" customFormat="false" ht="15" hidden="false" customHeight="false" outlineLevel="0" collapsed="false">
      <c r="A25" s="12" t="s">
        <v>239</v>
      </c>
      <c r="B25" s="12" t="s">
        <v>240</v>
      </c>
      <c r="C25" s="12" t="s">
        <v>241</v>
      </c>
      <c r="D25" s="12" t="s">
        <v>140</v>
      </c>
      <c r="E25" s="12" t="s">
        <v>91</v>
      </c>
      <c r="F25" s="12" t="s">
        <v>92</v>
      </c>
      <c r="G25" s="13" t="n">
        <v>5146519</v>
      </c>
      <c r="H25" s="13" t="n">
        <v>55062755</v>
      </c>
      <c r="I25" s="13" t="n">
        <v>1081041287</v>
      </c>
      <c r="J25" s="12" t="n">
        <v>3</v>
      </c>
      <c r="K25" s="13" t="n">
        <v>2032805</v>
      </c>
      <c r="L25" s="12" t="n">
        <v>8.4</v>
      </c>
      <c r="M25" s="14" t="n">
        <f aca="false">IF(G25="","",PERCENTRANK($G$2:$G$354,G25))</f>
        <v>0.742</v>
      </c>
      <c r="N25" s="14" t="n">
        <f aca="false">IF(I25="","",PERCENTRANK($I$2:$I$354,I25))</f>
        <v>0.826</v>
      </c>
      <c r="O25" s="14" t="n">
        <f aca="false">IF(K25="","",PERCENTRANK($K$2:$K$354,K25))</f>
        <v>0.986</v>
      </c>
      <c r="P25" s="12" t="n">
        <f aca="false">COUNT(M25:O25)</f>
        <v>3</v>
      </c>
      <c r="W25" s="12" t="n">
        <f aca="false">COUNTA(Q25:V25)</f>
        <v>0</v>
      </c>
      <c r="X25" s="14" t="n">
        <f aca="false">IF(P25=0,"",MIN(1,AVERAGE(M25:O25)+Critérios!$B$5*W25))</f>
        <v>0.851333333333333</v>
      </c>
      <c r="Y25" s="12" t="str">
        <f aca="false">IF(X25="","",IF(X25&gt;=Critérios!$B$7,"A",IF(X25&gt;=Critérios!$B$8,"B","C")))</f>
        <v>A</v>
      </c>
      <c r="Z25" s="12" t="n">
        <f aca="false">IF(X25="","",RANK(X25,$X$2:$X$354))</f>
        <v>24</v>
      </c>
      <c r="AA25" s="12" t="str">
        <f aca="false">IF(X25="","Sairia — sem métrica",IF(PERCENTRANK($X$2:$X$354,X25)&lt;Critérios!$B$6,"Sairia — terço inferior","Fica"))</f>
        <v>Fica</v>
      </c>
      <c r="AB25" s="12" t="s">
        <v>105</v>
      </c>
      <c r="AD25" s="15" t="s">
        <v>95</v>
      </c>
      <c r="AE25" s="16"/>
      <c r="AF25" s="12" t="s">
        <v>242</v>
      </c>
      <c r="AG25" s="12" t="s">
        <v>243</v>
      </c>
      <c r="AH25" s="12" t="n">
        <f aca="false">COUNT(G25,I25,K25)+COUNTA(Q25:V25)</f>
        <v>3</v>
      </c>
      <c r="AI25" s="12" t="str">
        <f aca="false">IF(AH25&gt;=3,"Sim","Não")</f>
        <v>Sim</v>
      </c>
      <c r="AJ25" s="12" t="str">
        <f aca="false">IF(AND(Z25&lt;&gt;"",Z25&lt;=Critérios!$B$9),"Sim","Não")</f>
        <v>Sim</v>
      </c>
    </row>
    <row r="26" customFormat="false" ht="15" hidden="false" customHeight="false" outlineLevel="0" collapsed="false">
      <c r="A26" s="12" t="s">
        <v>244</v>
      </c>
      <c r="B26" s="12" t="s">
        <v>245</v>
      </c>
      <c r="C26" s="12" t="s">
        <v>246</v>
      </c>
      <c r="D26" s="12" t="s">
        <v>183</v>
      </c>
      <c r="E26" s="12" t="s">
        <v>91</v>
      </c>
      <c r="F26" s="12" t="s">
        <v>92</v>
      </c>
      <c r="G26" s="13" t="n">
        <v>6356559</v>
      </c>
      <c r="H26" s="13" t="n">
        <v>90707161</v>
      </c>
      <c r="I26" s="13" t="n">
        <v>1671537444</v>
      </c>
      <c r="J26" s="12" t="n">
        <v>2</v>
      </c>
      <c r="K26" s="13" t="n">
        <v>739583</v>
      </c>
      <c r="L26" s="12" t="n">
        <v>6.9</v>
      </c>
      <c r="M26" s="14" t="n">
        <f aca="false">IF(G26="","",PERCENTRANK($G$2:$G$354,G26))</f>
        <v>0.824</v>
      </c>
      <c r="N26" s="14" t="n">
        <f aca="false">IF(I26="","",PERCENTRANK($I$2:$I$354,I26))</f>
        <v>0.958</v>
      </c>
      <c r="O26" s="14" t="n">
        <f aca="false">IF(K26="","",PERCENTRANK($K$2:$K$354,K26))</f>
        <v>0.75</v>
      </c>
      <c r="P26" s="12" t="n">
        <f aca="false">COUNT(M26:O26)</f>
        <v>3</v>
      </c>
      <c r="W26" s="12" t="n">
        <f aca="false">COUNTA(Q26:V26)</f>
        <v>0</v>
      </c>
      <c r="X26" s="14" t="n">
        <f aca="false">IF(P26=0,"",MIN(1,AVERAGE(M26:O26)+Critérios!$B$5*W26))</f>
        <v>0.844</v>
      </c>
      <c r="Y26" s="12" t="str">
        <f aca="false">IF(X26="","",IF(X26&gt;=Critérios!$B$7,"A",IF(X26&gt;=Critérios!$B$8,"B","C")))</f>
        <v>A</v>
      </c>
      <c r="Z26" s="12" t="n">
        <f aca="false">IF(X26="","",RANK(X26,$X$2:$X$354))</f>
        <v>25</v>
      </c>
      <c r="AA26" s="12" t="str">
        <f aca="false">IF(X26="","Sairia — sem métrica",IF(PERCENTRANK($X$2:$X$354,X26)&lt;Critérios!$B$6,"Sairia — terço inferior","Fica"))</f>
        <v>Fica</v>
      </c>
      <c r="AB26" s="12" t="s">
        <v>94</v>
      </c>
      <c r="AD26" s="15" t="s">
        <v>95</v>
      </c>
      <c r="AE26" s="16"/>
      <c r="AF26" s="12" t="s">
        <v>247</v>
      </c>
      <c r="AG26" s="12" t="s">
        <v>248</v>
      </c>
      <c r="AH26" s="12" t="n">
        <f aca="false">COUNT(G26,I26,K26)+COUNTA(Q26:V26)</f>
        <v>3</v>
      </c>
      <c r="AI26" s="12" t="str">
        <f aca="false">IF(AH26&gt;=3,"Sim","Não")</f>
        <v>Sim</v>
      </c>
      <c r="AJ26" s="12" t="str">
        <f aca="false">IF(AND(Z26&lt;&gt;"",Z26&lt;=Critérios!$B$9),"Sim","Não")</f>
        <v>Sim</v>
      </c>
    </row>
    <row r="27" customFormat="false" ht="15" hidden="false" customHeight="false" outlineLevel="0" collapsed="false">
      <c r="A27" s="12" t="s">
        <v>249</v>
      </c>
      <c r="B27" s="12" t="s">
        <v>250</v>
      </c>
      <c r="C27" s="12" t="s">
        <v>250</v>
      </c>
      <c r="D27" s="12" t="s">
        <v>251</v>
      </c>
      <c r="E27" s="12" t="s">
        <v>91</v>
      </c>
      <c r="F27" s="12" t="s">
        <v>92</v>
      </c>
      <c r="G27" s="13" t="n">
        <v>7365659</v>
      </c>
      <c r="H27" s="13" t="n">
        <v>155895852</v>
      </c>
      <c r="I27" s="13" t="n">
        <v>1338073645</v>
      </c>
      <c r="J27" s="12" t="n">
        <v>2</v>
      </c>
      <c r="K27" s="13" t="n">
        <v>597766</v>
      </c>
      <c r="L27" s="12" t="n">
        <v>7.5</v>
      </c>
      <c r="M27" s="14" t="n">
        <f aca="false">IF(G27="","",PERCENTRANK($G$2:$G$354,G27))</f>
        <v>0.866</v>
      </c>
      <c r="N27" s="14" t="n">
        <f aca="false">IF(I27="","",PERCENTRANK($I$2:$I$354,I27))</f>
        <v>0.903</v>
      </c>
      <c r="O27" s="14" t="n">
        <f aca="false">IF(K27="","",PERCENTRANK($K$2:$K$354,K27))</f>
        <v>0.67</v>
      </c>
      <c r="P27" s="12" t="n">
        <f aca="false">COUNT(M27:O27)</f>
        <v>3</v>
      </c>
      <c r="Q27" s="12" t="s">
        <v>252</v>
      </c>
      <c r="W27" s="12" t="n">
        <f aca="false">COUNTA(Q27:V27)</f>
        <v>1</v>
      </c>
      <c r="X27" s="14" t="n">
        <f aca="false">IF(P27=0,"",MIN(1,AVERAGE(M27:O27)+Critérios!$B$5*W27))</f>
        <v>0.843</v>
      </c>
      <c r="Y27" s="12" t="str">
        <f aca="false">IF(X27="","",IF(X27&gt;=Critérios!$B$7,"A",IF(X27&gt;=Critérios!$B$8,"B","C")))</f>
        <v>A</v>
      </c>
      <c r="Z27" s="12" t="n">
        <f aca="false">IF(X27="","",RANK(X27,$X$2:$X$354))</f>
        <v>26</v>
      </c>
      <c r="AA27" s="12" t="str">
        <f aca="false">IF(X27="","Sairia — sem métrica",IF(PERCENTRANK($X$2:$X$354,X27)&lt;Critérios!$B$6,"Sairia — terço inferior","Fica"))</f>
        <v>Fica</v>
      </c>
      <c r="AB27" s="12" t="s">
        <v>105</v>
      </c>
      <c r="AD27" s="15" t="s">
        <v>95</v>
      </c>
      <c r="AE27" s="16"/>
      <c r="AF27" s="12" t="s">
        <v>253</v>
      </c>
      <c r="AG27" s="12" t="s">
        <v>254</v>
      </c>
      <c r="AH27" s="12" t="n">
        <f aca="false">COUNT(G27,I27,K27)+COUNTA(Q27:V27)</f>
        <v>4</v>
      </c>
      <c r="AI27" s="12" t="str">
        <f aca="false">IF(AH27&gt;=3,"Sim","Não")</f>
        <v>Sim</v>
      </c>
      <c r="AJ27" s="12" t="str">
        <f aca="false">IF(AND(Z27&lt;&gt;"",Z27&lt;=Critérios!$B$9),"Sim","Não")</f>
        <v>Sim</v>
      </c>
    </row>
    <row r="28" customFormat="false" ht="15" hidden="false" customHeight="false" outlineLevel="0" collapsed="false">
      <c r="A28" s="12" t="s">
        <v>255</v>
      </c>
      <c r="B28" s="12" t="s">
        <v>256</v>
      </c>
      <c r="C28" s="12" t="s">
        <v>257</v>
      </c>
      <c r="D28" s="12" t="s">
        <v>207</v>
      </c>
      <c r="E28" s="12" t="s">
        <v>91</v>
      </c>
      <c r="F28" s="12" t="s">
        <v>92</v>
      </c>
      <c r="G28" s="13" t="n">
        <v>6686736</v>
      </c>
      <c r="H28" s="13" t="n">
        <v>102726271</v>
      </c>
      <c r="I28" s="13" t="n">
        <v>880166924</v>
      </c>
      <c r="J28" s="12" t="n">
        <v>6</v>
      </c>
      <c r="K28" s="13" t="n">
        <v>842372</v>
      </c>
      <c r="L28" s="12" t="n">
        <v>7.4</v>
      </c>
      <c r="M28" s="14" t="n">
        <f aca="false">IF(G28="","",PERCENTRANK($G$2:$G$354,G28))</f>
        <v>0.843</v>
      </c>
      <c r="N28" s="14" t="n">
        <f aca="false">IF(I28="","",PERCENTRANK($I$2:$I$354,I28))</f>
        <v>0.648</v>
      </c>
      <c r="O28" s="14" t="n">
        <f aca="false">IF(K28="","",PERCENTRANK($K$2:$K$354,K28))</f>
        <v>0.815</v>
      </c>
      <c r="P28" s="12" t="n">
        <f aca="false">COUNT(M28:O28)</f>
        <v>3</v>
      </c>
      <c r="Q28" s="12" t="s">
        <v>258</v>
      </c>
      <c r="R28" s="12" t="s">
        <v>259</v>
      </c>
      <c r="W28" s="12" t="n">
        <f aca="false">COUNTA(Q28:V28)</f>
        <v>2</v>
      </c>
      <c r="X28" s="14" t="n">
        <f aca="false">IF(P28=0,"",MIN(1,AVERAGE(M28:O28)+Critérios!$B$5*W28))</f>
        <v>0.828666666666667</v>
      </c>
      <c r="Y28" s="12" t="str">
        <f aca="false">IF(X28="","",IF(X28&gt;=Critérios!$B$7,"A",IF(X28&gt;=Critérios!$B$8,"B","C")))</f>
        <v>A</v>
      </c>
      <c r="Z28" s="12" t="n">
        <f aca="false">IF(X28="","",RANK(X28,$X$2:$X$354))</f>
        <v>27</v>
      </c>
      <c r="AA28" s="12" t="str">
        <f aca="false">IF(X28="","Sairia — sem métrica",IF(PERCENTRANK($X$2:$X$354,X28)&lt;Critérios!$B$6,"Sairia — terço inferior","Fica"))</f>
        <v>Fica</v>
      </c>
      <c r="AB28" s="12" t="s">
        <v>105</v>
      </c>
      <c r="AD28" s="15" t="s">
        <v>95</v>
      </c>
      <c r="AE28" s="16"/>
      <c r="AF28" s="12" t="s">
        <v>260</v>
      </c>
      <c r="AG28" s="12" t="s">
        <v>261</v>
      </c>
      <c r="AH28" s="12" t="n">
        <f aca="false">COUNT(G28,I28,K28)+COUNTA(Q28:V28)</f>
        <v>5</v>
      </c>
      <c r="AI28" s="12" t="str">
        <f aca="false">IF(AH28&gt;=3,"Sim","Não")</f>
        <v>Sim</v>
      </c>
      <c r="AJ28" s="12" t="str">
        <f aca="false">IF(AND(Z28&lt;&gt;"",Z28&lt;=Critérios!$B$9),"Sim","Não")</f>
        <v>Sim</v>
      </c>
    </row>
    <row r="29" customFormat="false" ht="15" hidden="false" customHeight="false" outlineLevel="0" collapsed="false">
      <c r="A29" s="12" t="s">
        <v>262</v>
      </c>
      <c r="B29" s="12" t="s">
        <v>263</v>
      </c>
      <c r="C29" s="12" t="s">
        <v>264</v>
      </c>
      <c r="D29" s="12" t="s">
        <v>265</v>
      </c>
      <c r="E29" s="12" t="s">
        <v>91</v>
      </c>
      <c r="F29" s="12" t="s">
        <v>92</v>
      </c>
      <c r="G29" s="13" t="n">
        <v>18780000</v>
      </c>
      <c r="H29" s="13" t="n">
        <v>412100000</v>
      </c>
      <c r="I29" s="13" t="n">
        <v>2421842642</v>
      </c>
      <c r="J29" s="12" t="n">
        <v>1</v>
      </c>
      <c r="K29" s="13" t="n">
        <v>344361</v>
      </c>
      <c r="L29" s="12" t="n">
        <v>7.9</v>
      </c>
      <c r="M29" s="14" t="n">
        <f aca="false">IF(G29="","",PERCENTRANK($G$2:$G$354,G29))</f>
        <v>0.993</v>
      </c>
      <c r="N29" s="14" t="n">
        <f aca="false">IF(I29="","",PERCENTRANK($I$2:$I$354,I29))</f>
        <v>0.992</v>
      </c>
      <c r="O29" s="14" t="n">
        <f aca="false">IF(K29="","",PERCENTRANK($K$2:$K$354,K29))</f>
        <v>0.406</v>
      </c>
      <c r="P29" s="12" t="n">
        <f aca="false">COUNT(M29:O29)</f>
        <v>3</v>
      </c>
      <c r="R29" s="12" t="s">
        <v>266</v>
      </c>
      <c r="W29" s="12" t="n">
        <f aca="false">COUNTA(Q29:V29)</f>
        <v>1</v>
      </c>
      <c r="X29" s="14" t="n">
        <f aca="false">IF(P29=0,"",MIN(1,AVERAGE(M29:O29)+Critérios!$B$5*W29))</f>
        <v>0.827</v>
      </c>
      <c r="Y29" s="12" t="str">
        <f aca="false">IF(X29="","",IF(X29&gt;=Critérios!$B$7,"A",IF(X29&gt;=Critérios!$B$8,"B","C")))</f>
        <v>A</v>
      </c>
      <c r="Z29" s="12" t="n">
        <f aca="false">IF(X29="","",RANK(X29,$X$2:$X$354))</f>
        <v>28</v>
      </c>
      <c r="AA29" s="12" t="str">
        <f aca="false">IF(X29="","Sairia — sem métrica",IF(PERCENTRANK($X$2:$X$354,X29)&lt;Critérios!$B$6,"Sairia — terço inferior","Fica"))</f>
        <v>Fica</v>
      </c>
      <c r="AB29" s="12" t="s">
        <v>105</v>
      </c>
      <c r="AC29" s="12" t="s">
        <v>267</v>
      </c>
      <c r="AD29" s="15" t="s">
        <v>95</v>
      </c>
      <c r="AE29" s="16"/>
      <c r="AF29" s="12" t="s">
        <v>268</v>
      </c>
      <c r="AG29" s="12" t="s">
        <v>269</v>
      </c>
      <c r="AH29" s="12" t="n">
        <f aca="false">COUNT(G29,I29,K29)+COUNTA(Q29:V29)</f>
        <v>4</v>
      </c>
      <c r="AI29" s="12" t="str">
        <f aca="false">IF(AH29&gt;=3,"Sim","Não")</f>
        <v>Sim</v>
      </c>
      <c r="AJ29" s="12" t="str">
        <f aca="false">IF(AND(Z29&lt;&gt;"",Z29&lt;=Critérios!$B$9),"Sim","Não")</f>
        <v>Sim</v>
      </c>
    </row>
    <row r="30" customFormat="false" ht="15" hidden="false" customHeight="false" outlineLevel="0" collapsed="false">
      <c r="A30" s="12" t="s">
        <v>270</v>
      </c>
      <c r="B30" s="12" t="s">
        <v>271</v>
      </c>
      <c r="C30" s="12" t="s">
        <v>272</v>
      </c>
      <c r="D30" s="12" t="s">
        <v>273</v>
      </c>
      <c r="E30" s="12" t="s">
        <v>91</v>
      </c>
      <c r="F30" s="12" t="s">
        <v>92</v>
      </c>
      <c r="G30" s="13" t="n">
        <v>8488182</v>
      </c>
      <c r="H30" s="13" t="n">
        <v>46026289</v>
      </c>
      <c r="I30" s="13" t="n">
        <v>821708551</v>
      </c>
      <c r="J30" s="12" t="n">
        <v>3</v>
      </c>
      <c r="K30" s="13" t="n">
        <v>1000733</v>
      </c>
      <c r="L30" s="12" t="n">
        <v>7.4</v>
      </c>
      <c r="M30" s="14" t="n">
        <f aca="false">IF(G30="","",PERCENTRANK($G$2:$G$354,G30))</f>
        <v>0.918</v>
      </c>
      <c r="N30" s="14" t="n">
        <f aca="false">IF(I30="","",PERCENTRANK($I$2:$I$354,I30))</f>
        <v>0.568</v>
      </c>
      <c r="O30" s="14" t="n">
        <f aca="false">IF(K30="","",PERCENTRANK($K$2:$K$354,K30))</f>
        <v>0.898</v>
      </c>
      <c r="P30" s="12" t="n">
        <f aca="false">COUNT(M30:O30)</f>
        <v>3</v>
      </c>
      <c r="U30" s="12" t="s">
        <v>274</v>
      </c>
      <c r="W30" s="12" t="n">
        <f aca="false">COUNTA(Q30:V30)</f>
        <v>1</v>
      </c>
      <c r="X30" s="14" t="n">
        <f aca="false">IF(P30=0,"",MIN(1,AVERAGE(M30:O30)+Critérios!$B$5*W30))</f>
        <v>0.824666666666667</v>
      </c>
      <c r="Y30" s="12" t="str">
        <f aca="false">IF(X30="","",IF(X30&gt;=Critérios!$B$7,"A",IF(X30&gt;=Critérios!$B$8,"B","C")))</f>
        <v>A</v>
      </c>
      <c r="Z30" s="12" t="n">
        <f aca="false">IF(X30="","",RANK(X30,$X$2:$X$354))</f>
        <v>29</v>
      </c>
      <c r="AA30" s="12" t="str">
        <f aca="false">IF(X30="","Sairia — sem métrica",IF(PERCENTRANK($X$2:$X$354,X30)&lt;Critérios!$B$6,"Sairia — terço inferior","Fica"))</f>
        <v>Fica</v>
      </c>
      <c r="AB30" s="12" t="s">
        <v>105</v>
      </c>
      <c r="AD30" s="15" t="s">
        <v>95</v>
      </c>
      <c r="AE30" s="16"/>
      <c r="AF30" s="12" t="s">
        <v>275</v>
      </c>
      <c r="AG30" s="12" t="s">
        <v>276</v>
      </c>
      <c r="AH30" s="12" t="n">
        <f aca="false">COUNT(G30,I30,K30)+COUNTA(Q30:V30)</f>
        <v>4</v>
      </c>
      <c r="AI30" s="12" t="str">
        <f aca="false">IF(AH30&gt;=3,"Sim","Não")</f>
        <v>Sim</v>
      </c>
      <c r="AJ30" s="12" t="str">
        <f aca="false">IF(AND(Z30&lt;&gt;"",Z30&lt;=Critérios!$B$9),"Sim","Não")</f>
        <v>Sim</v>
      </c>
    </row>
    <row r="31" customFormat="false" ht="15" hidden="false" customHeight="false" outlineLevel="0" collapsed="false">
      <c r="A31" s="12" t="s">
        <v>277</v>
      </c>
      <c r="B31" s="12" t="s">
        <v>278</v>
      </c>
      <c r="C31" s="12" t="s">
        <v>279</v>
      </c>
      <c r="D31" s="12" t="s">
        <v>189</v>
      </c>
      <c r="E31" s="12" t="s">
        <v>91</v>
      </c>
      <c r="F31" s="12" t="s">
        <v>92</v>
      </c>
      <c r="G31" s="13" t="n">
        <v>8565462</v>
      </c>
      <c r="H31" s="13" t="n">
        <v>132443918</v>
      </c>
      <c r="I31" s="13" t="n">
        <v>874360194</v>
      </c>
      <c r="J31" s="12" t="n">
        <v>7</v>
      </c>
      <c r="K31" s="13" t="n">
        <v>800609</v>
      </c>
      <c r="L31" s="12" t="n">
        <v>6.4</v>
      </c>
      <c r="M31" s="14" t="n">
        <f aca="false">IF(G31="","",PERCENTRANK($G$2:$G$354,G31))</f>
        <v>0.925</v>
      </c>
      <c r="N31" s="14" t="n">
        <f aca="false">IF(I31="","",PERCENTRANK($I$2:$I$354,I31))</f>
        <v>0.631</v>
      </c>
      <c r="O31" s="14" t="n">
        <f aca="false">IF(K31="","",PERCENTRANK($K$2:$K$354,K31))</f>
        <v>0.801</v>
      </c>
      <c r="P31" s="12" t="n">
        <f aca="false">COUNT(M31:O31)</f>
        <v>3</v>
      </c>
      <c r="Q31" s="12" t="s">
        <v>280</v>
      </c>
      <c r="W31" s="12" t="n">
        <f aca="false">COUNTA(Q31:V31)</f>
        <v>1</v>
      </c>
      <c r="X31" s="14" t="n">
        <f aca="false">IF(P31=0,"",MIN(1,AVERAGE(M31:O31)+Critérios!$B$5*W31))</f>
        <v>0.815666666666667</v>
      </c>
      <c r="Y31" s="12" t="str">
        <f aca="false">IF(X31="","",IF(X31&gt;=Critérios!$B$7,"A",IF(X31&gt;=Critérios!$B$8,"B","C")))</f>
        <v>A</v>
      </c>
      <c r="Z31" s="12" t="n">
        <f aca="false">IF(X31="","",RANK(X31,$X$2:$X$354))</f>
        <v>30</v>
      </c>
      <c r="AA31" s="12" t="str">
        <f aca="false">IF(X31="","Sairia — sem métrica",IF(PERCENTRANK($X$2:$X$354,X31)&lt;Critérios!$B$6,"Sairia — terço inferior","Fica"))</f>
        <v>Fica</v>
      </c>
      <c r="AB31" s="12" t="s">
        <v>105</v>
      </c>
      <c r="AD31" s="15" t="s">
        <v>95</v>
      </c>
      <c r="AE31" s="16"/>
      <c r="AF31" s="12" t="s">
        <v>281</v>
      </c>
      <c r="AG31" s="12" t="s">
        <v>282</v>
      </c>
      <c r="AH31" s="12" t="n">
        <f aca="false">COUNT(G31,I31,K31)+COUNTA(Q31:V31)</f>
        <v>4</v>
      </c>
      <c r="AI31" s="12" t="str">
        <f aca="false">IF(AH31&gt;=3,"Sim","Não")</f>
        <v>Sim</v>
      </c>
      <c r="AJ31" s="12" t="str">
        <f aca="false">IF(AND(Z31&lt;&gt;"",Z31&lt;=Critérios!$B$9),"Sim","Não")</f>
        <v>Sim</v>
      </c>
    </row>
    <row r="32" customFormat="false" ht="15" hidden="false" customHeight="false" outlineLevel="0" collapsed="false">
      <c r="A32" s="12" t="s">
        <v>283</v>
      </c>
      <c r="B32" s="12" t="s">
        <v>284</v>
      </c>
      <c r="C32" s="12" t="s">
        <v>285</v>
      </c>
      <c r="D32" s="12" t="s">
        <v>286</v>
      </c>
      <c r="E32" s="12" t="s">
        <v>91</v>
      </c>
      <c r="F32" s="12" t="s">
        <v>92</v>
      </c>
      <c r="G32" s="13" t="n">
        <v>4268649</v>
      </c>
      <c r="H32" s="13" t="n">
        <v>28906614</v>
      </c>
      <c r="I32" s="13" t="n">
        <v>1118887224</v>
      </c>
      <c r="J32" s="12" t="n">
        <v>1</v>
      </c>
      <c r="K32" s="13" t="n">
        <v>2200389</v>
      </c>
      <c r="L32" s="12" t="n">
        <v>9</v>
      </c>
      <c r="M32" s="14" t="n">
        <f aca="false">IF(G32="","",PERCENTRANK($G$2:$G$354,G32))</f>
        <v>0.608</v>
      </c>
      <c r="N32" s="14" t="n">
        <f aca="false">IF(I32="","",PERCENTRANK($I$2:$I$354,I32))</f>
        <v>0.839</v>
      </c>
      <c r="O32" s="14" t="n">
        <f aca="false">IF(K32="","",PERCENTRANK($K$2:$K$354,K32))</f>
        <v>0.989</v>
      </c>
      <c r="P32" s="12" t="n">
        <f aca="false">COUNT(M32:O32)</f>
        <v>3</v>
      </c>
      <c r="W32" s="12" t="n">
        <f aca="false">COUNTA(Q32:V32)</f>
        <v>0</v>
      </c>
      <c r="X32" s="14" t="n">
        <f aca="false">IF(P32=0,"",MIN(1,AVERAGE(M32:O32)+Critérios!$B$5*W32))</f>
        <v>0.812</v>
      </c>
      <c r="Y32" s="12" t="str">
        <f aca="false">IF(X32="","",IF(X32&gt;=Critérios!$B$7,"A",IF(X32&gt;=Critérios!$B$8,"B","C")))</f>
        <v>A</v>
      </c>
      <c r="Z32" s="12" t="n">
        <f aca="false">IF(X32="","",RANK(X32,$X$2:$X$354))</f>
        <v>31</v>
      </c>
      <c r="AA32" s="12" t="str">
        <f aca="false">IF(X32="","Sairia — sem métrica",IF(PERCENTRANK($X$2:$X$354,X32)&lt;Critérios!$B$6,"Sairia — terço inferior","Fica"))</f>
        <v>Fica</v>
      </c>
      <c r="AB32" s="12" t="s">
        <v>94</v>
      </c>
      <c r="AD32" s="15" t="s">
        <v>95</v>
      </c>
      <c r="AE32" s="16"/>
      <c r="AF32" s="12" t="s">
        <v>287</v>
      </c>
      <c r="AG32" s="12" t="s">
        <v>288</v>
      </c>
      <c r="AH32" s="12" t="n">
        <f aca="false">COUNT(G32,I32,K32)+COUNTA(Q32:V32)</f>
        <v>3</v>
      </c>
      <c r="AI32" s="12" t="str">
        <f aca="false">IF(AH32&gt;=3,"Sim","Não")</f>
        <v>Sim</v>
      </c>
      <c r="AJ32" s="12" t="str">
        <f aca="false">IF(AND(Z32&lt;&gt;"",Z32&lt;=Critérios!$B$9),"Sim","Não")</f>
        <v>Sim</v>
      </c>
    </row>
    <row r="33" customFormat="false" ht="15" hidden="false" customHeight="false" outlineLevel="0" collapsed="false">
      <c r="A33" s="12" t="s">
        <v>289</v>
      </c>
      <c r="B33" s="12" t="s">
        <v>290</v>
      </c>
      <c r="C33" s="12" t="s">
        <v>291</v>
      </c>
      <c r="D33" s="12" t="s">
        <v>101</v>
      </c>
      <c r="E33" s="12" t="s">
        <v>91</v>
      </c>
      <c r="F33" s="12" t="s">
        <v>292</v>
      </c>
      <c r="G33" s="17"/>
      <c r="H33" s="17"/>
      <c r="I33" s="17"/>
      <c r="K33" s="13" t="n">
        <v>683308</v>
      </c>
      <c r="L33" s="12" t="n">
        <v>7.1</v>
      </c>
      <c r="M33" s="14" t="str">
        <f aca="false">IF(G33="","",PERCENTRANK($G$2:$G$354,G33))</f>
        <v/>
      </c>
      <c r="N33" s="14" t="str">
        <f aca="false">IF(I33="","",PERCENTRANK($I$2:$I$354,I33))</f>
        <v/>
      </c>
      <c r="O33" s="14" t="n">
        <f aca="false">IF(K33="","",PERCENTRANK($K$2:$K$354,K33))</f>
        <v>0.722</v>
      </c>
      <c r="P33" s="12" t="n">
        <f aca="false">COUNT(M33:O33)</f>
        <v>1</v>
      </c>
      <c r="Q33" s="12" t="s">
        <v>293</v>
      </c>
      <c r="S33" s="12" t="s">
        <v>294</v>
      </c>
      <c r="T33" s="12" t="s">
        <v>295</v>
      </c>
      <c r="W33" s="12" t="n">
        <f aca="false">COUNTA(Q33:V33)</f>
        <v>3</v>
      </c>
      <c r="X33" s="14" t="n">
        <f aca="false">IF(P33=0,"",MIN(1,AVERAGE(M33:O33)+Critérios!$B$5*W33))</f>
        <v>0.812</v>
      </c>
      <c r="Y33" s="12" t="str">
        <f aca="false">IF(X33="","",IF(X33&gt;=Critérios!$B$7,"A",IF(X33&gt;=Critérios!$B$8,"B","C")))</f>
        <v>A</v>
      </c>
      <c r="Z33" s="12" t="n">
        <f aca="false">IF(X33="","",RANK(X33,$X$2:$X$354))</f>
        <v>31</v>
      </c>
      <c r="AA33" s="12" t="str">
        <f aca="false">IF(X33="","Sairia — sem métrica",IF(PERCENTRANK($X$2:$X$354,X33)&lt;Critérios!$B$6,"Sairia — terço inferior","Fica"))</f>
        <v>Fica</v>
      </c>
      <c r="AB33" s="12" t="s">
        <v>105</v>
      </c>
      <c r="AD33" s="15" t="s">
        <v>95</v>
      </c>
      <c r="AE33" s="16"/>
      <c r="AG33" s="12" t="s">
        <v>296</v>
      </c>
      <c r="AH33" s="12" t="n">
        <f aca="false">COUNT(G33,I33,K33)+COUNTA(Q33:V33)</f>
        <v>4</v>
      </c>
      <c r="AI33" s="12" t="str">
        <f aca="false">IF(AH33&gt;=3,"Sim","Não")</f>
        <v>Sim</v>
      </c>
      <c r="AJ33" s="12" t="str">
        <f aca="false">IF(AND(Z33&lt;&gt;"",Z33&lt;=Critérios!$B$9),"Sim","Não")</f>
        <v>Sim</v>
      </c>
    </row>
    <row r="34" customFormat="false" ht="15" hidden="false" customHeight="false" outlineLevel="0" collapsed="false">
      <c r="A34" s="12" t="s">
        <v>297</v>
      </c>
      <c r="B34" s="12" t="s">
        <v>298</v>
      </c>
      <c r="C34" s="12" t="s">
        <v>299</v>
      </c>
      <c r="D34" s="12" t="s">
        <v>118</v>
      </c>
      <c r="E34" s="12" t="s">
        <v>91</v>
      </c>
      <c r="F34" s="12" t="s">
        <v>92</v>
      </c>
      <c r="G34" s="13" t="n">
        <v>8293496</v>
      </c>
      <c r="H34" s="13" t="n">
        <v>167507986</v>
      </c>
      <c r="I34" s="13" t="n">
        <v>960775804</v>
      </c>
      <c r="J34" s="12" t="n">
        <v>4</v>
      </c>
      <c r="K34" s="13" t="n">
        <v>563046</v>
      </c>
      <c r="L34" s="12" t="n">
        <v>6.8</v>
      </c>
      <c r="M34" s="14" t="n">
        <f aca="false">IF(G34="","",PERCENTRANK($G$2:$G$354,G34))</f>
        <v>0.908</v>
      </c>
      <c r="N34" s="14" t="n">
        <f aca="false">IF(I34="","",PERCENTRANK($I$2:$I$354,I34))</f>
        <v>0.699</v>
      </c>
      <c r="O34" s="14" t="n">
        <f aca="false">IF(K34="","",PERCENTRANK($K$2:$K$354,K34))</f>
        <v>0.642</v>
      </c>
      <c r="P34" s="12" t="n">
        <f aca="false">COUNT(M34:O34)</f>
        <v>3</v>
      </c>
      <c r="Q34" s="12" t="s">
        <v>300</v>
      </c>
      <c r="T34" s="12" t="s">
        <v>301</v>
      </c>
      <c r="W34" s="12" t="n">
        <f aca="false">COUNTA(Q34:V34)</f>
        <v>2</v>
      </c>
      <c r="X34" s="14" t="n">
        <f aca="false">IF(P34=0,"",MIN(1,AVERAGE(M34:O34)+Critérios!$B$5*W34))</f>
        <v>0.809666666666667</v>
      </c>
      <c r="Y34" s="12" t="str">
        <f aca="false">IF(X34="","",IF(X34&gt;=Critérios!$B$7,"A",IF(X34&gt;=Critérios!$B$8,"B","C")))</f>
        <v>A</v>
      </c>
      <c r="Z34" s="12" t="n">
        <f aca="false">IF(X34="","",RANK(X34,$X$2:$X$354))</f>
        <v>33</v>
      </c>
      <c r="AA34" s="12" t="str">
        <f aca="false">IF(X34="","Sairia — sem métrica",IF(PERCENTRANK($X$2:$X$354,X34)&lt;Critérios!$B$6,"Sairia — terço inferior","Fica"))</f>
        <v>Fica</v>
      </c>
      <c r="AB34" s="12" t="s">
        <v>105</v>
      </c>
      <c r="AD34" s="15" t="s">
        <v>95</v>
      </c>
      <c r="AE34" s="16"/>
      <c r="AF34" s="12" t="s">
        <v>220</v>
      </c>
      <c r="AG34" s="12" t="s">
        <v>302</v>
      </c>
      <c r="AH34" s="12" t="n">
        <f aca="false">COUNT(G34,I34,K34)+COUNTA(Q34:V34)</f>
        <v>5</v>
      </c>
      <c r="AI34" s="12" t="str">
        <f aca="false">IF(AH34&gt;=3,"Sim","Não")</f>
        <v>Sim</v>
      </c>
      <c r="AJ34" s="12" t="str">
        <f aca="false">IF(AND(Z34&lt;&gt;"",Z34&lt;=Critérios!$B$9),"Sim","Não")</f>
        <v>Sim</v>
      </c>
    </row>
    <row r="35" customFormat="false" ht="15" hidden="false" customHeight="false" outlineLevel="0" collapsed="false">
      <c r="A35" s="12" t="s">
        <v>303</v>
      </c>
      <c r="B35" s="12" t="s">
        <v>304</v>
      </c>
      <c r="C35" s="12" t="s">
        <v>305</v>
      </c>
      <c r="D35" s="12" t="s">
        <v>183</v>
      </c>
      <c r="E35" s="12" t="s">
        <v>91</v>
      </c>
      <c r="F35" s="12" t="s">
        <v>92</v>
      </c>
      <c r="G35" s="13" t="n">
        <v>9857968</v>
      </c>
      <c r="H35" s="13" t="n">
        <v>142466037</v>
      </c>
      <c r="I35" s="13" t="n">
        <v>1515341399</v>
      </c>
      <c r="J35" s="12" t="n">
        <v>3</v>
      </c>
      <c r="K35" s="13" t="n">
        <v>445858</v>
      </c>
      <c r="L35" s="12" t="n">
        <v>7.1</v>
      </c>
      <c r="M35" s="14" t="n">
        <f aca="false">IF(G35="","",PERCENTRANK($G$2:$G$354,G35))</f>
        <v>0.964</v>
      </c>
      <c r="N35" s="14" t="n">
        <f aca="false">IF(I35="","",PERCENTRANK($I$2:$I$354,I35))</f>
        <v>0.941</v>
      </c>
      <c r="O35" s="14" t="n">
        <f aca="false">IF(K35="","",PERCENTRANK($K$2:$K$354,K35))</f>
        <v>0.514</v>
      </c>
      <c r="P35" s="12" t="n">
        <f aca="false">COUNT(M35:O35)</f>
        <v>3</v>
      </c>
      <c r="W35" s="12" t="n">
        <f aca="false">COUNTA(Q35:V35)</f>
        <v>0</v>
      </c>
      <c r="X35" s="14" t="n">
        <f aca="false">IF(P35=0,"",MIN(1,AVERAGE(M35:O35)+Critérios!$B$5*W35))</f>
        <v>0.806333333333333</v>
      </c>
      <c r="Y35" s="12" t="str">
        <f aca="false">IF(X35="","",IF(X35&gt;=Critérios!$B$7,"A",IF(X35&gt;=Critérios!$B$8,"B","C")))</f>
        <v>A</v>
      </c>
      <c r="Z35" s="12" t="n">
        <f aca="false">IF(X35="","",RANK(X35,$X$2:$X$354))</f>
        <v>34</v>
      </c>
      <c r="AA35" s="12" t="str">
        <f aca="false">IF(X35="","Sairia — sem métrica",IF(PERCENTRANK($X$2:$X$354,X35)&lt;Critérios!$B$6,"Sairia — terço inferior","Fica"))</f>
        <v>Fica</v>
      </c>
      <c r="AB35" s="12" t="s">
        <v>94</v>
      </c>
      <c r="AD35" s="15" t="s">
        <v>95</v>
      </c>
      <c r="AE35" s="16"/>
      <c r="AF35" s="12" t="s">
        <v>184</v>
      </c>
      <c r="AG35" s="12" t="s">
        <v>306</v>
      </c>
      <c r="AH35" s="12" t="n">
        <f aca="false">COUNT(G35,I35,K35)+COUNTA(Q35:V35)</f>
        <v>3</v>
      </c>
      <c r="AI35" s="12" t="str">
        <f aca="false">IF(AH35&gt;=3,"Sim","Não")</f>
        <v>Sim</v>
      </c>
      <c r="AJ35" s="12" t="str">
        <f aca="false">IF(AND(Z35&lt;&gt;"",Z35&lt;=Critérios!$B$9),"Sim","Não")</f>
        <v>Sim</v>
      </c>
    </row>
    <row r="36" customFormat="false" ht="15" hidden="false" customHeight="false" outlineLevel="0" collapsed="false">
      <c r="A36" s="12" t="s">
        <v>307</v>
      </c>
      <c r="B36" s="12" t="s">
        <v>308</v>
      </c>
      <c r="C36" s="12" t="s">
        <v>309</v>
      </c>
      <c r="D36" s="12" t="s">
        <v>265</v>
      </c>
      <c r="E36" s="12" t="s">
        <v>91</v>
      </c>
      <c r="F36" s="12" t="s">
        <v>92</v>
      </c>
      <c r="G36" s="13" t="n">
        <v>5330290</v>
      </c>
      <c r="H36" s="13" t="n">
        <v>131030000</v>
      </c>
      <c r="I36" s="13" t="n">
        <v>1657467504</v>
      </c>
      <c r="J36" s="12" t="n">
        <v>2</v>
      </c>
      <c r="K36" s="13" t="n">
        <v>526880</v>
      </c>
      <c r="L36" s="12" t="n">
        <v>8.4</v>
      </c>
      <c r="M36" s="14" t="n">
        <f aca="false">IF(G36="","",PERCENTRANK($G$2:$G$354,G36))</f>
        <v>0.761</v>
      </c>
      <c r="N36" s="14" t="n">
        <f aca="false">IF(I36="","",PERCENTRANK($I$2:$I$354,I36))</f>
        <v>0.949</v>
      </c>
      <c r="O36" s="14" t="n">
        <f aca="false">IF(K36="","",PERCENTRANK($K$2:$K$354,K36))</f>
        <v>0.614</v>
      </c>
      <c r="P36" s="12" t="n">
        <f aca="false">COUNT(M36:O36)</f>
        <v>3</v>
      </c>
      <c r="R36" s="12" t="s">
        <v>310</v>
      </c>
      <c r="W36" s="12" t="n">
        <f aca="false">COUNTA(Q36:V36)</f>
        <v>1</v>
      </c>
      <c r="X36" s="14" t="n">
        <f aca="false">IF(P36=0,"",MIN(1,AVERAGE(M36:O36)+Critérios!$B$5*W36))</f>
        <v>0.804666666666667</v>
      </c>
      <c r="Y36" s="12" t="str">
        <f aca="false">IF(X36="","",IF(X36&gt;=Critérios!$B$7,"A",IF(X36&gt;=Critérios!$B$8,"B","C")))</f>
        <v>A</v>
      </c>
      <c r="Z36" s="12" t="n">
        <f aca="false">IF(X36="","",RANK(X36,$X$2:$X$354))</f>
        <v>35</v>
      </c>
      <c r="AA36" s="12" t="str">
        <f aca="false">IF(X36="","Sairia — sem métrica",IF(PERCENTRANK($X$2:$X$354,X36)&lt;Critérios!$B$6,"Sairia — terço inferior","Fica"))</f>
        <v>Fica</v>
      </c>
      <c r="AB36" s="12" t="s">
        <v>105</v>
      </c>
      <c r="AC36" s="12" t="s">
        <v>267</v>
      </c>
      <c r="AD36" s="15" t="s">
        <v>95</v>
      </c>
      <c r="AE36" s="16"/>
      <c r="AF36" s="12" t="s">
        <v>268</v>
      </c>
      <c r="AG36" s="12" t="s">
        <v>311</v>
      </c>
      <c r="AH36" s="12" t="n">
        <f aca="false">COUNT(G36,I36,K36)+COUNTA(Q36:V36)</f>
        <v>4</v>
      </c>
      <c r="AI36" s="12" t="str">
        <f aca="false">IF(AH36&gt;=3,"Sim","Não")</f>
        <v>Sim</v>
      </c>
      <c r="AJ36" s="12" t="str">
        <f aca="false">IF(AND(Z36&lt;&gt;"",Z36&lt;=Critérios!$B$9),"Sim","Não")</f>
        <v>Sim</v>
      </c>
    </row>
    <row r="37" customFormat="false" ht="15" hidden="false" customHeight="false" outlineLevel="0" collapsed="false">
      <c r="A37" s="12" t="s">
        <v>312</v>
      </c>
      <c r="B37" s="12" t="s">
        <v>313</v>
      </c>
      <c r="C37" s="12" t="s">
        <v>314</v>
      </c>
      <c r="D37" s="12" t="s">
        <v>189</v>
      </c>
      <c r="E37" s="12" t="s">
        <v>91</v>
      </c>
      <c r="F37" s="12" t="s">
        <v>92</v>
      </c>
      <c r="G37" s="13" t="n">
        <v>4797512</v>
      </c>
      <c r="H37" s="13" t="n">
        <v>74731453</v>
      </c>
      <c r="I37" s="17"/>
      <c r="K37" s="13" t="n">
        <v>900827</v>
      </c>
      <c r="L37" s="12" t="n">
        <v>7.5</v>
      </c>
      <c r="M37" s="14" t="n">
        <f aca="false">IF(G37="","",PERCENTRANK($G$2:$G$354,G37))</f>
        <v>0.716</v>
      </c>
      <c r="N37" s="14" t="str">
        <f aca="false">IF(I37="","",PERCENTRANK($I$2:$I$354,I37))</f>
        <v/>
      </c>
      <c r="O37" s="14" t="n">
        <f aca="false">IF(K37="","",PERCENTRANK($K$2:$K$354,K37))</f>
        <v>0.832</v>
      </c>
      <c r="P37" s="12" t="n">
        <f aca="false">COUNT(M37:O37)</f>
        <v>2</v>
      </c>
      <c r="Q37" s="12" t="s">
        <v>315</v>
      </c>
      <c r="W37" s="12" t="n">
        <f aca="false">COUNTA(Q37:V37)</f>
        <v>1</v>
      </c>
      <c r="X37" s="14" t="n">
        <f aca="false">IF(P37=0,"",MIN(1,AVERAGE(M37:O37)+Critérios!$B$5*W37))</f>
        <v>0.804</v>
      </c>
      <c r="Y37" s="12" t="str">
        <f aca="false">IF(X37="","",IF(X37&gt;=Critérios!$B$7,"A",IF(X37&gt;=Critérios!$B$8,"B","C")))</f>
        <v>A</v>
      </c>
      <c r="Z37" s="12" t="n">
        <f aca="false">IF(X37="","",RANK(X37,$X$2:$X$354))</f>
        <v>36</v>
      </c>
      <c r="AA37" s="12" t="str">
        <f aca="false">IF(X37="","Sairia — sem métrica",IF(PERCENTRANK($X$2:$X$354,X37)&lt;Critérios!$B$6,"Sairia — terço inferior","Fica"))</f>
        <v>Fica</v>
      </c>
      <c r="AB37" s="12" t="s">
        <v>105</v>
      </c>
      <c r="AD37" s="15" t="s">
        <v>95</v>
      </c>
      <c r="AE37" s="16"/>
      <c r="AF37" s="12" t="s">
        <v>316</v>
      </c>
      <c r="AG37" s="12" t="s">
        <v>317</v>
      </c>
      <c r="AH37" s="12" t="n">
        <f aca="false">COUNT(G37,I37,K37)+COUNTA(Q37:V37)</f>
        <v>3</v>
      </c>
      <c r="AI37" s="12" t="str">
        <f aca="false">IF(AH37&gt;=3,"Sim","Não")</f>
        <v>Sim</v>
      </c>
      <c r="AJ37" s="12" t="str">
        <f aca="false">IF(AND(Z37&lt;&gt;"",Z37&lt;=Critérios!$B$9),"Sim","Não")</f>
        <v>Sim</v>
      </c>
    </row>
    <row r="38" customFormat="false" ht="15" hidden="false" customHeight="false" outlineLevel="0" collapsed="false">
      <c r="A38" s="12" t="s">
        <v>318</v>
      </c>
      <c r="B38" s="12" t="s">
        <v>319</v>
      </c>
      <c r="C38" s="12" t="s">
        <v>320</v>
      </c>
      <c r="D38" s="12" t="s">
        <v>321</v>
      </c>
      <c r="E38" s="12" t="s">
        <v>91</v>
      </c>
      <c r="F38" s="12" t="s">
        <v>92</v>
      </c>
      <c r="G38" s="13" t="n">
        <v>4026563</v>
      </c>
      <c r="H38" s="13" t="n">
        <v>32773928</v>
      </c>
      <c r="I38" s="13" t="n">
        <v>997000000</v>
      </c>
      <c r="J38" s="12" t="n">
        <v>1</v>
      </c>
      <c r="K38" s="13" t="n">
        <v>3238631</v>
      </c>
      <c r="L38" s="12" t="n">
        <v>9.1</v>
      </c>
      <c r="M38" s="14" t="n">
        <f aca="false">IF(G38="","",PERCENTRANK($G$2:$G$354,G38))</f>
        <v>0.575</v>
      </c>
      <c r="N38" s="14" t="n">
        <f aca="false">IF(I38="","",PERCENTRANK($I$2:$I$354,I38))</f>
        <v>0.746</v>
      </c>
      <c r="O38" s="14" t="n">
        <f aca="false">IF(K38="","",PERCENTRANK($K$2:$K$354,K38))</f>
        <v>1</v>
      </c>
      <c r="P38" s="12" t="n">
        <f aca="false">COUNT(M38:O38)</f>
        <v>3</v>
      </c>
      <c r="Q38" s="12" t="s">
        <v>322</v>
      </c>
      <c r="W38" s="12" t="n">
        <f aca="false">COUNTA(Q38:V38)</f>
        <v>1</v>
      </c>
      <c r="X38" s="14" t="n">
        <f aca="false">IF(P38=0,"",MIN(1,AVERAGE(M38:O38)+Critérios!$B$5*W38))</f>
        <v>0.803666666666667</v>
      </c>
      <c r="Y38" s="12" t="str">
        <f aca="false">IF(X38="","",IF(X38&gt;=Critérios!$B$7,"A",IF(X38&gt;=Critérios!$B$8,"B","C")))</f>
        <v>A</v>
      </c>
      <c r="Z38" s="12" t="n">
        <f aca="false">IF(X38="","",RANK(X38,$X$2:$X$354))</f>
        <v>37</v>
      </c>
      <c r="AA38" s="12" t="str">
        <f aca="false">IF(X38="","Sairia — sem métrica",IF(PERCENTRANK($X$2:$X$354,X38)&lt;Critérios!$B$6,"Sairia — terço inferior","Fica"))</f>
        <v>Fica</v>
      </c>
      <c r="AB38" s="12" t="s">
        <v>105</v>
      </c>
      <c r="AD38" s="15" t="s">
        <v>95</v>
      </c>
      <c r="AE38" s="16"/>
      <c r="AF38" s="12" t="s">
        <v>323</v>
      </c>
      <c r="AG38" s="12" t="s">
        <v>324</v>
      </c>
      <c r="AH38" s="12" t="n">
        <f aca="false">COUNT(G38,I38,K38)+COUNTA(Q38:V38)</f>
        <v>4</v>
      </c>
      <c r="AI38" s="12" t="str">
        <f aca="false">IF(AH38&gt;=3,"Sim","Não")</f>
        <v>Sim</v>
      </c>
      <c r="AJ38" s="12" t="str">
        <f aca="false">IF(AND(Z38&lt;&gt;"",Z38&lt;=Critérios!$B$9),"Sim","Não")</f>
        <v>Sim</v>
      </c>
    </row>
    <row r="39" customFormat="false" ht="15" hidden="false" customHeight="false" outlineLevel="0" collapsed="false">
      <c r="A39" s="12" t="s">
        <v>325</v>
      </c>
      <c r="B39" s="12" t="s">
        <v>326</v>
      </c>
      <c r="C39" s="12" t="s">
        <v>327</v>
      </c>
      <c r="D39" s="12" t="s">
        <v>111</v>
      </c>
      <c r="E39" s="12" t="s">
        <v>91</v>
      </c>
      <c r="F39" s="12" t="s">
        <v>92</v>
      </c>
      <c r="G39" s="13" t="n">
        <v>9809521</v>
      </c>
      <c r="H39" s="13" t="n">
        <v>145012895</v>
      </c>
      <c r="I39" s="13" t="n">
        <v>1242805359</v>
      </c>
      <c r="J39" s="12" t="n">
        <v>4</v>
      </c>
      <c r="K39" s="13" t="n">
        <v>378977</v>
      </c>
      <c r="L39" s="12" t="n">
        <v>7.5</v>
      </c>
      <c r="M39" s="14" t="n">
        <f aca="false">IF(G39="","",PERCENTRANK($G$2:$G$354,G39))</f>
        <v>0.961</v>
      </c>
      <c r="N39" s="14" t="n">
        <f aca="false">IF(I39="","",PERCENTRANK($I$2:$I$354,I39))</f>
        <v>0.881</v>
      </c>
      <c r="O39" s="14" t="n">
        <f aca="false">IF(K39="","",PERCENTRANK($K$2:$K$354,K39))</f>
        <v>0.446</v>
      </c>
      <c r="P39" s="12" t="n">
        <f aca="false">COUNT(M39:O39)</f>
        <v>3</v>
      </c>
      <c r="Q39" s="12" t="s">
        <v>328</v>
      </c>
      <c r="W39" s="12" t="n">
        <f aca="false">COUNTA(Q39:V39)</f>
        <v>1</v>
      </c>
      <c r="X39" s="14" t="n">
        <f aca="false">IF(P39=0,"",MIN(1,AVERAGE(M39:O39)+Critérios!$B$5*W39))</f>
        <v>0.792666666666667</v>
      </c>
      <c r="Y39" s="12" t="str">
        <f aca="false">IF(X39="","",IF(X39&gt;=Critérios!$B$7,"A",IF(X39&gt;=Critérios!$B$8,"B","C")))</f>
        <v>A</v>
      </c>
      <c r="Z39" s="12" t="n">
        <f aca="false">IF(X39="","",RANK(X39,$X$2:$X$354))</f>
        <v>38</v>
      </c>
      <c r="AA39" s="12" t="str">
        <f aca="false">IF(X39="","Sairia — sem métrica",IF(PERCENTRANK($X$2:$X$354,X39)&lt;Critérios!$B$6,"Sairia — terço inferior","Fica"))</f>
        <v>Fica</v>
      </c>
      <c r="AB39" s="12" t="s">
        <v>94</v>
      </c>
      <c r="AD39" s="15" t="s">
        <v>95</v>
      </c>
      <c r="AE39" s="16"/>
      <c r="AF39" s="12" t="s">
        <v>113</v>
      </c>
      <c r="AG39" s="12" t="s">
        <v>329</v>
      </c>
      <c r="AH39" s="12" t="n">
        <f aca="false">COUNT(G39,I39,K39)+COUNTA(Q39:V39)</f>
        <v>4</v>
      </c>
      <c r="AI39" s="12" t="str">
        <f aca="false">IF(AH39&gt;=3,"Sim","Não")</f>
        <v>Sim</v>
      </c>
      <c r="AJ39" s="12" t="str">
        <f aca="false">IF(AND(Z39&lt;&gt;"",Z39&lt;=Critérios!$B$9),"Sim","Não")</f>
        <v>Sim</v>
      </c>
    </row>
    <row r="40" customFormat="false" ht="15" hidden="false" customHeight="false" outlineLevel="0" collapsed="false">
      <c r="A40" s="12" t="s">
        <v>330</v>
      </c>
      <c r="B40" s="12" t="s">
        <v>331</v>
      </c>
      <c r="C40" s="12" t="s">
        <v>331</v>
      </c>
      <c r="D40" s="12" t="s">
        <v>189</v>
      </c>
      <c r="E40" s="12" t="s">
        <v>91</v>
      </c>
      <c r="F40" s="12" t="s">
        <v>92</v>
      </c>
      <c r="G40" s="13" t="n">
        <v>6044324</v>
      </c>
      <c r="H40" s="13" t="n">
        <v>81932430</v>
      </c>
      <c r="I40" s="13" t="n">
        <v>782612155</v>
      </c>
      <c r="J40" s="12" t="n">
        <v>9</v>
      </c>
      <c r="K40" s="13" t="n">
        <v>1275146</v>
      </c>
      <c r="L40" s="12" t="n">
        <v>8</v>
      </c>
      <c r="M40" s="14" t="n">
        <f aca="false">IF(G40="","",PERCENTRANK($G$2:$G$354,G40))</f>
        <v>0.807</v>
      </c>
      <c r="N40" s="14" t="n">
        <f aca="false">IF(I40="","",PERCENTRANK($I$2:$I$354,I40))</f>
        <v>0.525</v>
      </c>
      <c r="O40" s="14" t="n">
        <f aca="false">IF(K40="","",PERCENTRANK($K$2:$K$354,K40))</f>
        <v>0.952</v>
      </c>
      <c r="P40" s="12" t="n">
        <f aca="false">COUNT(M40:O40)</f>
        <v>3</v>
      </c>
      <c r="Q40" s="12" t="s">
        <v>332</v>
      </c>
      <c r="W40" s="12" t="n">
        <f aca="false">COUNTA(Q40:V40)</f>
        <v>1</v>
      </c>
      <c r="X40" s="14" t="n">
        <f aca="false">IF(P40=0,"",MIN(1,AVERAGE(M40:O40)+Critérios!$B$5*W40))</f>
        <v>0.791333333333333</v>
      </c>
      <c r="Y40" s="12" t="str">
        <f aca="false">IF(X40="","",IF(X40&gt;=Critérios!$B$7,"A",IF(X40&gt;=Critérios!$B$8,"B","C")))</f>
        <v>A</v>
      </c>
      <c r="Z40" s="12" t="n">
        <f aca="false">IF(X40="","",RANK(X40,$X$2:$X$354))</f>
        <v>39</v>
      </c>
      <c r="AA40" s="12" t="str">
        <f aca="false">IF(X40="","Sairia — sem métrica",IF(PERCENTRANK($X$2:$X$354,X40)&lt;Critérios!$B$6,"Sairia — terço inferior","Fica"))</f>
        <v>Fica</v>
      </c>
      <c r="AB40" s="12" t="s">
        <v>105</v>
      </c>
      <c r="AD40" s="15" t="s">
        <v>95</v>
      </c>
      <c r="AE40" s="16"/>
      <c r="AF40" s="12" t="s">
        <v>333</v>
      </c>
      <c r="AG40" s="12" t="s">
        <v>334</v>
      </c>
      <c r="AH40" s="12" t="n">
        <f aca="false">COUNT(G40,I40,K40)+COUNTA(Q40:V40)</f>
        <v>4</v>
      </c>
      <c r="AI40" s="12" t="str">
        <f aca="false">IF(AH40&gt;=3,"Sim","Não")</f>
        <v>Sim</v>
      </c>
      <c r="AJ40" s="12" t="str">
        <f aca="false">IF(AND(Z40&lt;&gt;"",Z40&lt;=Critérios!$B$9),"Sim","Não")</f>
        <v>Sim</v>
      </c>
    </row>
    <row r="41" customFormat="false" ht="15" hidden="false" customHeight="false" outlineLevel="0" collapsed="false">
      <c r="A41" s="12" t="s">
        <v>335</v>
      </c>
      <c r="B41" s="12" t="s">
        <v>336</v>
      </c>
      <c r="C41" s="12" t="s">
        <v>337</v>
      </c>
      <c r="D41" s="12" t="s">
        <v>207</v>
      </c>
      <c r="E41" s="12" t="s">
        <v>91</v>
      </c>
      <c r="F41" s="12" t="s">
        <v>92</v>
      </c>
      <c r="G41" s="13" t="n">
        <v>8671203</v>
      </c>
      <c r="H41" s="13" t="n">
        <v>136039247</v>
      </c>
      <c r="I41" s="17"/>
      <c r="K41" s="13" t="n">
        <v>510990</v>
      </c>
      <c r="L41" s="12" t="n">
        <v>6</v>
      </c>
      <c r="M41" s="14" t="n">
        <f aca="false">IF(G41="","",PERCENTRANK($G$2:$G$354,G41))</f>
        <v>0.928</v>
      </c>
      <c r="N41" s="14" t="str">
        <f aca="false">IF(I41="","",PERCENTRANK($I$2:$I$354,I41))</f>
        <v/>
      </c>
      <c r="O41" s="14" t="n">
        <f aca="false">IF(K41="","",PERCENTRANK($K$2:$K$354,K41))</f>
        <v>0.591</v>
      </c>
      <c r="P41" s="12" t="n">
        <f aca="false">COUNT(M41:O41)</f>
        <v>2</v>
      </c>
      <c r="Q41" s="12" t="s">
        <v>338</v>
      </c>
      <c r="W41" s="12" t="n">
        <f aca="false">COUNTA(Q41:V41)</f>
        <v>1</v>
      </c>
      <c r="X41" s="14" t="n">
        <f aca="false">IF(P41=0,"",MIN(1,AVERAGE(M41:O41)+Critérios!$B$5*W41))</f>
        <v>0.7895</v>
      </c>
      <c r="Y41" s="12" t="str">
        <f aca="false">IF(X41="","",IF(X41&gt;=Critérios!$B$7,"A",IF(X41&gt;=Critérios!$B$8,"B","C")))</f>
        <v>A</v>
      </c>
      <c r="Z41" s="12" t="n">
        <f aca="false">IF(X41="","",RANK(X41,$X$2:$X$354))</f>
        <v>40</v>
      </c>
      <c r="AA41" s="12" t="str">
        <f aca="false">IF(X41="","Sairia — sem métrica",IF(PERCENTRANK($X$2:$X$354,X41)&lt;Critérios!$B$6,"Sairia — terço inferior","Fica"))</f>
        <v>Fica</v>
      </c>
      <c r="AB41" s="12" t="s">
        <v>94</v>
      </c>
      <c r="AD41" s="15" t="s">
        <v>95</v>
      </c>
      <c r="AE41" s="16"/>
      <c r="AF41" s="12" t="s">
        <v>339</v>
      </c>
      <c r="AG41" s="12" t="s">
        <v>340</v>
      </c>
      <c r="AH41" s="12" t="n">
        <f aca="false">COUNT(G41,I41,K41)+COUNTA(Q41:V41)</f>
        <v>3</v>
      </c>
      <c r="AI41" s="12" t="str">
        <f aca="false">IF(AH41&gt;=3,"Sim","Não")</f>
        <v>Sim</v>
      </c>
      <c r="AJ41" s="12" t="str">
        <f aca="false">IF(AND(Z41&lt;&gt;"",Z41&lt;=Critérios!$B$9),"Sim","Não")</f>
        <v>Sim</v>
      </c>
    </row>
    <row r="42" customFormat="false" ht="15" hidden="false" customHeight="false" outlineLevel="0" collapsed="false">
      <c r="A42" s="12" t="s">
        <v>341</v>
      </c>
      <c r="B42" s="12" t="s">
        <v>342</v>
      </c>
      <c r="C42" s="12" t="s">
        <v>343</v>
      </c>
      <c r="D42" s="12" t="s">
        <v>90</v>
      </c>
      <c r="E42" s="12" t="s">
        <v>91</v>
      </c>
      <c r="F42" s="12" t="s">
        <v>92</v>
      </c>
      <c r="G42" s="13" t="n">
        <v>16249234</v>
      </c>
      <c r="H42" s="13" t="n">
        <v>265902594</v>
      </c>
      <c r="I42" s="13" t="n">
        <v>1662943394</v>
      </c>
      <c r="J42" s="12" t="n">
        <v>2</v>
      </c>
      <c r="K42" s="13" t="n">
        <v>296360</v>
      </c>
      <c r="L42" s="12" t="n">
        <v>6.8</v>
      </c>
      <c r="M42" s="14" t="n">
        <f aca="false">IF(G42="","",PERCENTRANK($G$2:$G$354,G42))</f>
        <v>0.987</v>
      </c>
      <c r="N42" s="14" t="n">
        <f aca="false">IF(I42="","",PERCENTRANK($I$2:$I$354,I42))</f>
        <v>0.953</v>
      </c>
      <c r="O42" s="14" t="n">
        <f aca="false">IF(K42="","",PERCENTRANK($K$2:$K$354,K42))</f>
        <v>0.335</v>
      </c>
      <c r="P42" s="12" t="n">
        <f aca="false">COUNT(M42:O42)</f>
        <v>3</v>
      </c>
      <c r="Q42" s="12" t="s">
        <v>344</v>
      </c>
      <c r="W42" s="12" t="n">
        <f aca="false">COUNTA(Q42:V42)</f>
        <v>1</v>
      </c>
      <c r="X42" s="14" t="n">
        <f aca="false">IF(P42=0,"",MIN(1,AVERAGE(M42:O42)+Critérios!$B$5*W42))</f>
        <v>0.788333333333333</v>
      </c>
      <c r="Y42" s="12" t="str">
        <f aca="false">IF(X42="","",IF(X42&gt;=Critérios!$B$7,"A",IF(X42&gt;=Critérios!$B$8,"B","C")))</f>
        <v>A</v>
      </c>
      <c r="Z42" s="12" t="n">
        <f aca="false">IF(X42="","",RANK(X42,$X$2:$X$354))</f>
        <v>41</v>
      </c>
      <c r="AA42" s="12" t="str">
        <f aca="false">IF(X42="","Sairia — sem métrica",IF(PERCENTRANK($X$2:$X$354,X42)&lt;Critérios!$B$6,"Sairia — terço inferior","Fica"))</f>
        <v>Fica</v>
      </c>
      <c r="AB42" s="12" t="s">
        <v>105</v>
      </c>
      <c r="AD42" s="15" t="s">
        <v>95</v>
      </c>
      <c r="AE42" s="16"/>
      <c r="AF42" s="12" t="s">
        <v>96</v>
      </c>
      <c r="AG42" s="12" t="s">
        <v>345</v>
      </c>
      <c r="AH42" s="12" t="n">
        <f aca="false">COUNT(G42,I42,K42)+COUNTA(Q42:V42)</f>
        <v>4</v>
      </c>
      <c r="AI42" s="12" t="str">
        <f aca="false">IF(AH42&gt;=3,"Sim","Não")</f>
        <v>Sim</v>
      </c>
      <c r="AJ42" s="12" t="str">
        <f aca="false">IF(AND(Z42&lt;&gt;"",Z42&lt;=Critérios!$B$9),"Sim","Não")</f>
        <v>Sim</v>
      </c>
    </row>
    <row r="43" customFormat="false" ht="15" hidden="false" customHeight="false" outlineLevel="0" collapsed="false">
      <c r="A43" s="12" t="s">
        <v>346</v>
      </c>
      <c r="B43" s="12" t="s">
        <v>347</v>
      </c>
      <c r="C43" s="12" t="s">
        <v>348</v>
      </c>
      <c r="D43" s="12" t="s">
        <v>118</v>
      </c>
      <c r="E43" s="12" t="s">
        <v>91</v>
      </c>
      <c r="F43" s="12" t="s">
        <v>92</v>
      </c>
      <c r="G43" s="13" t="n">
        <v>5809613</v>
      </c>
      <c r="H43" s="13" t="n">
        <v>114068386</v>
      </c>
      <c r="I43" s="13" t="n">
        <v>772245583</v>
      </c>
      <c r="J43" s="12" t="n">
        <v>7</v>
      </c>
      <c r="K43" s="13" t="n">
        <v>953108</v>
      </c>
      <c r="L43" s="12" t="n">
        <v>7.8</v>
      </c>
      <c r="M43" s="14" t="n">
        <f aca="false">IF(G43="","",PERCENTRANK($G$2:$G$354,G43))</f>
        <v>0.797</v>
      </c>
      <c r="N43" s="14" t="n">
        <f aca="false">IF(I43="","",PERCENTRANK($I$2:$I$354,I43))</f>
        <v>0.513</v>
      </c>
      <c r="O43" s="14" t="n">
        <f aca="false">IF(K43="","",PERCENTRANK($K$2:$K$354,K43))</f>
        <v>0.869</v>
      </c>
      <c r="P43" s="12" t="n">
        <f aca="false">COUNT(M43:O43)</f>
        <v>3</v>
      </c>
      <c r="Q43" s="12" t="s">
        <v>349</v>
      </c>
      <c r="T43" s="12" t="s">
        <v>350</v>
      </c>
      <c r="W43" s="12" t="n">
        <f aca="false">COUNTA(Q43:V43)</f>
        <v>2</v>
      </c>
      <c r="X43" s="14" t="n">
        <f aca="false">IF(P43=0,"",MIN(1,AVERAGE(M43:O43)+Critérios!$B$5*W43))</f>
        <v>0.786333333333333</v>
      </c>
      <c r="Y43" s="12" t="str">
        <f aca="false">IF(X43="","",IF(X43&gt;=Critérios!$B$7,"A",IF(X43&gt;=Critérios!$B$8,"B","C")))</f>
        <v>A</v>
      </c>
      <c r="Z43" s="12" t="n">
        <f aca="false">IF(X43="","",RANK(X43,$X$2:$X$354))</f>
        <v>42</v>
      </c>
      <c r="AA43" s="12" t="str">
        <f aca="false">IF(X43="","Sairia — sem métrica",IF(PERCENTRANK($X$2:$X$354,X43)&lt;Critérios!$B$6,"Sairia — terço inferior","Fica"))</f>
        <v>Fica</v>
      </c>
      <c r="AB43" s="12" t="s">
        <v>105</v>
      </c>
      <c r="AD43" s="15" t="s">
        <v>95</v>
      </c>
      <c r="AE43" s="16"/>
      <c r="AF43" s="12" t="s">
        <v>220</v>
      </c>
      <c r="AG43" s="12" t="s">
        <v>351</v>
      </c>
      <c r="AH43" s="12" t="n">
        <f aca="false">COUNT(G43,I43,K43)+COUNTA(Q43:V43)</f>
        <v>5</v>
      </c>
      <c r="AI43" s="12" t="str">
        <f aca="false">IF(AH43&gt;=3,"Sim","Não")</f>
        <v>Sim</v>
      </c>
      <c r="AJ43" s="12" t="str">
        <f aca="false">IF(AND(Z43&lt;&gt;"",Z43&lt;=Critérios!$B$9),"Sim","Não")</f>
        <v>Sim</v>
      </c>
    </row>
    <row r="44" customFormat="false" ht="15" hidden="false" customHeight="false" outlineLevel="0" collapsed="false">
      <c r="A44" s="12" t="s">
        <v>352</v>
      </c>
      <c r="B44" s="12" t="s">
        <v>353</v>
      </c>
      <c r="C44" s="12" t="s">
        <v>353</v>
      </c>
      <c r="D44" s="12" t="s">
        <v>207</v>
      </c>
      <c r="E44" s="12" t="s">
        <v>91</v>
      </c>
      <c r="F44" s="12" t="s">
        <v>92</v>
      </c>
      <c r="G44" s="13" t="n">
        <v>6359663</v>
      </c>
      <c r="H44" s="13" t="n">
        <v>99761710</v>
      </c>
      <c r="I44" s="13" t="n">
        <v>853983911</v>
      </c>
      <c r="J44" s="12" t="n">
        <v>9</v>
      </c>
      <c r="K44" s="13" t="n">
        <v>916614</v>
      </c>
      <c r="L44" s="12" t="n">
        <v>7.9</v>
      </c>
      <c r="M44" s="14" t="n">
        <f aca="false">IF(G44="","",PERCENTRANK($G$2:$G$354,G44))</f>
        <v>0.827</v>
      </c>
      <c r="N44" s="14" t="n">
        <f aca="false">IF(I44="","",PERCENTRANK($I$2:$I$354,I44))</f>
        <v>0.597</v>
      </c>
      <c r="O44" s="14" t="n">
        <f aca="false">IF(K44="","",PERCENTRANK($K$2:$K$354,K44))</f>
        <v>0.841</v>
      </c>
      <c r="P44" s="12" t="n">
        <f aca="false">COUNT(M44:O44)</f>
        <v>3</v>
      </c>
      <c r="Q44" s="12" t="s">
        <v>354</v>
      </c>
      <c r="W44" s="12" t="n">
        <f aca="false">COUNTA(Q44:V44)</f>
        <v>1</v>
      </c>
      <c r="X44" s="14" t="n">
        <f aca="false">IF(P44=0,"",MIN(1,AVERAGE(M44:O44)+Critérios!$B$5*W44))</f>
        <v>0.785</v>
      </c>
      <c r="Y44" s="12" t="str">
        <f aca="false">IF(X44="","",IF(X44&gt;=Critérios!$B$7,"A",IF(X44&gt;=Critérios!$B$8,"B","C")))</f>
        <v>A</v>
      </c>
      <c r="Z44" s="12" t="n">
        <f aca="false">IF(X44="","",RANK(X44,$X$2:$X$354))</f>
        <v>43</v>
      </c>
      <c r="AA44" s="12" t="str">
        <f aca="false">IF(X44="","Sairia — sem métrica",IF(PERCENTRANK($X$2:$X$354,X44)&lt;Critérios!$B$6,"Sairia — terço inferior","Fica"))</f>
        <v>Fica</v>
      </c>
      <c r="AB44" s="12" t="s">
        <v>105</v>
      </c>
      <c r="AD44" s="15" t="s">
        <v>95</v>
      </c>
      <c r="AE44" s="16"/>
      <c r="AF44" s="12" t="s">
        <v>260</v>
      </c>
      <c r="AG44" s="12" t="s">
        <v>355</v>
      </c>
      <c r="AH44" s="12" t="n">
        <f aca="false">COUNT(G44,I44,K44)+COUNTA(Q44:V44)</f>
        <v>4</v>
      </c>
      <c r="AI44" s="12" t="str">
        <f aca="false">IF(AH44&gt;=3,"Sim","Não")</f>
        <v>Sim</v>
      </c>
      <c r="AJ44" s="12" t="str">
        <f aca="false">IF(AND(Z44&lt;&gt;"",Z44&lt;=Critérios!$B$9),"Sim","Não")</f>
        <v>Sim</v>
      </c>
    </row>
    <row r="45" customFormat="false" ht="15" hidden="false" customHeight="false" outlineLevel="0" collapsed="false">
      <c r="A45" s="12" t="s">
        <v>356</v>
      </c>
      <c r="B45" s="12" t="s">
        <v>357</v>
      </c>
      <c r="C45" s="12" t="s">
        <v>357</v>
      </c>
      <c r="D45" s="12" t="s">
        <v>358</v>
      </c>
      <c r="E45" s="12" t="s">
        <v>91</v>
      </c>
      <c r="F45" s="12" t="s">
        <v>92</v>
      </c>
      <c r="G45" s="13" t="n">
        <v>4351729</v>
      </c>
      <c r="H45" s="13" t="n">
        <v>42384195</v>
      </c>
      <c r="I45" s="13" t="n">
        <v>1066969703</v>
      </c>
      <c r="J45" s="12" t="n">
        <v>1</v>
      </c>
      <c r="K45" s="13" t="n">
        <v>993536</v>
      </c>
      <c r="L45" s="12" t="n">
        <v>8.3</v>
      </c>
      <c r="M45" s="14" t="n">
        <f aca="false">IF(G45="","",PERCENTRANK($G$2:$G$354,G45))</f>
        <v>0.634</v>
      </c>
      <c r="N45" s="14" t="n">
        <f aca="false">IF(I45="","",PERCENTRANK($I$2:$I$354,I45))</f>
        <v>0.809</v>
      </c>
      <c r="O45" s="14" t="n">
        <f aca="false">IF(K45="","",PERCENTRANK($K$2:$K$354,K45))</f>
        <v>0.895</v>
      </c>
      <c r="P45" s="12" t="n">
        <f aca="false">COUNT(M45:O45)</f>
        <v>3</v>
      </c>
      <c r="W45" s="12" t="n">
        <f aca="false">COUNTA(Q45:V45)</f>
        <v>0</v>
      </c>
      <c r="X45" s="14" t="n">
        <f aca="false">IF(P45=0,"",MIN(1,AVERAGE(M45:O45)+Critérios!$B$5*W45))</f>
        <v>0.779333333333333</v>
      </c>
      <c r="Y45" s="12" t="str">
        <f aca="false">IF(X45="","",IF(X45&gt;=Critérios!$B$7,"A",IF(X45&gt;=Critérios!$B$8,"B","C")))</f>
        <v>A</v>
      </c>
      <c r="Z45" s="12" t="n">
        <f aca="false">IF(X45="","",RANK(X45,$X$2:$X$354))</f>
        <v>44</v>
      </c>
      <c r="AA45" s="12" t="str">
        <f aca="false">IF(X45="","Sairia — sem métrica",IF(PERCENTRANK($X$2:$X$354,X45)&lt;Critérios!$B$6,"Sairia — terço inferior","Fica"))</f>
        <v>Fica</v>
      </c>
      <c r="AB45" s="12" t="s">
        <v>105</v>
      </c>
      <c r="AD45" s="15" t="s">
        <v>95</v>
      </c>
      <c r="AE45" s="16"/>
      <c r="AF45" s="12" t="s">
        <v>359</v>
      </c>
      <c r="AG45" s="12" t="s">
        <v>360</v>
      </c>
      <c r="AH45" s="12" t="n">
        <f aca="false">COUNT(G45,I45,K45)+COUNTA(Q45:V45)</f>
        <v>3</v>
      </c>
      <c r="AI45" s="12" t="str">
        <f aca="false">IF(AH45&gt;=3,"Sim","Não")</f>
        <v>Sim</v>
      </c>
      <c r="AJ45" s="12" t="str">
        <f aca="false">IF(AND(Z45&lt;&gt;"",Z45&lt;=Critérios!$B$9),"Sim","Não")</f>
        <v>Sim</v>
      </c>
    </row>
    <row r="46" customFormat="false" ht="15" hidden="false" customHeight="false" outlineLevel="0" collapsed="false">
      <c r="A46" s="12" t="s">
        <v>361</v>
      </c>
      <c r="B46" s="12" t="s">
        <v>362</v>
      </c>
      <c r="C46" s="12" t="s">
        <v>363</v>
      </c>
      <c r="D46" s="12" t="s">
        <v>251</v>
      </c>
      <c r="E46" s="12" t="s">
        <v>91</v>
      </c>
      <c r="F46" s="12" t="s">
        <v>92</v>
      </c>
      <c r="G46" s="13" t="n">
        <v>22159705</v>
      </c>
      <c r="H46" s="13" t="n">
        <v>442101148</v>
      </c>
      <c r="I46" s="13" t="n">
        <v>1698863816</v>
      </c>
      <c r="J46" s="12" t="n">
        <v>1</v>
      </c>
      <c r="K46" s="13" t="n">
        <v>262004</v>
      </c>
      <c r="L46" s="12" t="n">
        <v>7.5</v>
      </c>
      <c r="M46" s="14" t="n">
        <f aca="false">IF(G46="","",PERCENTRANK($G$2:$G$354,G46))</f>
        <v>1</v>
      </c>
      <c r="N46" s="14" t="n">
        <f aca="false">IF(I46="","",PERCENTRANK($I$2:$I$354,I46))</f>
        <v>0.962</v>
      </c>
      <c r="O46" s="14" t="n">
        <f aca="false">IF(K46="","",PERCENTRANK($K$2:$K$354,K46))</f>
        <v>0.267</v>
      </c>
      <c r="P46" s="12" t="n">
        <f aca="false">COUNT(M46:O46)</f>
        <v>3</v>
      </c>
      <c r="Q46" s="12" t="s">
        <v>364</v>
      </c>
      <c r="W46" s="12" t="n">
        <f aca="false">COUNTA(Q46:V46)</f>
        <v>1</v>
      </c>
      <c r="X46" s="14" t="n">
        <f aca="false">IF(P46=0,"",MIN(1,AVERAGE(M46:O46)+Critérios!$B$5*W46))</f>
        <v>0.773</v>
      </c>
      <c r="Y46" s="12" t="str">
        <f aca="false">IF(X46="","",IF(X46&gt;=Critérios!$B$7,"A",IF(X46&gt;=Critérios!$B$8,"B","C")))</f>
        <v>A</v>
      </c>
      <c r="Z46" s="12" t="n">
        <f aca="false">IF(X46="","",RANK(X46,$X$2:$X$354))</f>
        <v>45</v>
      </c>
      <c r="AA46" s="12" t="str">
        <f aca="false">IF(X46="","Sairia — sem métrica",IF(PERCENTRANK($X$2:$X$354,X46)&lt;Critérios!$B$6,"Sairia — terço inferior","Fica"))</f>
        <v>Fica</v>
      </c>
      <c r="AB46" s="12" t="s">
        <v>94</v>
      </c>
      <c r="AD46" s="15" t="s">
        <v>95</v>
      </c>
      <c r="AE46" s="16"/>
      <c r="AF46" s="12" t="s">
        <v>365</v>
      </c>
      <c r="AG46" s="12" t="s">
        <v>366</v>
      </c>
      <c r="AH46" s="12" t="n">
        <f aca="false">COUNT(G46,I46,K46)+COUNTA(Q46:V46)</f>
        <v>4</v>
      </c>
      <c r="AI46" s="12" t="str">
        <f aca="false">IF(AH46&gt;=3,"Sim","Não")</f>
        <v>Sim</v>
      </c>
      <c r="AJ46" s="12" t="str">
        <f aca="false">IF(AND(Z46&lt;&gt;"",Z46&lt;=Critérios!$B$9),"Sim","Não")</f>
        <v>Sim</v>
      </c>
    </row>
    <row r="47" customFormat="false" ht="15" hidden="false" customHeight="false" outlineLevel="0" collapsed="false">
      <c r="A47" s="12" t="s">
        <v>367</v>
      </c>
      <c r="B47" s="12" t="s">
        <v>368</v>
      </c>
      <c r="C47" s="12" t="s">
        <v>369</v>
      </c>
      <c r="D47" s="12" t="s">
        <v>207</v>
      </c>
      <c r="E47" s="12" t="s">
        <v>91</v>
      </c>
      <c r="F47" s="12" t="s">
        <v>92</v>
      </c>
      <c r="G47" s="13" t="n">
        <v>8308655</v>
      </c>
      <c r="H47" s="13" t="n">
        <v>130086233</v>
      </c>
      <c r="I47" s="13" t="n">
        <v>1263521126</v>
      </c>
      <c r="J47" s="12" t="n">
        <v>2</v>
      </c>
      <c r="K47" s="13" t="n">
        <v>363573</v>
      </c>
      <c r="L47" s="12" t="n">
        <v>7.1</v>
      </c>
      <c r="M47" s="14" t="n">
        <f aca="false">IF(G47="","",PERCENTRANK($G$2:$G$354,G47))</f>
        <v>0.912</v>
      </c>
      <c r="N47" s="14" t="n">
        <f aca="false">IF(I47="","",PERCENTRANK($I$2:$I$354,I47))</f>
        <v>0.886</v>
      </c>
      <c r="O47" s="14" t="n">
        <f aca="false">IF(K47="","",PERCENTRANK($K$2:$K$354,K47))</f>
        <v>0.423</v>
      </c>
      <c r="P47" s="12" t="n">
        <f aca="false">COUNT(M47:O47)</f>
        <v>3</v>
      </c>
      <c r="Q47" s="12" t="s">
        <v>370</v>
      </c>
      <c r="W47" s="12" t="n">
        <f aca="false">COUNTA(Q47:V47)</f>
        <v>1</v>
      </c>
      <c r="X47" s="14" t="n">
        <f aca="false">IF(P47=0,"",MIN(1,AVERAGE(M47:O47)+Critérios!$B$5*W47))</f>
        <v>0.770333333333333</v>
      </c>
      <c r="Y47" s="12" t="str">
        <f aca="false">IF(X47="","",IF(X47&gt;=Critérios!$B$7,"A",IF(X47&gt;=Critérios!$B$8,"B","C")))</f>
        <v>A</v>
      </c>
      <c r="Z47" s="12" t="n">
        <f aca="false">IF(X47="","",RANK(X47,$X$2:$X$354))</f>
        <v>46</v>
      </c>
      <c r="AA47" s="12" t="str">
        <f aca="false">IF(X47="","Sairia — sem métrica",IF(PERCENTRANK($X$2:$X$354,X47)&lt;Critérios!$B$6,"Sairia — terço inferior","Fica"))</f>
        <v>Fica</v>
      </c>
      <c r="AB47" s="12" t="s">
        <v>105</v>
      </c>
      <c r="AD47" s="15" t="s">
        <v>95</v>
      </c>
      <c r="AE47" s="16"/>
      <c r="AF47" s="12" t="s">
        <v>371</v>
      </c>
      <c r="AG47" s="12" t="s">
        <v>372</v>
      </c>
      <c r="AH47" s="12" t="n">
        <f aca="false">COUNT(G47,I47,K47)+COUNTA(Q47:V47)</f>
        <v>4</v>
      </c>
      <c r="AI47" s="12" t="str">
        <f aca="false">IF(AH47&gt;=3,"Sim","Não")</f>
        <v>Sim</v>
      </c>
      <c r="AJ47" s="12" t="str">
        <f aca="false">IF(AND(Z47&lt;&gt;"",Z47&lt;=Critérios!$B$9),"Sim","Não")</f>
        <v>Sim</v>
      </c>
    </row>
    <row r="48" customFormat="false" ht="15" hidden="false" customHeight="false" outlineLevel="0" collapsed="false">
      <c r="A48" s="12" t="s">
        <v>373</v>
      </c>
      <c r="B48" s="12" t="s">
        <v>374</v>
      </c>
      <c r="C48" s="12" t="s">
        <v>374</v>
      </c>
      <c r="D48" s="12" t="s">
        <v>111</v>
      </c>
      <c r="E48" s="12" t="s">
        <v>91</v>
      </c>
      <c r="F48" s="12" t="s">
        <v>92</v>
      </c>
      <c r="G48" s="13" t="n">
        <v>5584309</v>
      </c>
      <c r="H48" s="13" t="n">
        <v>92326364</v>
      </c>
      <c r="I48" s="13" t="n">
        <v>1148528393</v>
      </c>
      <c r="J48" s="12" t="n">
        <v>5</v>
      </c>
      <c r="K48" s="13" t="n">
        <v>561069</v>
      </c>
      <c r="L48" s="12" t="n">
        <v>6.8</v>
      </c>
      <c r="M48" s="14" t="n">
        <f aca="false">IF(G48="","",PERCENTRANK($G$2:$G$354,G48))</f>
        <v>0.781</v>
      </c>
      <c r="N48" s="14" t="n">
        <f aca="false">IF(I48="","",PERCENTRANK($I$2:$I$354,I48))</f>
        <v>0.86</v>
      </c>
      <c r="O48" s="14" t="n">
        <f aca="false">IF(K48="","",PERCENTRANK($K$2:$K$354,K48))</f>
        <v>0.639</v>
      </c>
      <c r="P48" s="12" t="n">
        <f aca="false">COUNT(M48:O48)</f>
        <v>3</v>
      </c>
      <c r="W48" s="12" t="n">
        <f aca="false">COUNTA(Q48:V48)</f>
        <v>0</v>
      </c>
      <c r="X48" s="14" t="n">
        <f aca="false">IF(P48=0,"",MIN(1,AVERAGE(M48:O48)+Critérios!$B$5*W48))</f>
        <v>0.76</v>
      </c>
      <c r="Y48" s="12" t="str">
        <f aca="false">IF(X48="","",IF(X48&gt;=Critérios!$B$7,"A",IF(X48&gt;=Critérios!$B$8,"B","C")))</f>
        <v>A</v>
      </c>
      <c r="Z48" s="12" t="n">
        <f aca="false">IF(X48="","",RANK(X48,$X$2:$X$354))</f>
        <v>47</v>
      </c>
      <c r="AA48" s="12" t="str">
        <f aca="false">IF(X48="","Sairia — sem métrica",IF(PERCENTRANK($X$2:$X$354,X48)&lt;Critérios!$B$6,"Sairia — terço inferior","Fica"))</f>
        <v>Fica</v>
      </c>
      <c r="AB48" s="12" t="s">
        <v>105</v>
      </c>
      <c r="AD48" s="15" t="s">
        <v>95</v>
      </c>
      <c r="AE48" s="16"/>
      <c r="AF48" s="12" t="s">
        <v>375</v>
      </c>
      <c r="AG48" s="12" t="s">
        <v>376</v>
      </c>
      <c r="AH48" s="12" t="n">
        <f aca="false">COUNT(G48,I48,K48)+COUNTA(Q48:V48)</f>
        <v>3</v>
      </c>
      <c r="AI48" s="12" t="str">
        <f aca="false">IF(AH48&gt;=3,"Sim","Não")</f>
        <v>Sim</v>
      </c>
      <c r="AJ48" s="12" t="str">
        <f aca="false">IF(AND(Z48&lt;&gt;"",Z48&lt;=Critérios!$B$9),"Sim","Não")</f>
        <v>Sim</v>
      </c>
    </row>
    <row r="49" customFormat="false" ht="15" hidden="false" customHeight="false" outlineLevel="0" collapsed="false">
      <c r="A49" s="12" t="s">
        <v>377</v>
      </c>
      <c r="B49" s="12" t="s">
        <v>378</v>
      </c>
      <c r="C49" s="12" t="s">
        <v>379</v>
      </c>
      <c r="D49" s="12" t="s">
        <v>175</v>
      </c>
      <c r="E49" s="12" t="s">
        <v>91</v>
      </c>
      <c r="F49" s="12" t="s">
        <v>92</v>
      </c>
      <c r="G49" s="13" t="n">
        <v>6564765</v>
      </c>
      <c r="H49" s="13" t="n">
        <v>133245440</v>
      </c>
      <c r="I49" s="13" t="n">
        <v>1360847665</v>
      </c>
      <c r="J49" s="12" t="n">
        <v>2</v>
      </c>
      <c r="K49" s="13" t="n">
        <v>303322</v>
      </c>
      <c r="L49" s="12" t="n">
        <v>7</v>
      </c>
      <c r="M49" s="14" t="n">
        <f aca="false">IF(G49="","",PERCENTRANK($G$2:$G$354,G49))</f>
        <v>0.84</v>
      </c>
      <c r="N49" s="14" t="n">
        <f aca="false">IF(I49="","",PERCENTRANK($I$2:$I$354,I49))</f>
        <v>0.915</v>
      </c>
      <c r="O49" s="14" t="n">
        <f aca="false">IF(K49="","",PERCENTRANK($K$2:$K$354,K49))</f>
        <v>0.341</v>
      </c>
      <c r="P49" s="12" t="n">
        <f aca="false">COUNT(M49:O49)</f>
        <v>3</v>
      </c>
      <c r="Q49" s="12" t="s">
        <v>380</v>
      </c>
      <c r="S49" s="12" t="s">
        <v>381</v>
      </c>
      <c r="W49" s="12" t="n">
        <f aca="false">COUNTA(Q49:V49)</f>
        <v>2</v>
      </c>
      <c r="X49" s="14" t="n">
        <f aca="false">IF(P49=0,"",MIN(1,AVERAGE(M49:O49)+Critérios!$B$5*W49))</f>
        <v>0.758666666666667</v>
      </c>
      <c r="Y49" s="12" t="str">
        <f aca="false">IF(X49="","",IF(X49&gt;=Critérios!$B$7,"A",IF(X49&gt;=Critérios!$B$8,"B","C")))</f>
        <v>A</v>
      </c>
      <c r="Z49" s="12" t="n">
        <f aca="false">IF(X49="","",RANK(X49,$X$2:$X$354))</f>
        <v>48</v>
      </c>
      <c r="AA49" s="12" t="str">
        <f aca="false">IF(X49="","Sairia — sem métrica",IF(PERCENTRANK($X$2:$X$354,X49)&lt;Critérios!$B$6,"Sairia — terço inferior","Fica"))</f>
        <v>Fica</v>
      </c>
      <c r="AB49" s="12" t="s">
        <v>105</v>
      </c>
      <c r="AD49" s="15" t="s">
        <v>95</v>
      </c>
      <c r="AE49" s="16"/>
      <c r="AF49" s="12" t="s">
        <v>382</v>
      </c>
      <c r="AG49" s="12" t="s">
        <v>383</v>
      </c>
      <c r="AH49" s="12" t="n">
        <f aca="false">COUNT(G49,I49,K49)+COUNTA(Q49:V49)</f>
        <v>5</v>
      </c>
      <c r="AI49" s="12" t="str">
        <f aca="false">IF(AH49&gt;=3,"Sim","Não")</f>
        <v>Sim</v>
      </c>
      <c r="AJ49" s="12" t="str">
        <f aca="false">IF(AND(Z49&lt;&gt;"",Z49&lt;=Critérios!$B$9),"Sim","Não")</f>
        <v>Sim</v>
      </c>
    </row>
    <row r="50" customFormat="false" ht="15" hidden="false" customHeight="false" outlineLevel="0" collapsed="false">
      <c r="A50" s="12" t="s">
        <v>384</v>
      </c>
      <c r="B50" s="12" t="s">
        <v>385</v>
      </c>
      <c r="C50" s="12" t="s">
        <v>386</v>
      </c>
      <c r="D50" s="12" t="s">
        <v>207</v>
      </c>
      <c r="E50" s="12" t="s">
        <v>91</v>
      </c>
      <c r="F50" s="12" t="s">
        <v>92</v>
      </c>
      <c r="G50" s="13" t="n">
        <v>7011338</v>
      </c>
      <c r="H50" s="13" t="n">
        <v>109894366</v>
      </c>
      <c r="I50" s="13" t="n">
        <v>822303505</v>
      </c>
      <c r="J50" s="12" t="n">
        <v>10</v>
      </c>
      <c r="K50" s="13" t="n">
        <v>743053</v>
      </c>
      <c r="L50" s="12" t="n">
        <v>7.3</v>
      </c>
      <c r="M50" s="14" t="n">
        <f aca="false">IF(G50="","",PERCENTRANK($G$2:$G$354,G50))</f>
        <v>0.856</v>
      </c>
      <c r="N50" s="14" t="n">
        <f aca="false">IF(I50="","",PERCENTRANK($I$2:$I$354,I50))</f>
        <v>0.572</v>
      </c>
      <c r="O50" s="14" t="n">
        <f aca="false">IF(K50="","",PERCENTRANK($K$2:$K$354,K50))</f>
        <v>0.753</v>
      </c>
      <c r="P50" s="12" t="n">
        <f aca="false">COUNT(M50:O50)</f>
        <v>3</v>
      </c>
      <c r="Q50" s="12" t="s">
        <v>387</v>
      </c>
      <c r="W50" s="12" t="n">
        <f aca="false">COUNTA(Q50:V50)</f>
        <v>1</v>
      </c>
      <c r="X50" s="14" t="n">
        <f aca="false">IF(P50=0,"",MIN(1,AVERAGE(M50:O50)+Critérios!$B$5*W50))</f>
        <v>0.757</v>
      </c>
      <c r="Y50" s="12" t="str">
        <f aca="false">IF(X50="","",IF(X50&gt;=Critérios!$B$7,"A",IF(X50&gt;=Critérios!$B$8,"B","C")))</f>
        <v>A</v>
      </c>
      <c r="Z50" s="12" t="n">
        <f aca="false">IF(X50="","",RANK(X50,$X$2:$X$354))</f>
        <v>49</v>
      </c>
      <c r="AA50" s="12" t="str">
        <f aca="false">IF(X50="","Sairia — sem métrica",IF(PERCENTRANK($X$2:$X$354,X50)&lt;Critérios!$B$6,"Sairia — terço inferior","Fica"))</f>
        <v>Fica</v>
      </c>
      <c r="AB50" s="12" t="s">
        <v>105</v>
      </c>
      <c r="AD50" s="15" t="s">
        <v>95</v>
      </c>
      <c r="AE50" s="16"/>
      <c r="AF50" s="12" t="s">
        <v>260</v>
      </c>
      <c r="AG50" s="12" t="s">
        <v>388</v>
      </c>
      <c r="AH50" s="12" t="n">
        <f aca="false">COUNT(G50,I50,K50)+COUNTA(Q50:V50)</f>
        <v>4</v>
      </c>
      <c r="AI50" s="12" t="str">
        <f aca="false">IF(AH50&gt;=3,"Sim","Não")</f>
        <v>Sim</v>
      </c>
      <c r="AJ50" s="12" t="str">
        <f aca="false">IF(AND(Z50&lt;&gt;"",Z50&lt;=Critérios!$B$9),"Sim","Não")</f>
        <v>Sim</v>
      </c>
    </row>
    <row r="51" customFormat="false" ht="15" hidden="false" customHeight="false" outlineLevel="0" collapsed="false">
      <c r="A51" s="12" t="s">
        <v>389</v>
      </c>
      <c r="B51" s="12" t="s">
        <v>390</v>
      </c>
      <c r="C51" s="12" t="s">
        <v>391</v>
      </c>
      <c r="D51" s="12" t="s">
        <v>286</v>
      </c>
      <c r="E51" s="12" t="s">
        <v>91</v>
      </c>
      <c r="F51" s="12" t="s">
        <v>92</v>
      </c>
      <c r="G51" s="13" t="n">
        <v>4743030</v>
      </c>
      <c r="H51" s="13" t="n">
        <v>27308124</v>
      </c>
      <c r="I51" s="13" t="n">
        <v>871014978</v>
      </c>
      <c r="J51" s="12" t="n">
        <v>2</v>
      </c>
      <c r="K51" s="13" t="n">
        <v>1228269</v>
      </c>
      <c r="L51" s="12" t="n">
        <v>8.2</v>
      </c>
      <c r="M51" s="14" t="n">
        <f aca="false">IF(G51="","",PERCENTRANK($G$2:$G$354,G51))</f>
        <v>0.703</v>
      </c>
      <c r="N51" s="14" t="n">
        <f aca="false">IF(I51="","",PERCENTRANK($I$2:$I$354,I51))</f>
        <v>0.623</v>
      </c>
      <c r="O51" s="14" t="n">
        <f aca="false">IF(K51="","",PERCENTRANK($K$2:$K$354,K51))</f>
        <v>0.938</v>
      </c>
      <c r="P51" s="12" t="n">
        <f aca="false">COUNT(M51:O51)</f>
        <v>3</v>
      </c>
      <c r="W51" s="12" t="n">
        <f aca="false">COUNTA(Q51:V51)</f>
        <v>0</v>
      </c>
      <c r="X51" s="14" t="n">
        <f aca="false">IF(P51=0,"",MIN(1,AVERAGE(M51:O51)+Critérios!$B$5*W51))</f>
        <v>0.754666666666667</v>
      </c>
      <c r="Y51" s="12" t="str">
        <f aca="false">IF(X51="","",IF(X51&gt;=Critérios!$B$7,"A",IF(X51&gt;=Critérios!$B$8,"B","C")))</f>
        <v>A</v>
      </c>
      <c r="Z51" s="12" t="n">
        <f aca="false">IF(X51="","",RANK(X51,$X$2:$X$354))</f>
        <v>50</v>
      </c>
      <c r="AA51" s="12" t="str">
        <f aca="false">IF(X51="","Sairia — sem métrica",IF(PERCENTRANK($X$2:$X$354,X51)&lt;Critérios!$B$6,"Sairia — terço inferior","Fica"))</f>
        <v>Fica</v>
      </c>
      <c r="AB51" s="12" t="s">
        <v>105</v>
      </c>
      <c r="AD51" s="15" t="s">
        <v>95</v>
      </c>
      <c r="AE51" s="16"/>
      <c r="AF51" s="12" t="s">
        <v>287</v>
      </c>
      <c r="AG51" s="12" t="s">
        <v>392</v>
      </c>
      <c r="AH51" s="12" t="n">
        <f aca="false">COUNT(G51,I51,K51)+COUNTA(Q51:V51)</f>
        <v>3</v>
      </c>
      <c r="AI51" s="12" t="str">
        <f aca="false">IF(AH51&gt;=3,"Sim","Não")</f>
        <v>Sim</v>
      </c>
      <c r="AJ51" s="12" t="str">
        <f aca="false">IF(AND(Z51&lt;&gt;"",Z51&lt;=Critérios!$B$9),"Sim","Não")</f>
        <v>Sim</v>
      </c>
    </row>
    <row r="52" customFormat="false" ht="15" hidden="false" customHeight="false" outlineLevel="0" collapsed="false">
      <c r="A52" s="12" t="s">
        <v>393</v>
      </c>
      <c r="B52" s="12" t="s">
        <v>394</v>
      </c>
      <c r="C52" s="12" t="s">
        <v>395</v>
      </c>
      <c r="D52" s="12" t="s">
        <v>396</v>
      </c>
      <c r="E52" s="12" t="s">
        <v>91</v>
      </c>
      <c r="F52" s="12" t="s">
        <v>92</v>
      </c>
      <c r="G52" s="13" t="n">
        <v>4399487</v>
      </c>
      <c r="H52" s="13" t="n">
        <v>22904233</v>
      </c>
      <c r="I52" s="13" t="n">
        <v>974755371</v>
      </c>
      <c r="J52" s="12" t="n">
        <v>1</v>
      </c>
      <c r="K52" s="13" t="n">
        <v>970153</v>
      </c>
      <c r="L52" s="12" t="n">
        <v>7.7</v>
      </c>
      <c r="M52" s="14" t="n">
        <f aca="false">IF(G52="","",PERCENTRANK($G$2:$G$354,G52))</f>
        <v>0.647</v>
      </c>
      <c r="N52" s="14" t="n">
        <f aca="false">IF(I52="","",PERCENTRANK($I$2:$I$354,I52))</f>
        <v>0.737</v>
      </c>
      <c r="O52" s="14" t="n">
        <f aca="false">IF(K52="","",PERCENTRANK($K$2:$K$354,K52))</f>
        <v>0.878</v>
      </c>
      <c r="P52" s="12" t="n">
        <f aca="false">COUNT(M52:O52)</f>
        <v>3</v>
      </c>
      <c r="W52" s="12" t="n">
        <f aca="false">COUNTA(Q52:V52)</f>
        <v>0</v>
      </c>
      <c r="X52" s="14" t="n">
        <f aca="false">IF(P52=0,"",MIN(1,AVERAGE(M52:O52)+Critérios!$B$5*W52))</f>
        <v>0.754</v>
      </c>
      <c r="Y52" s="12" t="str">
        <f aca="false">IF(X52="","",IF(X52&gt;=Critérios!$B$7,"A",IF(X52&gt;=Critérios!$B$8,"B","C")))</f>
        <v>A</v>
      </c>
      <c r="Z52" s="12" t="n">
        <f aca="false">IF(X52="","",RANK(X52,$X$2:$X$354))</f>
        <v>51</v>
      </c>
      <c r="AA52" s="12" t="str">
        <f aca="false">IF(X52="","Sairia — sem métrica",IF(PERCENTRANK($X$2:$X$354,X52)&lt;Critérios!$B$6,"Sairia — terço inferior","Fica"))</f>
        <v>Fica</v>
      </c>
      <c r="AB52" s="12" t="s">
        <v>105</v>
      </c>
      <c r="AD52" s="15" t="s">
        <v>95</v>
      </c>
      <c r="AE52" s="16"/>
      <c r="AF52" s="12" t="s">
        <v>397</v>
      </c>
      <c r="AG52" s="12" t="s">
        <v>398</v>
      </c>
      <c r="AH52" s="12" t="n">
        <f aca="false">COUNT(G52,I52,K52)+COUNTA(Q52:V52)</f>
        <v>3</v>
      </c>
      <c r="AI52" s="12" t="str">
        <f aca="false">IF(AH52&gt;=3,"Sim","Não")</f>
        <v>Sim</v>
      </c>
      <c r="AJ52" s="12" t="str">
        <f aca="false">IF(AND(Z52&lt;&gt;"",Z52&lt;=Critérios!$B$9),"Sim","Não")</f>
        <v>Não</v>
      </c>
    </row>
    <row r="53" customFormat="false" ht="15" hidden="false" customHeight="false" outlineLevel="0" collapsed="false">
      <c r="A53" s="12" t="s">
        <v>399</v>
      </c>
      <c r="B53" s="12" t="s">
        <v>400</v>
      </c>
      <c r="C53" s="12" t="s">
        <v>401</v>
      </c>
      <c r="D53" s="12" t="s">
        <v>273</v>
      </c>
      <c r="E53" s="12" t="s">
        <v>91</v>
      </c>
      <c r="F53" s="12" t="s">
        <v>92</v>
      </c>
      <c r="G53" s="13" t="n">
        <v>4133452</v>
      </c>
      <c r="H53" s="13" t="n">
        <v>26319044</v>
      </c>
      <c r="I53" s="13" t="n">
        <v>936689735</v>
      </c>
      <c r="J53" s="12" t="n">
        <v>1</v>
      </c>
      <c r="K53" s="13" t="n">
        <v>1990244</v>
      </c>
      <c r="L53" s="12" t="n">
        <v>8.8</v>
      </c>
      <c r="M53" s="14" t="n">
        <f aca="false">IF(G53="","",PERCENTRANK($G$2:$G$354,G53))</f>
        <v>0.595</v>
      </c>
      <c r="N53" s="14" t="n">
        <f aca="false">IF(I53="","",PERCENTRANK($I$2:$I$354,I53))</f>
        <v>0.682</v>
      </c>
      <c r="O53" s="14" t="n">
        <f aca="false">IF(K53="","",PERCENTRANK($K$2:$K$354,K53))</f>
        <v>0.983</v>
      </c>
      <c r="P53" s="12" t="n">
        <f aca="false">COUNT(M53:O53)</f>
        <v>3</v>
      </c>
      <c r="W53" s="12" t="n">
        <f aca="false">COUNTA(Q53:V53)</f>
        <v>0</v>
      </c>
      <c r="X53" s="14" t="n">
        <f aca="false">IF(P53=0,"",MIN(1,AVERAGE(M53:O53)+Critérios!$B$5*W53))</f>
        <v>0.753333333333333</v>
      </c>
      <c r="Y53" s="12" t="str">
        <f aca="false">IF(X53="","",IF(X53&gt;=Critérios!$B$7,"A",IF(X53&gt;=Critérios!$B$8,"B","C")))</f>
        <v>A</v>
      </c>
      <c r="Z53" s="12" t="n">
        <f aca="false">IF(X53="","",RANK(X53,$X$2:$X$354))</f>
        <v>52</v>
      </c>
      <c r="AA53" s="12" t="str">
        <f aca="false">IF(X53="","Sairia — sem métrica",IF(PERCENTRANK($X$2:$X$354,X53)&lt;Critérios!$B$6,"Sairia — terço inferior","Fica"))</f>
        <v>Fica</v>
      </c>
      <c r="AB53" s="12" t="s">
        <v>94</v>
      </c>
      <c r="AD53" s="15" t="s">
        <v>95</v>
      </c>
      <c r="AE53" s="16"/>
      <c r="AF53" s="12" t="s">
        <v>275</v>
      </c>
      <c r="AG53" s="12" t="s">
        <v>402</v>
      </c>
      <c r="AH53" s="12" t="n">
        <f aca="false">COUNT(G53,I53,K53)+COUNTA(Q53:V53)</f>
        <v>3</v>
      </c>
      <c r="AI53" s="12" t="str">
        <f aca="false">IF(AH53&gt;=3,"Sim","Não")</f>
        <v>Sim</v>
      </c>
      <c r="AJ53" s="12" t="str">
        <f aca="false">IF(AND(Z53&lt;&gt;"",Z53&lt;=Critérios!$B$9),"Sim","Não")</f>
        <v>Não</v>
      </c>
    </row>
    <row r="54" customFormat="false" ht="15" hidden="false" customHeight="false" outlineLevel="0" collapsed="false">
      <c r="A54" s="12" t="s">
        <v>403</v>
      </c>
      <c r="B54" s="12" t="s">
        <v>404</v>
      </c>
      <c r="C54" s="12" t="s">
        <v>405</v>
      </c>
      <c r="D54" s="12" t="s">
        <v>396</v>
      </c>
      <c r="E54" s="12" t="s">
        <v>91</v>
      </c>
      <c r="F54" s="12" t="s">
        <v>92</v>
      </c>
      <c r="G54" s="13" t="n">
        <v>4286797</v>
      </c>
      <c r="H54" s="13" t="n">
        <v>24560341</v>
      </c>
      <c r="I54" s="13" t="n">
        <v>883726270</v>
      </c>
      <c r="J54" s="12" t="n">
        <v>2</v>
      </c>
      <c r="K54" s="13" t="n">
        <v>2244376</v>
      </c>
      <c r="L54" s="12" t="n">
        <v>8.9</v>
      </c>
      <c r="M54" s="14" t="n">
        <f aca="false">IF(G54="","",PERCENTRANK($G$2:$G$354,G54))</f>
        <v>0.611</v>
      </c>
      <c r="N54" s="14" t="n">
        <f aca="false">IF(I54="","",PERCENTRANK($I$2:$I$354,I54))</f>
        <v>0.653</v>
      </c>
      <c r="O54" s="14" t="n">
        <f aca="false">IF(K54="","",PERCENTRANK($K$2:$K$354,K54))</f>
        <v>0.991</v>
      </c>
      <c r="P54" s="12" t="n">
        <f aca="false">COUNT(M54:O54)</f>
        <v>3</v>
      </c>
      <c r="W54" s="12" t="n">
        <f aca="false">COUNTA(Q54:V54)</f>
        <v>0</v>
      </c>
      <c r="X54" s="14" t="n">
        <f aca="false">IF(P54=0,"",MIN(1,AVERAGE(M54:O54)+Critérios!$B$5*W54))</f>
        <v>0.751666666666667</v>
      </c>
      <c r="Y54" s="12" t="str">
        <f aca="false">IF(X54="","",IF(X54&gt;=Critérios!$B$7,"A",IF(X54&gt;=Critérios!$B$8,"B","C")))</f>
        <v>A</v>
      </c>
      <c r="Z54" s="12" t="n">
        <f aca="false">IF(X54="","",RANK(X54,$X$2:$X$354))</f>
        <v>53</v>
      </c>
      <c r="AA54" s="12" t="str">
        <f aca="false">IF(X54="","Sairia — sem métrica",IF(PERCENTRANK($X$2:$X$354,X54)&lt;Critérios!$B$6,"Sairia — terço inferior","Fica"))</f>
        <v>Fica</v>
      </c>
      <c r="AB54" s="12" t="s">
        <v>94</v>
      </c>
      <c r="AD54" s="15" t="s">
        <v>95</v>
      </c>
      <c r="AE54" s="16"/>
      <c r="AF54" s="12" t="s">
        <v>406</v>
      </c>
      <c r="AG54" s="12" t="s">
        <v>407</v>
      </c>
      <c r="AH54" s="12" t="n">
        <f aca="false">COUNT(G54,I54,K54)+COUNTA(Q54:V54)</f>
        <v>3</v>
      </c>
      <c r="AI54" s="12" t="str">
        <f aca="false">IF(AH54&gt;=3,"Sim","Não")</f>
        <v>Sim</v>
      </c>
      <c r="AJ54" s="12" t="str">
        <f aca="false">IF(AND(Z54&lt;&gt;"",Z54&lt;=Critérios!$B$9),"Sim","Não")</f>
        <v>Não</v>
      </c>
    </row>
    <row r="55" customFormat="false" ht="15" hidden="false" customHeight="false" outlineLevel="0" collapsed="false">
      <c r="A55" s="12" t="s">
        <v>408</v>
      </c>
      <c r="B55" s="12" t="s">
        <v>409</v>
      </c>
      <c r="C55" s="12" t="s">
        <v>410</v>
      </c>
      <c r="D55" s="12" t="s">
        <v>158</v>
      </c>
      <c r="E55" s="12" t="s">
        <v>91</v>
      </c>
      <c r="F55" s="12" t="s">
        <v>92</v>
      </c>
      <c r="G55" s="17"/>
      <c r="H55" s="17"/>
      <c r="I55" s="13" t="n">
        <v>677896797</v>
      </c>
      <c r="J55" s="12" t="n">
        <v>10</v>
      </c>
      <c r="K55" s="13" t="n">
        <v>2620054</v>
      </c>
      <c r="L55" s="12" t="n">
        <v>8.7</v>
      </c>
      <c r="M55" s="14" t="str">
        <f aca="false">IF(G55="","",PERCENTRANK($G$2:$G$354,G55))</f>
        <v/>
      </c>
      <c r="N55" s="14" t="n">
        <f aca="false">IF(I55="","",PERCENTRANK($I$2:$I$354,I55))</f>
        <v>0.377</v>
      </c>
      <c r="O55" s="14" t="n">
        <f aca="false">IF(K55="","",PERCENTRANK($K$2:$K$354,K55))</f>
        <v>0.994</v>
      </c>
      <c r="P55" s="12" t="n">
        <f aca="false">COUNT(M55:O55)</f>
        <v>2</v>
      </c>
      <c r="Q55" s="12" t="s">
        <v>411</v>
      </c>
      <c r="R55" s="12" t="s">
        <v>412</v>
      </c>
      <c r="W55" s="12" t="n">
        <f aca="false">COUNTA(Q55:V55)</f>
        <v>2</v>
      </c>
      <c r="X55" s="14" t="n">
        <f aca="false">IF(P55=0,"",MIN(1,AVERAGE(M55:O55)+Critérios!$B$5*W55))</f>
        <v>0.7455</v>
      </c>
      <c r="Y55" s="12" t="str">
        <f aca="false">IF(X55="","",IF(X55&gt;=Critérios!$B$7,"A",IF(X55&gt;=Critérios!$B$8,"B","C")))</f>
        <v>A</v>
      </c>
      <c r="Z55" s="12" t="n">
        <f aca="false">IF(X55="","",RANK(X55,$X$2:$X$354))</f>
        <v>54</v>
      </c>
      <c r="AA55" s="12" t="str">
        <f aca="false">IF(X55="","Sairia — sem métrica",IF(PERCENTRANK($X$2:$X$354,X55)&lt;Critérios!$B$6,"Sairia — terço inferior","Fica"))</f>
        <v>Fica</v>
      </c>
      <c r="AB55" s="12" t="s">
        <v>105</v>
      </c>
      <c r="AD55" s="15" t="s">
        <v>95</v>
      </c>
      <c r="AE55" s="16"/>
      <c r="AF55" s="12" t="s">
        <v>413</v>
      </c>
      <c r="AG55" s="12" t="s">
        <v>414</v>
      </c>
      <c r="AH55" s="12" t="n">
        <f aca="false">COUNT(G55,I55,K55)+COUNTA(Q55:V55)</f>
        <v>4</v>
      </c>
      <c r="AI55" s="12" t="str">
        <f aca="false">IF(AH55&gt;=3,"Sim","Não")</f>
        <v>Sim</v>
      </c>
      <c r="AJ55" s="12" t="str">
        <f aca="false">IF(AND(Z55&lt;&gt;"",Z55&lt;=Critérios!$B$9),"Sim","Não")</f>
        <v>Não</v>
      </c>
    </row>
    <row r="56" customFormat="false" ht="15" hidden="false" customHeight="false" outlineLevel="0" collapsed="false">
      <c r="A56" s="12" t="s">
        <v>415</v>
      </c>
      <c r="B56" s="12" t="s">
        <v>416</v>
      </c>
      <c r="C56" s="12" t="s">
        <v>417</v>
      </c>
      <c r="D56" s="12" t="s">
        <v>189</v>
      </c>
      <c r="E56" s="12" t="s">
        <v>91</v>
      </c>
      <c r="F56" s="12" t="s">
        <v>92</v>
      </c>
      <c r="G56" s="13" t="n">
        <v>7827788</v>
      </c>
      <c r="H56" s="13" t="n">
        <v>118081264</v>
      </c>
      <c r="I56" s="13" t="n">
        <v>746846894</v>
      </c>
      <c r="J56" s="12" t="n">
        <v>10</v>
      </c>
      <c r="K56" s="13" t="n">
        <v>768318</v>
      </c>
      <c r="L56" s="12" t="n">
        <v>5.9</v>
      </c>
      <c r="M56" s="14" t="n">
        <f aca="false">IF(G56="","",PERCENTRANK($G$2:$G$354,G56))</f>
        <v>0.892</v>
      </c>
      <c r="N56" s="14" t="n">
        <f aca="false">IF(I56="","",PERCENTRANK($I$2:$I$354,I56))</f>
        <v>0.47</v>
      </c>
      <c r="O56" s="14" t="n">
        <f aca="false">IF(K56="","",PERCENTRANK($K$2:$K$354,K56))</f>
        <v>0.773</v>
      </c>
      <c r="P56" s="12" t="n">
        <f aca="false">COUNT(M56:O56)</f>
        <v>3</v>
      </c>
      <c r="Q56" s="12" t="s">
        <v>418</v>
      </c>
      <c r="W56" s="12" t="n">
        <f aca="false">COUNTA(Q56:V56)</f>
        <v>1</v>
      </c>
      <c r="X56" s="14" t="n">
        <f aca="false">IF(P56=0,"",MIN(1,AVERAGE(M56:O56)+Critérios!$B$5*W56))</f>
        <v>0.741666666666667</v>
      </c>
      <c r="Y56" s="12" t="str">
        <f aca="false">IF(X56="","",IF(X56&gt;=Critérios!$B$7,"A",IF(X56&gt;=Critérios!$B$8,"B","C")))</f>
        <v>A</v>
      </c>
      <c r="Z56" s="12" t="n">
        <f aca="false">IF(X56="","",RANK(X56,$X$2:$X$354))</f>
        <v>56</v>
      </c>
      <c r="AA56" s="12" t="str">
        <f aca="false">IF(X56="","Sairia — sem métrica",IF(PERCENTRANK($X$2:$X$354,X56)&lt;Critérios!$B$6,"Sairia — terço inferior","Fica"))</f>
        <v>Fica</v>
      </c>
      <c r="AB56" s="12" t="s">
        <v>94</v>
      </c>
      <c r="AD56" s="15" t="s">
        <v>95</v>
      </c>
      <c r="AE56" s="16"/>
      <c r="AF56" s="12" t="s">
        <v>333</v>
      </c>
      <c r="AG56" s="12" t="s">
        <v>419</v>
      </c>
      <c r="AH56" s="12" t="n">
        <f aca="false">COUNT(G56,I56,K56)+COUNTA(Q56:V56)</f>
        <v>4</v>
      </c>
      <c r="AI56" s="12" t="str">
        <f aca="false">IF(AH56&gt;=3,"Sim","Não")</f>
        <v>Sim</v>
      </c>
      <c r="AJ56" s="12" t="str">
        <f aca="false">IF(AND(Z56&lt;&gt;"",Z56&lt;=Critérios!$B$9),"Sim","Não")</f>
        <v>Não</v>
      </c>
    </row>
    <row r="57" customFormat="false" ht="15" hidden="false" customHeight="false" outlineLevel="0" collapsed="false">
      <c r="A57" s="12" t="s">
        <v>420</v>
      </c>
      <c r="B57" s="12" t="s">
        <v>421</v>
      </c>
      <c r="C57" s="12" t="s">
        <v>421</v>
      </c>
      <c r="D57" s="12" t="s">
        <v>90</v>
      </c>
      <c r="E57" s="12" t="s">
        <v>91</v>
      </c>
      <c r="F57" s="12" t="s">
        <v>92</v>
      </c>
      <c r="G57" s="13" t="n">
        <v>7858713</v>
      </c>
      <c r="H57" s="13" t="n">
        <v>122114844</v>
      </c>
      <c r="I57" s="13" t="n">
        <v>1453026933</v>
      </c>
      <c r="J57" s="12" t="n">
        <v>3</v>
      </c>
      <c r="K57" s="13" t="n">
        <v>224374</v>
      </c>
      <c r="L57" s="12" t="n">
        <v>6.8</v>
      </c>
      <c r="M57" s="14" t="n">
        <f aca="false">IF(G57="","",PERCENTRANK($G$2:$G$354,G57))</f>
        <v>0.895</v>
      </c>
      <c r="N57" s="14" t="n">
        <f aca="false">IF(I57="","",PERCENTRANK($I$2:$I$354,I57))</f>
        <v>0.928</v>
      </c>
      <c r="O57" s="14" t="n">
        <f aca="false">IF(K57="","",PERCENTRANK($K$2:$K$354,K57))</f>
        <v>0.222</v>
      </c>
      <c r="P57" s="12" t="n">
        <f aca="false">COUNT(M57:O57)</f>
        <v>3</v>
      </c>
      <c r="Q57" s="12" t="s">
        <v>422</v>
      </c>
      <c r="S57" s="12" t="s">
        <v>423</v>
      </c>
      <c r="W57" s="12" t="n">
        <f aca="false">COUNTA(Q57:V57)</f>
        <v>2</v>
      </c>
      <c r="X57" s="14" t="n">
        <f aca="false">IF(P57=0,"",MIN(1,AVERAGE(M57:O57)+Critérios!$B$5*W57))</f>
        <v>0.741666666666667</v>
      </c>
      <c r="Y57" s="12" t="str">
        <f aca="false">IF(X57="","",IF(X57&gt;=Critérios!$B$7,"A",IF(X57&gt;=Critérios!$B$8,"B","C")))</f>
        <v>A</v>
      </c>
      <c r="Z57" s="12" t="n">
        <f aca="false">IF(X57="","",RANK(X57,$X$2:$X$354))</f>
        <v>55</v>
      </c>
      <c r="AA57" s="12" t="str">
        <f aca="false">IF(X57="","Sairia — sem métrica",IF(PERCENTRANK($X$2:$X$354,X57)&lt;Critérios!$B$6,"Sairia — terço inferior","Fica"))</f>
        <v>Fica</v>
      </c>
      <c r="AB57" s="12" t="s">
        <v>94</v>
      </c>
      <c r="AD57" s="15" t="s">
        <v>95</v>
      </c>
      <c r="AE57" s="16"/>
      <c r="AF57" s="12" t="s">
        <v>424</v>
      </c>
      <c r="AG57" s="12" t="s">
        <v>425</v>
      </c>
      <c r="AH57" s="12" t="n">
        <f aca="false">COUNT(G57,I57,K57)+COUNTA(Q57:V57)</f>
        <v>5</v>
      </c>
      <c r="AI57" s="12" t="str">
        <f aca="false">IF(AH57&gt;=3,"Sim","Não")</f>
        <v>Sim</v>
      </c>
      <c r="AJ57" s="12" t="str">
        <f aca="false">IF(AND(Z57&lt;&gt;"",Z57&lt;=Critérios!$B$9),"Sim","Não")</f>
        <v>Não</v>
      </c>
    </row>
    <row r="58" customFormat="false" ht="15" hidden="false" customHeight="false" outlineLevel="0" collapsed="false">
      <c r="A58" s="12" t="s">
        <v>426</v>
      </c>
      <c r="B58" s="12" t="s">
        <v>427</v>
      </c>
      <c r="C58" s="12" t="s">
        <v>428</v>
      </c>
      <c r="D58" s="12" t="s">
        <v>152</v>
      </c>
      <c r="E58" s="12" t="s">
        <v>91</v>
      </c>
      <c r="F58" s="12" t="s">
        <v>92</v>
      </c>
      <c r="G58" s="13" t="n">
        <v>7737714</v>
      </c>
      <c r="H58" s="13" t="n">
        <v>48154529</v>
      </c>
      <c r="I58" s="13" t="n">
        <v>783766341</v>
      </c>
      <c r="J58" s="12" t="n">
        <v>3</v>
      </c>
      <c r="K58" s="13" t="n">
        <v>811419</v>
      </c>
      <c r="L58" s="12" t="n">
        <v>7.5</v>
      </c>
      <c r="M58" s="14" t="n">
        <f aca="false">IF(G58="","",PERCENTRANK($G$2:$G$354,G58))</f>
        <v>0.882</v>
      </c>
      <c r="N58" s="14" t="n">
        <f aca="false">IF(I58="","",PERCENTRANK($I$2:$I$354,I58))</f>
        <v>0.53</v>
      </c>
      <c r="O58" s="14" t="n">
        <f aca="false">IF(K58="","",PERCENTRANK($K$2:$K$354,K58))</f>
        <v>0.804</v>
      </c>
      <c r="P58" s="12" t="n">
        <f aca="false">COUNT(M58:O58)</f>
        <v>3</v>
      </c>
      <c r="W58" s="12" t="n">
        <f aca="false">COUNTA(Q58:V58)</f>
        <v>0</v>
      </c>
      <c r="X58" s="14" t="n">
        <f aca="false">IF(P58=0,"",MIN(1,AVERAGE(M58:O58)+Critérios!$B$5*W58))</f>
        <v>0.738666666666667</v>
      </c>
      <c r="Y58" s="12" t="str">
        <f aca="false">IF(X58="","",IF(X58&gt;=Critérios!$B$7,"A",IF(X58&gt;=Critérios!$B$8,"B","C")))</f>
        <v>A</v>
      </c>
      <c r="Z58" s="12" t="n">
        <f aca="false">IF(X58="","",RANK(X58,$X$2:$X$354))</f>
        <v>57</v>
      </c>
      <c r="AA58" s="12" t="str">
        <f aca="false">IF(X58="","Sairia — sem métrica",IF(PERCENTRANK($X$2:$X$354,X58)&lt;Critérios!$B$6,"Sairia — terço inferior","Fica"))</f>
        <v>Fica</v>
      </c>
      <c r="AB58" s="12" t="s">
        <v>105</v>
      </c>
      <c r="AD58" s="15" t="s">
        <v>95</v>
      </c>
      <c r="AE58" s="16"/>
      <c r="AF58" s="12" t="s">
        <v>429</v>
      </c>
      <c r="AG58" s="12" t="s">
        <v>430</v>
      </c>
      <c r="AH58" s="12" t="n">
        <f aca="false">COUNT(G58,I58,K58)+COUNTA(Q58:V58)</f>
        <v>3</v>
      </c>
      <c r="AI58" s="12" t="str">
        <f aca="false">IF(AH58&gt;=3,"Sim","Não")</f>
        <v>Sim</v>
      </c>
      <c r="AJ58" s="12" t="str">
        <f aca="false">IF(AND(Z58&lt;&gt;"",Z58&lt;=Critérios!$B$9),"Sim","Não")</f>
        <v>Não</v>
      </c>
    </row>
    <row r="59" customFormat="false" ht="15" hidden="false" customHeight="false" outlineLevel="0" collapsed="false">
      <c r="A59" s="12" t="s">
        <v>431</v>
      </c>
      <c r="B59" s="12" t="s">
        <v>432</v>
      </c>
      <c r="C59" s="12" t="s">
        <v>433</v>
      </c>
      <c r="D59" s="12" t="s">
        <v>146</v>
      </c>
      <c r="E59" s="12" t="s">
        <v>91</v>
      </c>
      <c r="F59" s="12" t="s">
        <v>92</v>
      </c>
      <c r="G59" s="13" t="n">
        <v>6141200</v>
      </c>
      <c r="H59" s="13" t="n">
        <v>48941000</v>
      </c>
      <c r="I59" s="13" t="n">
        <v>895871626</v>
      </c>
      <c r="J59" s="12" t="n">
        <v>3</v>
      </c>
      <c r="K59" s="13" t="n">
        <v>722265</v>
      </c>
      <c r="L59" s="12" t="n">
        <v>6.3</v>
      </c>
      <c r="M59" s="14" t="n">
        <f aca="false">IF(G59="","",PERCENTRANK($G$2:$G$354,G59))</f>
        <v>0.81</v>
      </c>
      <c r="N59" s="14" t="n">
        <f aca="false">IF(I59="","",PERCENTRANK($I$2:$I$354,I59))</f>
        <v>0.661</v>
      </c>
      <c r="O59" s="14" t="n">
        <f aca="false">IF(K59="","",PERCENTRANK($K$2:$K$354,K59))</f>
        <v>0.741</v>
      </c>
      <c r="P59" s="12" t="n">
        <f aca="false">COUNT(M59:O59)</f>
        <v>3</v>
      </c>
      <c r="W59" s="12" t="n">
        <f aca="false">COUNTA(Q59:V59)</f>
        <v>0</v>
      </c>
      <c r="X59" s="14" t="n">
        <f aca="false">IF(P59=0,"",MIN(1,AVERAGE(M59:O59)+Critérios!$B$5*W59))</f>
        <v>0.737333333333333</v>
      </c>
      <c r="Y59" s="12" t="str">
        <f aca="false">IF(X59="","",IF(X59&gt;=Critérios!$B$7,"A",IF(X59&gt;=Critérios!$B$8,"B","C")))</f>
        <v>A</v>
      </c>
      <c r="Z59" s="12" t="n">
        <f aca="false">IF(X59="","",RANK(X59,$X$2:$X$354))</f>
        <v>58</v>
      </c>
      <c r="AA59" s="12" t="str">
        <f aca="false">IF(X59="","Sairia — sem métrica",IF(PERCENTRANK($X$2:$X$354,X59)&lt;Critérios!$B$6,"Sairia — terço inferior","Fica"))</f>
        <v>Fica</v>
      </c>
      <c r="AB59" s="12" t="s">
        <v>105</v>
      </c>
      <c r="AD59" s="15" t="s">
        <v>95</v>
      </c>
      <c r="AE59" s="16"/>
      <c r="AF59" s="12" t="s">
        <v>434</v>
      </c>
      <c r="AG59" s="12" t="s">
        <v>435</v>
      </c>
      <c r="AH59" s="12" t="n">
        <f aca="false">COUNT(G59,I59,K59)+COUNTA(Q59:V59)</f>
        <v>3</v>
      </c>
      <c r="AI59" s="12" t="str">
        <f aca="false">IF(AH59&gt;=3,"Sim","Não")</f>
        <v>Sim</v>
      </c>
      <c r="AJ59" s="12" t="str">
        <f aca="false">IF(AND(Z59&lt;&gt;"",Z59&lt;=Critérios!$B$9),"Sim","Não")</f>
        <v>Não</v>
      </c>
    </row>
    <row r="60" customFormat="false" ht="15" hidden="false" customHeight="false" outlineLevel="0" collapsed="false">
      <c r="A60" s="12" t="s">
        <v>436</v>
      </c>
      <c r="B60" s="12" t="s">
        <v>437</v>
      </c>
      <c r="C60" s="12" t="s">
        <v>437</v>
      </c>
      <c r="D60" s="12" t="s">
        <v>90</v>
      </c>
      <c r="E60" s="12" t="s">
        <v>91</v>
      </c>
      <c r="F60" s="12" t="s">
        <v>92</v>
      </c>
      <c r="G60" s="13" t="n">
        <v>7955544</v>
      </c>
      <c r="H60" s="13" t="n">
        <v>124444046</v>
      </c>
      <c r="I60" s="13" t="n">
        <v>1074841294</v>
      </c>
      <c r="J60" s="12" t="n">
        <v>8</v>
      </c>
      <c r="K60" s="13" t="n">
        <v>331762</v>
      </c>
      <c r="L60" s="12" t="n">
        <v>7.6</v>
      </c>
      <c r="M60" s="14" t="n">
        <f aca="false">IF(G60="","",PERCENTRANK($G$2:$G$354,G60))</f>
        <v>0.902</v>
      </c>
      <c r="N60" s="14" t="n">
        <f aca="false">IF(I60="","",PERCENTRANK($I$2:$I$354,I60))</f>
        <v>0.814</v>
      </c>
      <c r="O60" s="14" t="n">
        <f aca="false">IF(K60="","",PERCENTRANK($K$2:$K$354,K60))</f>
        <v>0.395</v>
      </c>
      <c r="P60" s="12" t="n">
        <f aca="false">COUNT(M60:O60)</f>
        <v>3</v>
      </c>
      <c r="Q60" s="12" t="s">
        <v>438</v>
      </c>
      <c r="W60" s="12" t="n">
        <f aca="false">COUNTA(Q60:V60)</f>
        <v>1</v>
      </c>
      <c r="X60" s="14" t="n">
        <f aca="false">IF(P60=0,"",MIN(1,AVERAGE(M60:O60)+Critérios!$B$5*W60))</f>
        <v>0.733666666666667</v>
      </c>
      <c r="Y60" s="12" t="str">
        <f aca="false">IF(X60="","",IF(X60&gt;=Critérios!$B$7,"A",IF(X60&gt;=Critérios!$B$8,"B","C")))</f>
        <v>A</v>
      </c>
      <c r="Z60" s="12" t="n">
        <f aca="false">IF(X60="","",RANK(X60,$X$2:$X$354))</f>
        <v>59</v>
      </c>
      <c r="AA60" s="12" t="str">
        <f aca="false">IF(X60="","Sairia — sem métrica",IF(PERCENTRANK($X$2:$X$354,X60)&lt;Critérios!$B$6,"Sairia — terço inferior","Fica"))</f>
        <v>Fica</v>
      </c>
      <c r="AB60" s="12" t="s">
        <v>105</v>
      </c>
      <c r="AD60" s="15" t="s">
        <v>95</v>
      </c>
      <c r="AE60" s="16"/>
      <c r="AF60" s="12" t="s">
        <v>227</v>
      </c>
      <c r="AG60" s="12" t="s">
        <v>439</v>
      </c>
      <c r="AH60" s="12" t="n">
        <f aca="false">COUNT(G60,I60,K60)+COUNTA(Q60:V60)</f>
        <v>4</v>
      </c>
      <c r="AI60" s="12" t="str">
        <f aca="false">IF(AH60&gt;=3,"Sim","Não")</f>
        <v>Sim</v>
      </c>
      <c r="AJ60" s="12" t="str">
        <f aca="false">IF(AND(Z60&lt;&gt;"",Z60&lt;=Critérios!$B$9),"Sim","Não")</f>
        <v>Não</v>
      </c>
    </row>
    <row r="61" customFormat="false" ht="15" hidden="false" customHeight="false" outlineLevel="0" collapsed="false">
      <c r="A61" s="12" t="s">
        <v>440</v>
      </c>
      <c r="B61" s="12" t="s">
        <v>441</v>
      </c>
      <c r="C61" s="12" t="s">
        <v>441</v>
      </c>
      <c r="D61" s="12" t="s">
        <v>175</v>
      </c>
      <c r="E61" s="12" t="s">
        <v>91</v>
      </c>
      <c r="F61" s="12" t="s">
        <v>92</v>
      </c>
      <c r="G61" s="13" t="n">
        <v>2937482</v>
      </c>
      <c r="H61" s="13" t="n">
        <v>66571860</v>
      </c>
      <c r="I61" s="13" t="n">
        <v>975811333</v>
      </c>
      <c r="J61" s="12" t="n">
        <v>3</v>
      </c>
      <c r="K61" s="13" t="n">
        <v>1104898</v>
      </c>
      <c r="L61" s="12" t="n">
        <v>8.2</v>
      </c>
      <c r="M61" s="14" t="n">
        <f aca="false">IF(G61="","",PERCENTRANK($G$2:$G$354,G61))</f>
        <v>0.441</v>
      </c>
      <c r="N61" s="14" t="n">
        <f aca="false">IF(I61="","",PERCENTRANK($I$2:$I$354,I61))</f>
        <v>0.742</v>
      </c>
      <c r="O61" s="14" t="n">
        <f aca="false">IF(K61="","",PERCENTRANK($K$2:$K$354,K61))</f>
        <v>0.923</v>
      </c>
      <c r="P61" s="12" t="n">
        <f aca="false">COUNT(M61:O61)</f>
        <v>3</v>
      </c>
      <c r="Q61" s="12" t="s">
        <v>442</v>
      </c>
      <c r="W61" s="12" t="n">
        <f aca="false">COUNTA(Q61:V61)</f>
        <v>1</v>
      </c>
      <c r="X61" s="14" t="n">
        <f aca="false">IF(P61=0,"",MIN(1,AVERAGE(M61:O61)+Critérios!$B$5*W61))</f>
        <v>0.732</v>
      </c>
      <c r="Y61" s="12" t="str">
        <f aca="false">IF(X61="","",IF(X61&gt;=Critérios!$B$7,"A",IF(X61&gt;=Critérios!$B$8,"B","C")))</f>
        <v>A</v>
      </c>
      <c r="Z61" s="12" t="n">
        <f aca="false">IF(X61="","",RANK(X61,$X$2:$X$354))</f>
        <v>60</v>
      </c>
      <c r="AA61" s="12" t="str">
        <f aca="false">IF(X61="","Sairia — sem métrica",IF(PERCENTRANK($X$2:$X$354,X61)&lt;Critérios!$B$6,"Sairia — terço inferior","Fica"))</f>
        <v>Fica</v>
      </c>
      <c r="AB61" s="12" t="s">
        <v>105</v>
      </c>
      <c r="AD61" s="15" t="s">
        <v>95</v>
      </c>
      <c r="AE61" s="16"/>
      <c r="AF61" s="12" t="s">
        <v>382</v>
      </c>
      <c r="AG61" s="12" t="s">
        <v>443</v>
      </c>
      <c r="AH61" s="12" t="n">
        <f aca="false">COUNT(G61,I61,K61)+COUNTA(Q61:V61)</f>
        <v>4</v>
      </c>
      <c r="AI61" s="12" t="str">
        <f aca="false">IF(AH61&gt;=3,"Sim","Não")</f>
        <v>Sim</v>
      </c>
      <c r="AJ61" s="12" t="str">
        <f aca="false">IF(AND(Z61&lt;&gt;"",Z61&lt;=Critérios!$B$9),"Sim","Não")</f>
        <v>Não</v>
      </c>
    </row>
    <row r="62" customFormat="false" ht="15" hidden="false" customHeight="false" outlineLevel="0" collapsed="false">
      <c r="A62" s="12" t="s">
        <v>444</v>
      </c>
      <c r="B62" s="12" t="s">
        <v>445</v>
      </c>
      <c r="C62" s="12" t="s">
        <v>446</v>
      </c>
      <c r="D62" s="12" t="s">
        <v>207</v>
      </c>
      <c r="E62" s="12" t="s">
        <v>91</v>
      </c>
      <c r="F62" s="12" t="s">
        <v>92</v>
      </c>
      <c r="G62" s="13" t="n">
        <v>8505215</v>
      </c>
      <c r="H62" s="13" t="n">
        <v>133423662</v>
      </c>
      <c r="I62" s="13" t="n">
        <v>1236005118</v>
      </c>
      <c r="J62" s="12" t="n">
        <v>3</v>
      </c>
      <c r="K62" s="13" t="n">
        <v>279450</v>
      </c>
      <c r="L62" s="12" t="n">
        <v>6.6</v>
      </c>
      <c r="M62" s="14" t="n">
        <f aca="false">IF(G62="","",PERCENTRANK($G$2:$G$354,G62))</f>
        <v>0.922</v>
      </c>
      <c r="N62" s="14" t="n">
        <f aca="false">IF(I62="","",PERCENTRANK($I$2:$I$354,I62))</f>
        <v>0.877</v>
      </c>
      <c r="O62" s="14" t="n">
        <f aca="false">IF(K62="","",PERCENTRANK($K$2:$K$354,K62))</f>
        <v>0.307</v>
      </c>
      <c r="P62" s="12" t="n">
        <f aca="false">COUNT(M62:O62)</f>
        <v>3</v>
      </c>
      <c r="Q62" s="12" t="s">
        <v>447</v>
      </c>
      <c r="W62" s="12" t="n">
        <f aca="false">COUNTA(Q62:V62)</f>
        <v>1</v>
      </c>
      <c r="X62" s="14" t="n">
        <f aca="false">IF(P62=0,"",MIN(1,AVERAGE(M62:O62)+Critérios!$B$5*W62))</f>
        <v>0.732</v>
      </c>
      <c r="Y62" s="12" t="str">
        <f aca="false">IF(X62="","",IF(X62&gt;=Critérios!$B$7,"A",IF(X62&gt;=Critérios!$B$8,"B","C")))</f>
        <v>A</v>
      </c>
      <c r="Z62" s="12" t="n">
        <f aca="false">IF(X62="","",RANK(X62,$X$2:$X$354))</f>
        <v>60</v>
      </c>
      <c r="AA62" s="12" t="str">
        <f aca="false">IF(X62="","Sairia — sem métrica",IF(PERCENTRANK($X$2:$X$354,X62)&lt;Critérios!$B$6,"Sairia — terço inferior","Fica"))</f>
        <v>Fica</v>
      </c>
      <c r="AB62" s="12" t="s">
        <v>94</v>
      </c>
      <c r="AD62" s="15" t="s">
        <v>95</v>
      </c>
      <c r="AE62" s="16"/>
      <c r="AF62" s="12" t="s">
        <v>371</v>
      </c>
      <c r="AG62" s="12" t="s">
        <v>448</v>
      </c>
      <c r="AH62" s="12" t="n">
        <f aca="false">COUNT(G62,I62,K62)+COUNTA(Q62:V62)</f>
        <v>4</v>
      </c>
      <c r="AI62" s="12" t="str">
        <f aca="false">IF(AH62&gt;=3,"Sim","Não")</f>
        <v>Sim</v>
      </c>
      <c r="AJ62" s="12" t="str">
        <f aca="false">IF(AND(Z62&lt;&gt;"",Z62&lt;=Critérios!$B$9),"Sim","Não")</f>
        <v>Não</v>
      </c>
    </row>
    <row r="63" customFormat="false" ht="15" hidden="false" customHeight="false" outlineLevel="0" collapsed="false">
      <c r="A63" s="12" t="s">
        <v>449</v>
      </c>
      <c r="B63" s="12" t="s">
        <v>450</v>
      </c>
      <c r="C63" s="12" t="s">
        <v>451</v>
      </c>
      <c r="D63" s="12" t="s">
        <v>202</v>
      </c>
      <c r="E63" s="12" t="s">
        <v>91</v>
      </c>
      <c r="F63" s="12" t="s">
        <v>92</v>
      </c>
      <c r="G63" s="13" t="n">
        <v>3931888</v>
      </c>
      <c r="H63" s="13" t="n">
        <v>47341817</v>
      </c>
      <c r="I63" s="13" t="n">
        <v>1280802282</v>
      </c>
      <c r="J63" s="12" t="n">
        <v>1</v>
      </c>
      <c r="K63" s="13" t="n">
        <v>722930</v>
      </c>
      <c r="L63" s="12" t="n">
        <v>7.4</v>
      </c>
      <c r="M63" s="14" t="n">
        <f aca="false">IF(G63="","",PERCENTRANK($G$2:$G$354,G63))</f>
        <v>0.556</v>
      </c>
      <c r="N63" s="14" t="n">
        <f aca="false">IF(I63="","",PERCENTRANK($I$2:$I$354,I63))</f>
        <v>0.89</v>
      </c>
      <c r="O63" s="14" t="n">
        <f aca="false">IF(K63="","",PERCENTRANK($K$2:$K$354,K63))</f>
        <v>0.744</v>
      </c>
      <c r="P63" s="12" t="n">
        <f aca="false">COUNT(M63:O63)</f>
        <v>3</v>
      </c>
      <c r="W63" s="12" t="n">
        <f aca="false">COUNTA(Q63:V63)</f>
        <v>0</v>
      </c>
      <c r="X63" s="14" t="n">
        <f aca="false">IF(P63=0,"",MIN(1,AVERAGE(M63:O63)+Critérios!$B$5*W63))</f>
        <v>0.73</v>
      </c>
      <c r="Y63" s="12" t="str">
        <f aca="false">IF(X63="","",IF(X63&gt;=Critérios!$B$7,"A",IF(X63&gt;=Critérios!$B$8,"B","C")))</f>
        <v>A</v>
      </c>
      <c r="Z63" s="12" t="n">
        <f aca="false">IF(X63="","",RANK(X63,$X$2:$X$354))</f>
        <v>62</v>
      </c>
      <c r="AA63" s="12" t="str">
        <f aca="false">IF(X63="","Sairia — sem métrica",IF(PERCENTRANK($X$2:$X$354,X63)&lt;Critérios!$B$6,"Sairia — terço inferior","Fica"))</f>
        <v>Fica</v>
      </c>
      <c r="AB63" s="12" t="s">
        <v>94</v>
      </c>
      <c r="AD63" s="15" t="s">
        <v>95</v>
      </c>
      <c r="AE63" s="16"/>
      <c r="AF63" s="12" t="s">
        <v>452</v>
      </c>
      <c r="AG63" s="12" t="s">
        <v>453</v>
      </c>
      <c r="AH63" s="12" t="n">
        <f aca="false">COUNT(G63,I63,K63)+COUNTA(Q63:V63)</f>
        <v>3</v>
      </c>
      <c r="AI63" s="12" t="str">
        <f aca="false">IF(AH63&gt;=3,"Sim","Não")</f>
        <v>Sim</v>
      </c>
      <c r="AJ63" s="12" t="str">
        <f aca="false">IF(AND(Z63&lt;&gt;"",Z63&lt;=Critérios!$B$9),"Sim","Não")</f>
        <v>Não</v>
      </c>
    </row>
    <row r="64" customFormat="false" ht="15" hidden="false" customHeight="false" outlineLevel="0" collapsed="false">
      <c r="A64" s="12" t="s">
        <v>454</v>
      </c>
      <c r="B64" s="12" t="s">
        <v>455</v>
      </c>
      <c r="C64" s="12" t="s">
        <v>456</v>
      </c>
      <c r="D64" s="12" t="s">
        <v>111</v>
      </c>
      <c r="E64" s="12" t="s">
        <v>91</v>
      </c>
      <c r="F64" s="12" t="s">
        <v>92</v>
      </c>
      <c r="G64" s="13" t="n">
        <v>5258742</v>
      </c>
      <c r="H64" s="13" t="n">
        <v>80619075</v>
      </c>
      <c r="I64" s="13" t="n">
        <v>1308467944</v>
      </c>
      <c r="J64" s="12" t="n">
        <v>3</v>
      </c>
      <c r="K64" s="13" t="n">
        <v>388793</v>
      </c>
      <c r="L64" s="12" t="n">
        <v>6.2</v>
      </c>
      <c r="M64" s="14" t="n">
        <f aca="false">IF(G64="","",PERCENTRANK($G$2:$G$354,G64))</f>
        <v>0.755</v>
      </c>
      <c r="N64" s="14" t="n">
        <f aca="false">IF(I64="","",PERCENTRANK($I$2:$I$354,I64))</f>
        <v>0.894</v>
      </c>
      <c r="O64" s="14" t="n">
        <f aca="false">IF(K64="","",PERCENTRANK($K$2:$K$354,K64))</f>
        <v>0.449</v>
      </c>
      <c r="P64" s="12" t="n">
        <f aca="false">COUNT(M64:O64)</f>
        <v>3</v>
      </c>
      <c r="Q64" s="12" t="s">
        <v>457</v>
      </c>
      <c r="W64" s="12" t="n">
        <f aca="false">COUNTA(Q64:V64)</f>
        <v>1</v>
      </c>
      <c r="X64" s="14" t="n">
        <f aca="false">IF(P64=0,"",MIN(1,AVERAGE(M64:O64)+Critérios!$B$5*W64))</f>
        <v>0.729333333333333</v>
      </c>
      <c r="Y64" s="12" t="str">
        <f aca="false">IF(X64="","",IF(X64&gt;=Critérios!$B$7,"A",IF(X64&gt;=Critérios!$B$8,"B","C")))</f>
        <v>A</v>
      </c>
      <c r="Z64" s="12" t="n">
        <f aca="false">IF(X64="","",RANK(X64,$X$2:$X$354))</f>
        <v>63</v>
      </c>
      <c r="AA64" s="12" t="str">
        <f aca="false">IF(X64="","Sairia — sem métrica",IF(PERCENTRANK($X$2:$X$354,X64)&lt;Critérios!$B$6,"Sairia — terço inferior","Fica"))</f>
        <v>Fica</v>
      </c>
      <c r="AB64" s="12" t="s">
        <v>94</v>
      </c>
      <c r="AD64" s="15" t="s">
        <v>95</v>
      </c>
      <c r="AE64" s="16"/>
      <c r="AF64" s="12" t="s">
        <v>197</v>
      </c>
      <c r="AG64" s="12" t="s">
        <v>458</v>
      </c>
      <c r="AH64" s="12" t="n">
        <f aca="false">COUNT(G64,I64,K64)+COUNTA(Q64:V64)</f>
        <v>4</v>
      </c>
      <c r="AI64" s="12" t="str">
        <f aca="false">IF(AH64&gt;=3,"Sim","Não")</f>
        <v>Sim</v>
      </c>
      <c r="AJ64" s="12" t="str">
        <f aca="false">IF(AND(Z64&lt;&gt;"",Z64&lt;=Critérios!$B$9),"Sim","Não")</f>
        <v>Não</v>
      </c>
    </row>
    <row r="65" customFormat="false" ht="15" hidden="false" customHeight="false" outlineLevel="0" collapsed="false">
      <c r="A65" s="12" t="s">
        <v>459</v>
      </c>
      <c r="B65" s="12" t="s">
        <v>460</v>
      </c>
      <c r="C65" s="12" t="s">
        <v>461</v>
      </c>
      <c r="D65" s="12" t="s">
        <v>189</v>
      </c>
      <c r="E65" s="12" t="s">
        <v>91</v>
      </c>
      <c r="F65" s="12" t="s">
        <v>92</v>
      </c>
      <c r="G65" s="13" t="n">
        <v>8189410</v>
      </c>
      <c r="H65" s="13" t="n">
        <v>113497532</v>
      </c>
      <c r="I65" s="13" t="n">
        <v>1029266989</v>
      </c>
      <c r="J65" s="12" t="n">
        <v>3</v>
      </c>
      <c r="K65" s="13" t="n">
        <v>341039</v>
      </c>
      <c r="L65" s="12" t="n">
        <v>7.2</v>
      </c>
      <c r="M65" s="14" t="n">
        <f aca="false">IF(G65="","",PERCENTRANK($G$2:$G$354,G65))</f>
        <v>0.905</v>
      </c>
      <c r="N65" s="14" t="n">
        <f aca="false">IF(I65="","",PERCENTRANK($I$2:$I$354,I65))</f>
        <v>0.775</v>
      </c>
      <c r="O65" s="14" t="n">
        <f aca="false">IF(K65="","",PERCENTRANK($K$2:$K$354,K65))</f>
        <v>0.401</v>
      </c>
      <c r="P65" s="12" t="n">
        <f aca="false">COUNT(M65:O65)</f>
        <v>3</v>
      </c>
      <c r="Q65" s="12" t="s">
        <v>462</v>
      </c>
      <c r="W65" s="12" t="n">
        <f aca="false">COUNTA(Q65:V65)</f>
        <v>1</v>
      </c>
      <c r="X65" s="14" t="n">
        <f aca="false">IF(P65=0,"",MIN(1,AVERAGE(M65:O65)+Critérios!$B$5*W65))</f>
        <v>0.723666666666667</v>
      </c>
      <c r="Y65" s="12" t="str">
        <f aca="false">IF(X65="","",IF(X65&gt;=Critérios!$B$7,"A",IF(X65&gt;=Critérios!$B$8,"B","C")))</f>
        <v>A</v>
      </c>
      <c r="Z65" s="12" t="n">
        <f aca="false">IF(X65="","",RANK(X65,$X$2:$X$354))</f>
        <v>64</v>
      </c>
      <c r="AA65" s="12" t="str">
        <f aca="false">IF(X65="","Sairia — sem métrica",IF(PERCENTRANK($X$2:$X$354,X65)&lt;Critérios!$B$6,"Sairia — terço inferior","Fica"))</f>
        <v>Fica</v>
      </c>
      <c r="AB65" s="12" t="s">
        <v>105</v>
      </c>
      <c r="AD65" s="15" t="s">
        <v>95</v>
      </c>
      <c r="AE65" s="16"/>
      <c r="AF65" s="12" t="s">
        <v>333</v>
      </c>
      <c r="AG65" s="12" t="s">
        <v>463</v>
      </c>
      <c r="AH65" s="12" t="n">
        <f aca="false">COUNT(G65,I65,K65)+COUNTA(Q65:V65)</f>
        <v>4</v>
      </c>
      <c r="AI65" s="12" t="str">
        <f aca="false">IF(AH65&gt;=3,"Sim","Não")</f>
        <v>Sim</v>
      </c>
      <c r="AJ65" s="12" t="str">
        <f aca="false">IF(AND(Z65&lt;&gt;"",Z65&lt;=Critérios!$B$9),"Sim","Não")</f>
        <v>Não</v>
      </c>
    </row>
    <row r="66" customFormat="false" ht="15" hidden="false" customHeight="false" outlineLevel="0" collapsed="false">
      <c r="A66" s="12" t="s">
        <v>464</v>
      </c>
      <c r="B66" s="12" t="s">
        <v>465</v>
      </c>
      <c r="C66" s="12" t="s">
        <v>466</v>
      </c>
      <c r="D66" s="12" t="s">
        <v>207</v>
      </c>
      <c r="E66" s="12" t="s">
        <v>91</v>
      </c>
      <c r="F66" s="12" t="s">
        <v>92</v>
      </c>
      <c r="G66" s="13" t="n">
        <v>4414235</v>
      </c>
      <c r="H66" s="13" t="n">
        <v>61909031</v>
      </c>
      <c r="I66" s="17"/>
      <c r="K66" s="13" t="n">
        <v>712445</v>
      </c>
      <c r="L66" s="12" t="n">
        <v>7.3</v>
      </c>
      <c r="M66" s="14" t="n">
        <f aca="false">IF(G66="","",PERCENTRANK($G$2:$G$354,G66))</f>
        <v>0.654</v>
      </c>
      <c r="N66" s="14" t="str">
        <f aca="false">IF(I66="","",PERCENTRANK($I$2:$I$354,I66))</f>
        <v/>
      </c>
      <c r="O66" s="14" t="n">
        <f aca="false">IF(K66="","",PERCENTRANK($K$2:$K$354,K66))</f>
        <v>0.73</v>
      </c>
      <c r="P66" s="12" t="n">
        <f aca="false">COUNT(M66:O66)</f>
        <v>2</v>
      </c>
      <c r="Q66" s="12" t="s">
        <v>467</v>
      </c>
      <c r="W66" s="12" t="n">
        <f aca="false">COUNTA(Q66:V66)</f>
        <v>1</v>
      </c>
      <c r="X66" s="14" t="n">
        <f aca="false">IF(P66=0,"",MIN(1,AVERAGE(M66:O66)+Critérios!$B$5*W66))</f>
        <v>0.722</v>
      </c>
      <c r="Y66" s="12" t="str">
        <f aca="false">IF(X66="","",IF(X66&gt;=Critérios!$B$7,"A",IF(X66&gt;=Critérios!$B$8,"B","C")))</f>
        <v>A</v>
      </c>
      <c r="Z66" s="12" t="n">
        <f aca="false">IF(X66="","",RANK(X66,$X$2:$X$354))</f>
        <v>65</v>
      </c>
      <c r="AA66" s="12" t="str">
        <f aca="false">IF(X66="","Sairia — sem métrica",IF(PERCENTRANK($X$2:$X$354,X66)&lt;Critérios!$B$6,"Sairia — terço inferior","Fica"))</f>
        <v>Fica</v>
      </c>
      <c r="AB66" s="12" t="s">
        <v>105</v>
      </c>
      <c r="AD66" s="15" t="s">
        <v>95</v>
      </c>
      <c r="AE66" s="16"/>
      <c r="AF66" s="12" t="s">
        <v>209</v>
      </c>
      <c r="AG66" s="12" t="s">
        <v>468</v>
      </c>
      <c r="AH66" s="12" t="n">
        <f aca="false">COUNT(G66,I66,K66)+COUNTA(Q66:V66)</f>
        <v>3</v>
      </c>
      <c r="AI66" s="12" t="str">
        <f aca="false">IF(AH66&gt;=3,"Sim","Não")</f>
        <v>Sim</v>
      </c>
      <c r="AJ66" s="12" t="str">
        <f aca="false">IF(AND(Z66&lt;&gt;"",Z66&lt;=Critérios!$B$9),"Sim","Não")</f>
        <v>Não</v>
      </c>
    </row>
    <row r="67" customFormat="false" ht="15" hidden="false" customHeight="false" outlineLevel="0" collapsed="false">
      <c r="A67" s="12" t="s">
        <v>469</v>
      </c>
      <c r="B67" s="12" t="s">
        <v>470</v>
      </c>
      <c r="C67" s="12" t="s">
        <v>471</v>
      </c>
      <c r="D67" s="12" t="s">
        <v>140</v>
      </c>
      <c r="E67" s="12" t="s">
        <v>91</v>
      </c>
      <c r="F67" s="12" t="s">
        <v>92</v>
      </c>
      <c r="G67" s="17"/>
      <c r="H67" s="17"/>
      <c r="I67" s="13" t="n">
        <v>694394724</v>
      </c>
      <c r="J67" s="12" t="n">
        <v>9</v>
      </c>
      <c r="K67" s="13" t="n">
        <v>1097873</v>
      </c>
      <c r="L67" s="12" t="n">
        <v>7.2</v>
      </c>
      <c r="M67" s="14" t="str">
        <f aca="false">IF(G67="","",PERCENTRANK($G$2:$G$354,G67))</f>
        <v/>
      </c>
      <c r="N67" s="14" t="n">
        <f aca="false">IF(I67="","",PERCENTRANK($I$2:$I$354,I67))</f>
        <v>0.394</v>
      </c>
      <c r="O67" s="14" t="n">
        <f aca="false">IF(K67="","",PERCENTRANK($K$2:$K$354,K67))</f>
        <v>0.92</v>
      </c>
      <c r="P67" s="12" t="n">
        <f aca="false">COUNT(M67:O67)</f>
        <v>2</v>
      </c>
      <c r="R67" s="12" t="s">
        <v>472</v>
      </c>
      <c r="U67" s="12" t="s">
        <v>473</v>
      </c>
      <c r="W67" s="12" t="n">
        <f aca="false">COUNTA(Q67:V67)</f>
        <v>2</v>
      </c>
      <c r="X67" s="14" t="n">
        <f aca="false">IF(P67=0,"",MIN(1,AVERAGE(M67:O67)+Critérios!$B$5*W67))</f>
        <v>0.717</v>
      </c>
      <c r="Y67" s="12" t="str">
        <f aca="false">IF(X67="","",IF(X67&gt;=Critérios!$B$7,"A",IF(X67&gt;=Critérios!$B$8,"B","C")))</f>
        <v>A</v>
      </c>
      <c r="Z67" s="12" t="n">
        <f aca="false">IF(X67="","",RANK(X67,$X$2:$X$354))</f>
        <v>66</v>
      </c>
      <c r="AA67" s="12" t="str">
        <f aca="false">IF(X67="","Sairia — sem métrica",IF(PERCENTRANK($X$2:$X$354,X67)&lt;Critérios!$B$6,"Sairia — terço inferior","Fica"))</f>
        <v>Fica</v>
      </c>
      <c r="AB67" s="12" t="s">
        <v>105</v>
      </c>
      <c r="AD67" s="15" t="s">
        <v>95</v>
      </c>
      <c r="AE67" s="16"/>
      <c r="AF67" s="12" t="s">
        <v>474</v>
      </c>
      <c r="AG67" s="12" t="s">
        <v>475</v>
      </c>
      <c r="AH67" s="12" t="n">
        <f aca="false">COUNT(G67,I67,K67)+COUNTA(Q67:V67)</f>
        <v>4</v>
      </c>
      <c r="AI67" s="12" t="str">
        <f aca="false">IF(AH67&gt;=3,"Sim","Não")</f>
        <v>Sim</v>
      </c>
      <c r="AJ67" s="12" t="str">
        <f aca="false">IF(AND(Z67&lt;&gt;"",Z67&lt;=Critérios!$B$9),"Sim","Não")</f>
        <v>Não</v>
      </c>
    </row>
    <row r="68" customFormat="false" ht="15" hidden="false" customHeight="false" outlineLevel="0" collapsed="false">
      <c r="A68" s="12" t="s">
        <v>476</v>
      </c>
      <c r="B68" s="12" t="s">
        <v>477</v>
      </c>
      <c r="C68" s="12" t="s">
        <v>477</v>
      </c>
      <c r="D68" s="12" t="s">
        <v>183</v>
      </c>
      <c r="E68" s="12" t="s">
        <v>91</v>
      </c>
      <c r="F68" s="12" t="s">
        <v>92</v>
      </c>
      <c r="G68" s="13" t="n">
        <v>8919421</v>
      </c>
      <c r="H68" s="13" t="n">
        <v>120059271</v>
      </c>
      <c r="I68" s="13" t="n">
        <v>1159398397</v>
      </c>
      <c r="J68" s="12" t="n">
        <v>5</v>
      </c>
      <c r="K68" s="13" t="n">
        <v>291041</v>
      </c>
      <c r="L68" s="12" t="n">
        <v>6.4</v>
      </c>
      <c r="M68" s="14" t="n">
        <f aca="false">IF(G68="","",PERCENTRANK($G$2:$G$354,G68))</f>
        <v>0.935</v>
      </c>
      <c r="N68" s="14" t="n">
        <f aca="false">IF(I68="","",PERCENTRANK($I$2:$I$354,I68))</f>
        <v>0.869</v>
      </c>
      <c r="O68" s="14" t="n">
        <f aca="false">IF(K68="","",PERCENTRANK($K$2:$K$354,K68))</f>
        <v>0.33</v>
      </c>
      <c r="P68" s="12" t="n">
        <f aca="false">COUNT(M68:O68)</f>
        <v>3</v>
      </c>
      <c r="W68" s="12" t="n">
        <f aca="false">COUNTA(Q68:V68)</f>
        <v>0</v>
      </c>
      <c r="X68" s="14" t="n">
        <f aca="false">IF(P68=0,"",MIN(1,AVERAGE(M68:O68)+Critérios!$B$5*W68))</f>
        <v>0.711333333333333</v>
      </c>
      <c r="Y68" s="12" t="str">
        <f aca="false">IF(X68="","",IF(X68&gt;=Critérios!$B$7,"A",IF(X68&gt;=Critérios!$B$8,"B","C")))</f>
        <v>A</v>
      </c>
      <c r="Z68" s="12" t="n">
        <f aca="false">IF(X68="","",RANK(X68,$X$2:$X$354))</f>
        <v>67</v>
      </c>
      <c r="AA68" s="12" t="str">
        <f aca="false">IF(X68="","Sairia — sem métrica",IF(PERCENTRANK($X$2:$X$354,X68)&lt;Critérios!$B$6,"Sairia — terço inferior","Fica"))</f>
        <v>Fica</v>
      </c>
      <c r="AB68" s="12" t="s">
        <v>94</v>
      </c>
      <c r="AD68" s="15" t="s">
        <v>95</v>
      </c>
      <c r="AE68" s="16"/>
      <c r="AF68" s="12" t="s">
        <v>184</v>
      </c>
      <c r="AG68" s="12" t="s">
        <v>478</v>
      </c>
      <c r="AH68" s="12" t="n">
        <f aca="false">COUNT(G68,I68,K68)+COUNTA(Q68:V68)</f>
        <v>3</v>
      </c>
      <c r="AI68" s="12" t="str">
        <f aca="false">IF(AH68&gt;=3,"Sim","Não")</f>
        <v>Sim</v>
      </c>
      <c r="AJ68" s="12" t="str">
        <f aca="false">IF(AND(Z68&lt;&gt;"",Z68&lt;=Critérios!$B$9),"Sim","Não")</f>
        <v>Não</v>
      </c>
    </row>
    <row r="69" customFormat="false" ht="15" hidden="false" customHeight="false" outlineLevel="0" collapsed="false">
      <c r="A69" s="12" t="s">
        <v>479</v>
      </c>
      <c r="B69" s="12" t="s">
        <v>480</v>
      </c>
      <c r="C69" s="12" t="s">
        <v>481</v>
      </c>
      <c r="D69" s="12" t="s">
        <v>214</v>
      </c>
      <c r="E69" s="12" t="s">
        <v>91</v>
      </c>
      <c r="F69" s="12" t="s">
        <v>92</v>
      </c>
      <c r="G69" s="13" t="n">
        <v>4445040</v>
      </c>
      <c r="H69" s="13" t="n">
        <v>49099468</v>
      </c>
      <c r="I69" s="13" t="n">
        <v>1045713802</v>
      </c>
      <c r="J69" s="12" t="n">
        <v>3</v>
      </c>
      <c r="K69" s="13" t="n">
        <v>615956</v>
      </c>
      <c r="L69" s="12" t="n">
        <v>6.6</v>
      </c>
      <c r="M69" s="14" t="n">
        <f aca="false">IF(G69="","",PERCENTRANK($G$2:$G$354,G69))</f>
        <v>0.663</v>
      </c>
      <c r="N69" s="14" t="n">
        <f aca="false">IF(I69="","",PERCENTRANK($I$2:$I$354,I69))</f>
        <v>0.788</v>
      </c>
      <c r="O69" s="14" t="n">
        <f aca="false">IF(K69="","",PERCENTRANK($K$2:$K$354,K69))</f>
        <v>0.679</v>
      </c>
      <c r="P69" s="12" t="n">
        <f aca="false">COUNT(M69:O69)</f>
        <v>3</v>
      </c>
      <c r="W69" s="12" t="n">
        <f aca="false">COUNTA(Q69:V69)</f>
        <v>0</v>
      </c>
      <c r="X69" s="14" t="n">
        <f aca="false">IF(P69=0,"",MIN(1,AVERAGE(M69:O69)+Critérios!$B$5*W69))</f>
        <v>0.71</v>
      </c>
      <c r="Y69" s="12" t="str">
        <f aca="false">IF(X69="","",IF(X69&gt;=Critérios!$B$7,"A",IF(X69&gt;=Critérios!$B$8,"B","C")))</f>
        <v>A</v>
      </c>
      <c r="Z69" s="12" t="n">
        <f aca="false">IF(X69="","",RANK(X69,$X$2:$X$354))</f>
        <v>68</v>
      </c>
      <c r="AA69" s="12" t="str">
        <f aca="false">IF(X69="","Sairia — sem métrica",IF(PERCENTRANK($X$2:$X$354,X69)&lt;Critérios!$B$6,"Sairia — terço inferior","Fica"))</f>
        <v>Fica</v>
      </c>
      <c r="AB69" s="12" t="s">
        <v>94</v>
      </c>
      <c r="AD69" s="15" t="s">
        <v>95</v>
      </c>
      <c r="AE69" s="16"/>
      <c r="AF69" s="12" t="s">
        <v>215</v>
      </c>
      <c r="AG69" s="12" t="s">
        <v>482</v>
      </c>
      <c r="AH69" s="12" t="n">
        <f aca="false">COUNT(G69,I69,K69)+COUNTA(Q69:V69)</f>
        <v>3</v>
      </c>
      <c r="AI69" s="12" t="str">
        <f aca="false">IF(AH69&gt;=3,"Sim","Não")</f>
        <v>Sim</v>
      </c>
      <c r="AJ69" s="12" t="str">
        <f aca="false">IF(AND(Z69&lt;&gt;"",Z69&lt;=Critérios!$B$9),"Sim","Não")</f>
        <v>Não</v>
      </c>
    </row>
    <row r="70" customFormat="false" ht="15" hidden="false" customHeight="false" outlineLevel="0" collapsed="false">
      <c r="A70" s="12" t="s">
        <v>483</v>
      </c>
      <c r="B70" s="12" t="s">
        <v>484</v>
      </c>
      <c r="C70" s="12" t="s">
        <v>485</v>
      </c>
      <c r="D70" s="12" t="s">
        <v>207</v>
      </c>
      <c r="E70" s="12" t="s">
        <v>91</v>
      </c>
      <c r="F70" s="12" t="s">
        <v>92</v>
      </c>
      <c r="G70" s="13" t="n">
        <v>4207641</v>
      </c>
      <c r="H70" s="13" t="n">
        <v>67529482</v>
      </c>
      <c r="I70" s="13" t="n">
        <v>869087963</v>
      </c>
      <c r="J70" s="12" t="n">
        <v>8</v>
      </c>
      <c r="K70" s="13" t="n">
        <v>849763</v>
      </c>
      <c r="L70" s="12" t="n">
        <v>7.6</v>
      </c>
      <c r="M70" s="14" t="n">
        <f aca="false">IF(G70="","",PERCENTRANK($G$2:$G$354,G70))</f>
        <v>0.601</v>
      </c>
      <c r="N70" s="14" t="n">
        <f aca="false">IF(I70="","",PERCENTRANK($I$2:$I$354,I70))</f>
        <v>0.619</v>
      </c>
      <c r="O70" s="14" t="n">
        <f aca="false">IF(K70="","",PERCENTRANK($K$2:$K$354,K70))</f>
        <v>0.818</v>
      </c>
      <c r="P70" s="12" t="n">
        <f aca="false">COUNT(M70:O70)</f>
        <v>3</v>
      </c>
      <c r="Q70" s="12" t="s">
        <v>486</v>
      </c>
      <c r="W70" s="12" t="n">
        <f aca="false">COUNTA(Q70:V70)</f>
        <v>1</v>
      </c>
      <c r="X70" s="14" t="n">
        <f aca="false">IF(P70=0,"",MIN(1,AVERAGE(M70:O70)+Critérios!$B$5*W70))</f>
        <v>0.709333333333333</v>
      </c>
      <c r="Y70" s="12" t="str">
        <f aca="false">IF(X70="","",IF(X70&gt;=Critérios!$B$7,"A",IF(X70&gt;=Critérios!$B$8,"B","C")))</f>
        <v>A</v>
      </c>
      <c r="Z70" s="12" t="n">
        <f aca="false">IF(X70="","",RANK(X70,$X$2:$X$354))</f>
        <v>69</v>
      </c>
      <c r="AA70" s="12" t="str">
        <f aca="false">IF(X70="","Sairia — sem métrica",IF(PERCENTRANK($X$2:$X$354,X70)&lt;Critérios!$B$6,"Sairia — terço inferior","Fica"))</f>
        <v>Fica</v>
      </c>
      <c r="AB70" s="12" t="s">
        <v>94</v>
      </c>
      <c r="AD70" s="15" t="s">
        <v>95</v>
      </c>
      <c r="AE70" s="16"/>
      <c r="AF70" s="12" t="s">
        <v>260</v>
      </c>
      <c r="AG70" s="12" t="s">
        <v>487</v>
      </c>
      <c r="AH70" s="12" t="n">
        <f aca="false">COUNT(G70,I70,K70)+COUNTA(Q70:V70)</f>
        <v>4</v>
      </c>
      <c r="AI70" s="12" t="str">
        <f aca="false">IF(AH70&gt;=3,"Sim","Não")</f>
        <v>Sim</v>
      </c>
      <c r="AJ70" s="12" t="str">
        <f aca="false">IF(AND(Z70&lt;&gt;"",Z70&lt;=Critérios!$B$9),"Sim","Não")</f>
        <v>Não</v>
      </c>
    </row>
    <row r="71" customFormat="false" ht="15" hidden="false" customHeight="false" outlineLevel="0" collapsed="false">
      <c r="A71" s="12" t="s">
        <v>488</v>
      </c>
      <c r="B71" s="12" t="s">
        <v>489</v>
      </c>
      <c r="C71" s="12" t="s">
        <v>490</v>
      </c>
      <c r="D71" s="12" t="s">
        <v>202</v>
      </c>
      <c r="E71" s="12" t="s">
        <v>91</v>
      </c>
      <c r="F71" s="12" t="s">
        <v>92</v>
      </c>
      <c r="G71" s="13" t="n">
        <v>6989217</v>
      </c>
      <c r="H71" s="13" t="n">
        <v>80603472</v>
      </c>
      <c r="I71" s="13" t="n">
        <v>971000005</v>
      </c>
      <c r="J71" s="12" t="n">
        <v>3</v>
      </c>
      <c r="K71" s="13" t="n">
        <v>466447</v>
      </c>
      <c r="L71" s="12" t="n">
        <v>7.3</v>
      </c>
      <c r="M71" s="14" t="n">
        <f aca="false">IF(G71="","",PERCENTRANK($G$2:$G$354,G71))</f>
        <v>0.853</v>
      </c>
      <c r="N71" s="14" t="n">
        <f aca="false">IF(I71="","",PERCENTRANK($I$2:$I$354,I71))</f>
        <v>0.729</v>
      </c>
      <c r="O71" s="14" t="n">
        <f aca="false">IF(K71="","",PERCENTRANK($K$2:$K$354,K71))</f>
        <v>0.537</v>
      </c>
      <c r="P71" s="12" t="n">
        <f aca="false">COUNT(M71:O71)</f>
        <v>3</v>
      </c>
      <c r="W71" s="12" t="n">
        <f aca="false">COUNTA(Q71:V71)</f>
        <v>0</v>
      </c>
      <c r="X71" s="14" t="n">
        <f aca="false">IF(P71=0,"",MIN(1,AVERAGE(M71:O71)+Critérios!$B$5*W71))</f>
        <v>0.706333333333333</v>
      </c>
      <c r="Y71" s="12" t="str">
        <f aca="false">IF(X71="","",IF(X71&gt;=Critérios!$B$7,"A",IF(X71&gt;=Critérios!$B$8,"B","C")))</f>
        <v>A</v>
      </c>
      <c r="Z71" s="12" t="n">
        <f aca="false">IF(X71="","",RANK(X71,$X$2:$X$354))</f>
        <v>70</v>
      </c>
      <c r="AA71" s="12" t="str">
        <f aca="false">IF(X71="","Sairia — sem métrica",IF(PERCENTRANK($X$2:$X$354,X71)&lt;Critérios!$B$6,"Sairia — terço inferior","Fica"))</f>
        <v>Fica</v>
      </c>
      <c r="AB71" s="12" t="s">
        <v>105</v>
      </c>
      <c r="AD71" s="15" t="s">
        <v>95</v>
      </c>
      <c r="AE71" s="16"/>
      <c r="AF71" s="12" t="s">
        <v>203</v>
      </c>
      <c r="AG71" s="12" t="s">
        <v>491</v>
      </c>
      <c r="AH71" s="12" t="n">
        <f aca="false">COUNT(G71,I71,K71)+COUNTA(Q71:V71)</f>
        <v>3</v>
      </c>
      <c r="AI71" s="12" t="str">
        <f aca="false">IF(AH71&gt;=3,"Sim","Não")</f>
        <v>Sim</v>
      </c>
      <c r="AJ71" s="12" t="str">
        <f aca="false">IF(AND(Z71&lt;&gt;"",Z71&lt;=Critérios!$B$9),"Sim","Não")</f>
        <v>Não</v>
      </c>
    </row>
    <row r="72" customFormat="false" ht="15" hidden="false" customHeight="false" outlineLevel="0" collapsed="false">
      <c r="A72" s="12" t="s">
        <v>492</v>
      </c>
      <c r="B72" s="12" t="s">
        <v>493</v>
      </c>
      <c r="C72" s="12" t="s">
        <v>494</v>
      </c>
      <c r="D72" s="12" t="s">
        <v>127</v>
      </c>
      <c r="E72" s="12" t="s">
        <v>91</v>
      </c>
      <c r="F72" s="12" t="s">
        <v>92</v>
      </c>
      <c r="G72" s="13" t="n">
        <v>4597283</v>
      </c>
      <c r="H72" s="13" t="n">
        <v>30332796</v>
      </c>
      <c r="I72" s="13" t="n">
        <v>895921036</v>
      </c>
      <c r="J72" s="12" t="n">
        <v>1</v>
      </c>
      <c r="K72" s="13" t="n">
        <v>767189</v>
      </c>
      <c r="L72" s="12" t="n">
        <v>7.7</v>
      </c>
      <c r="M72" s="14" t="n">
        <f aca="false">IF(G72="","",PERCENTRANK($G$2:$G$354,G72))</f>
        <v>0.676</v>
      </c>
      <c r="N72" s="14" t="n">
        <f aca="false">IF(I72="","",PERCENTRANK($I$2:$I$354,I72))</f>
        <v>0.665</v>
      </c>
      <c r="O72" s="14" t="n">
        <f aca="false">IF(K72="","",PERCENTRANK($K$2:$K$354,K72))</f>
        <v>0.767</v>
      </c>
      <c r="P72" s="12" t="n">
        <f aca="false">COUNT(M72:O72)</f>
        <v>3</v>
      </c>
      <c r="W72" s="12" t="n">
        <f aca="false">COUNTA(Q72:V72)</f>
        <v>0</v>
      </c>
      <c r="X72" s="14" t="n">
        <f aca="false">IF(P72=0,"",MIN(1,AVERAGE(M72:O72)+Critérios!$B$5*W72))</f>
        <v>0.702666666666667</v>
      </c>
      <c r="Y72" s="12" t="str">
        <f aca="false">IF(X72="","",IF(X72&gt;=Critérios!$B$7,"A",IF(X72&gt;=Critérios!$B$8,"B","C")))</f>
        <v>A</v>
      </c>
      <c r="Z72" s="12" t="n">
        <f aca="false">IF(X72="","",RANK(X72,$X$2:$X$354))</f>
        <v>71</v>
      </c>
      <c r="AA72" s="12" t="str">
        <f aca="false">IF(X72="","Sairia — sem métrica",IF(PERCENTRANK($X$2:$X$354,X72)&lt;Critérios!$B$6,"Sairia — terço inferior","Fica"))</f>
        <v>Fica</v>
      </c>
      <c r="AB72" s="12" t="s">
        <v>105</v>
      </c>
      <c r="AD72" s="15" t="s">
        <v>95</v>
      </c>
      <c r="AE72" s="16"/>
      <c r="AF72" s="12" t="s">
        <v>495</v>
      </c>
      <c r="AG72" s="12" t="s">
        <v>496</v>
      </c>
      <c r="AH72" s="12" t="n">
        <f aca="false">COUNT(G72,I72,K72)+COUNTA(Q72:V72)</f>
        <v>3</v>
      </c>
      <c r="AI72" s="12" t="str">
        <f aca="false">IF(AH72&gt;=3,"Sim","Não")</f>
        <v>Sim</v>
      </c>
      <c r="AJ72" s="12" t="str">
        <f aca="false">IF(AND(Z72&lt;&gt;"",Z72&lt;=Critérios!$B$9),"Sim","Não")</f>
        <v>Não</v>
      </c>
    </row>
    <row r="73" customFormat="false" ht="15" hidden="false" customHeight="false" outlineLevel="0" collapsed="false">
      <c r="A73" s="12" t="s">
        <v>497</v>
      </c>
      <c r="B73" s="12" t="s">
        <v>498</v>
      </c>
      <c r="C73" s="12" t="s">
        <v>499</v>
      </c>
      <c r="D73" s="12" t="s">
        <v>500</v>
      </c>
      <c r="E73" s="12" t="s">
        <v>91</v>
      </c>
      <c r="F73" s="12" t="s">
        <v>92</v>
      </c>
      <c r="G73" s="13" t="n">
        <v>3115020</v>
      </c>
      <c r="H73" s="13" t="n">
        <v>23536942</v>
      </c>
      <c r="I73" s="13" t="n">
        <v>1066179725</v>
      </c>
      <c r="J73" s="12" t="n">
        <v>1</v>
      </c>
      <c r="K73" s="13" t="n">
        <v>838771</v>
      </c>
      <c r="L73" s="12" t="n">
        <v>7.4</v>
      </c>
      <c r="M73" s="14" t="n">
        <f aca="false">IF(G73="","",PERCENTRANK($G$2:$G$354,G73))</f>
        <v>0.474</v>
      </c>
      <c r="N73" s="14" t="n">
        <f aca="false">IF(I73="","",PERCENTRANK($I$2:$I$354,I73))</f>
        <v>0.805</v>
      </c>
      <c r="O73" s="14" t="n">
        <f aca="false">IF(K73="","",PERCENTRANK($K$2:$K$354,K73))</f>
        <v>0.813</v>
      </c>
      <c r="P73" s="12" t="n">
        <f aca="false">COUNT(M73:O73)</f>
        <v>3</v>
      </c>
      <c r="W73" s="12" t="n">
        <f aca="false">COUNTA(Q73:V73)</f>
        <v>0</v>
      </c>
      <c r="X73" s="14" t="n">
        <f aca="false">IF(P73=0,"",MIN(1,AVERAGE(M73:O73)+Critérios!$B$5*W73))</f>
        <v>0.697333333333333</v>
      </c>
      <c r="Y73" s="12" t="str">
        <f aca="false">IF(X73="","",IF(X73&gt;=Critérios!$B$7,"A",IF(X73&gt;=Critérios!$B$8,"B","C")))</f>
        <v>B</v>
      </c>
      <c r="Z73" s="12" t="n">
        <f aca="false">IF(X73="","",RANK(X73,$X$2:$X$354))</f>
        <v>72</v>
      </c>
      <c r="AA73" s="12" t="str">
        <f aca="false">IF(X73="","Sairia — sem métrica",IF(PERCENTRANK($X$2:$X$354,X73)&lt;Critérios!$B$6,"Sairia — terço inferior","Fica"))</f>
        <v>Fica</v>
      </c>
      <c r="AB73" s="12" t="s">
        <v>94</v>
      </c>
      <c r="AD73" s="15" t="s">
        <v>95</v>
      </c>
      <c r="AE73" s="16"/>
      <c r="AF73" s="12" t="s">
        <v>501</v>
      </c>
      <c r="AG73" s="12" t="s">
        <v>502</v>
      </c>
      <c r="AH73" s="12" t="n">
        <f aca="false">COUNT(G73,I73,K73)+COUNTA(Q73:V73)</f>
        <v>3</v>
      </c>
      <c r="AI73" s="12" t="str">
        <f aca="false">IF(AH73&gt;=3,"Sim","Não")</f>
        <v>Sim</v>
      </c>
      <c r="AJ73" s="12" t="str">
        <f aca="false">IF(AND(Z73&lt;&gt;"",Z73&lt;=Critérios!$B$9),"Sim","Não")</f>
        <v>Não</v>
      </c>
    </row>
    <row r="74" customFormat="false" ht="15" hidden="false" customHeight="false" outlineLevel="0" collapsed="false">
      <c r="A74" s="12" t="s">
        <v>503</v>
      </c>
      <c r="B74" s="12" t="s">
        <v>504</v>
      </c>
      <c r="C74" s="12" t="s">
        <v>504</v>
      </c>
      <c r="D74" s="12" t="s">
        <v>505</v>
      </c>
      <c r="E74" s="12" t="s">
        <v>91</v>
      </c>
      <c r="F74" s="12" t="s">
        <v>92</v>
      </c>
      <c r="G74" s="13" t="n">
        <v>7880000</v>
      </c>
      <c r="H74" s="13" t="n">
        <v>152850000</v>
      </c>
      <c r="I74" s="13" t="n">
        <v>1870309291</v>
      </c>
      <c r="J74" s="12" t="n">
        <v>2</v>
      </c>
      <c r="K74" s="13" t="n">
        <v>157240</v>
      </c>
      <c r="L74" s="12" t="n">
        <v>7.3</v>
      </c>
      <c r="M74" s="14" t="n">
        <f aca="false">IF(G74="","",PERCENTRANK($G$2:$G$354,G74))</f>
        <v>0.899</v>
      </c>
      <c r="N74" s="14" t="n">
        <f aca="false">IF(I74="","",PERCENTRANK($I$2:$I$354,I74))</f>
        <v>0.966</v>
      </c>
      <c r="O74" s="14" t="n">
        <f aca="false">IF(K74="","",PERCENTRANK($K$2:$K$354,K74))</f>
        <v>0.125</v>
      </c>
      <c r="P74" s="12" t="n">
        <f aca="false">COUNT(M74:O74)</f>
        <v>3</v>
      </c>
      <c r="Q74" s="12" t="s">
        <v>506</v>
      </c>
      <c r="W74" s="12" t="n">
        <f aca="false">COUNTA(Q74:V74)</f>
        <v>1</v>
      </c>
      <c r="X74" s="14" t="n">
        <f aca="false">IF(P74=0,"",MIN(1,AVERAGE(M74:O74)+Critérios!$B$5*W74))</f>
        <v>0.693333333333333</v>
      </c>
      <c r="Y74" s="12" t="str">
        <f aca="false">IF(X74="","",IF(X74&gt;=Critérios!$B$7,"A",IF(X74&gt;=Critérios!$B$8,"B","C")))</f>
        <v>B</v>
      </c>
      <c r="Z74" s="12" t="n">
        <f aca="false">IF(X74="","",RANK(X74,$X$2:$X$354))</f>
        <v>73</v>
      </c>
      <c r="AA74" s="12" t="str">
        <f aca="false">IF(X74="","Sairia — sem métrica",IF(PERCENTRANK($X$2:$X$354,X74)&lt;Critérios!$B$6,"Sairia — terço inferior","Fica"))</f>
        <v>Fica</v>
      </c>
      <c r="AB74" s="12" t="s">
        <v>94</v>
      </c>
      <c r="AD74" s="15" t="s">
        <v>95</v>
      </c>
      <c r="AE74" s="16"/>
      <c r="AF74" s="12" t="s">
        <v>507</v>
      </c>
      <c r="AG74" s="12" t="s">
        <v>508</v>
      </c>
      <c r="AH74" s="12" t="n">
        <f aca="false">COUNT(G74,I74,K74)+COUNTA(Q74:V74)</f>
        <v>4</v>
      </c>
      <c r="AI74" s="12" t="str">
        <f aca="false">IF(AH74&gt;=3,"Sim","Não")</f>
        <v>Sim</v>
      </c>
      <c r="AJ74" s="12" t="str">
        <f aca="false">IF(AND(Z74&lt;&gt;"",Z74&lt;=Critérios!$B$9),"Sim","Não")</f>
        <v>Não</v>
      </c>
    </row>
    <row r="75" customFormat="false" ht="15" hidden="false" customHeight="false" outlineLevel="0" collapsed="false">
      <c r="A75" s="12" t="s">
        <v>509</v>
      </c>
      <c r="B75" s="12" t="s">
        <v>510</v>
      </c>
      <c r="C75" s="12" t="s">
        <v>511</v>
      </c>
      <c r="D75" s="12" t="s">
        <v>358</v>
      </c>
      <c r="E75" s="12" t="s">
        <v>91</v>
      </c>
      <c r="F75" s="12" t="s">
        <v>92</v>
      </c>
      <c r="G75" s="13" t="n">
        <v>4401163</v>
      </c>
      <c r="H75" s="13" t="n">
        <v>37655019</v>
      </c>
      <c r="I75" s="13" t="n">
        <v>960897696</v>
      </c>
      <c r="J75" s="12" t="n">
        <v>3</v>
      </c>
      <c r="K75" s="13" t="n">
        <v>677012</v>
      </c>
      <c r="L75" s="12" t="n">
        <v>7.7</v>
      </c>
      <c r="M75" s="14" t="n">
        <f aca="false">IF(G75="","",PERCENTRANK($G$2:$G$354,G75))</f>
        <v>0.65</v>
      </c>
      <c r="N75" s="14" t="n">
        <f aca="false">IF(I75="","",PERCENTRANK($I$2:$I$354,I75))</f>
        <v>0.703</v>
      </c>
      <c r="O75" s="14" t="n">
        <f aca="false">IF(K75="","",PERCENTRANK($K$2:$K$354,K75))</f>
        <v>0.713</v>
      </c>
      <c r="P75" s="12" t="n">
        <f aca="false">COUNT(M75:O75)</f>
        <v>3</v>
      </c>
      <c r="W75" s="12" t="n">
        <f aca="false">COUNTA(Q75:V75)</f>
        <v>0</v>
      </c>
      <c r="X75" s="14" t="n">
        <f aca="false">IF(P75=0,"",MIN(1,AVERAGE(M75:O75)+Critérios!$B$5*W75))</f>
        <v>0.688666666666667</v>
      </c>
      <c r="Y75" s="12" t="str">
        <f aca="false">IF(X75="","",IF(X75&gt;=Critérios!$B$7,"A",IF(X75&gt;=Critérios!$B$8,"B","C")))</f>
        <v>B</v>
      </c>
      <c r="Z75" s="12" t="n">
        <f aca="false">IF(X75="","",RANK(X75,$X$2:$X$354))</f>
        <v>74</v>
      </c>
      <c r="AA75" s="12" t="str">
        <f aca="false">IF(X75="","Sairia — sem métrica",IF(PERCENTRANK($X$2:$X$354,X75)&lt;Critérios!$B$6,"Sairia — terço inferior","Fica"))</f>
        <v>Fica</v>
      </c>
      <c r="AB75" s="12" t="s">
        <v>105</v>
      </c>
      <c r="AD75" s="15" t="s">
        <v>95</v>
      </c>
      <c r="AE75" s="16"/>
      <c r="AF75" s="12" t="s">
        <v>359</v>
      </c>
      <c r="AG75" s="12" t="s">
        <v>512</v>
      </c>
      <c r="AH75" s="12" t="n">
        <f aca="false">COUNT(G75,I75,K75)+COUNTA(Q75:V75)</f>
        <v>3</v>
      </c>
      <c r="AI75" s="12" t="str">
        <f aca="false">IF(AH75&gt;=3,"Sim","Não")</f>
        <v>Sim</v>
      </c>
      <c r="AJ75" s="12" t="str">
        <f aca="false">IF(AND(Z75&lt;&gt;"",Z75&lt;=Critérios!$B$9),"Sim","Não")</f>
        <v>Não</v>
      </c>
    </row>
    <row r="76" customFormat="false" ht="15" hidden="false" customHeight="false" outlineLevel="0" collapsed="false">
      <c r="A76" s="12" t="s">
        <v>513</v>
      </c>
      <c r="B76" s="12" t="s">
        <v>514</v>
      </c>
      <c r="C76" s="12" t="s">
        <v>514</v>
      </c>
      <c r="D76" s="12" t="s">
        <v>111</v>
      </c>
      <c r="E76" s="12" t="s">
        <v>91</v>
      </c>
      <c r="F76" s="12" t="s">
        <v>92</v>
      </c>
      <c r="G76" s="13" t="n">
        <v>4601084</v>
      </c>
      <c r="H76" s="13" t="n">
        <v>66934777</v>
      </c>
      <c r="I76" s="13" t="n">
        <v>785896609</v>
      </c>
      <c r="J76" s="12" t="n">
        <v>9</v>
      </c>
      <c r="K76" s="13" t="n">
        <v>760427</v>
      </c>
      <c r="L76" s="12" t="n">
        <v>7.6</v>
      </c>
      <c r="M76" s="14" t="n">
        <f aca="false">IF(G76="","",PERCENTRANK($G$2:$G$354,G76))</f>
        <v>0.68</v>
      </c>
      <c r="N76" s="14" t="n">
        <f aca="false">IF(I76="","",PERCENTRANK($I$2:$I$354,I76))</f>
        <v>0.534</v>
      </c>
      <c r="O76" s="14" t="n">
        <f aca="false">IF(K76="","",PERCENTRANK($K$2:$K$354,K76))</f>
        <v>0.761</v>
      </c>
      <c r="P76" s="12" t="n">
        <f aca="false">COUNT(M76:O76)</f>
        <v>3</v>
      </c>
      <c r="Q76" s="12" t="s">
        <v>515</v>
      </c>
      <c r="W76" s="12" t="n">
        <f aca="false">COUNTA(Q76:V76)</f>
        <v>1</v>
      </c>
      <c r="X76" s="14" t="n">
        <f aca="false">IF(P76=0,"",MIN(1,AVERAGE(M76:O76)+Critérios!$B$5*W76))</f>
        <v>0.688333333333333</v>
      </c>
      <c r="Y76" s="12" t="str">
        <f aca="false">IF(X76="","",IF(X76&gt;=Critérios!$B$7,"A",IF(X76&gt;=Critérios!$B$8,"B","C")))</f>
        <v>B</v>
      </c>
      <c r="Z76" s="12" t="n">
        <f aca="false">IF(X76="","",RANK(X76,$X$2:$X$354))</f>
        <v>75</v>
      </c>
      <c r="AA76" s="12" t="str">
        <f aca="false">IF(X76="","Sairia — sem métrica",IF(PERCENTRANK($X$2:$X$354,X76)&lt;Critérios!$B$6,"Sairia — terço inferior","Fica"))</f>
        <v>Fica</v>
      </c>
      <c r="AB76" s="12" t="s">
        <v>105</v>
      </c>
      <c r="AD76" s="15" t="s">
        <v>95</v>
      </c>
      <c r="AE76" s="16"/>
      <c r="AF76" s="12" t="s">
        <v>197</v>
      </c>
      <c r="AG76" s="12" t="s">
        <v>516</v>
      </c>
      <c r="AH76" s="12" t="n">
        <f aca="false">COUNT(G76,I76,K76)+COUNTA(Q76:V76)</f>
        <v>4</v>
      </c>
      <c r="AI76" s="12" t="str">
        <f aca="false">IF(AH76&gt;=3,"Sim","Não")</f>
        <v>Sim</v>
      </c>
      <c r="AJ76" s="12" t="str">
        <f aca="false">IF(AND(Z76&lt;&gt;"",Z76&lt;=Critérios!$B$9),"Sim","Não")</f>
        <v>Não</v>
      </c>
    </row>
    <row r="77" customFormat="false" ht="15" hidden="false" customHeight="false" outlineLevel="0" collapsed="false">
      <c r="A77" s="12" t="s">
        <v>517</v>
      </c>
      <c r="B77" s="12" t="s">
        <v>518</v>
      </c>
      <c r="C77" s="12" t="s">
        <v>518</v>
      </c>
      <c r="D77" s="12" t="s">
        <v>111</v>
      </c>
      <c r="E77" s="12" t="s">
        <v>91</v>
      </c>
      <c r="F77" s="12" t="s">
        <v>92</v>
      </c>
      <c r="G77" s="13" t="n">
        <v>4605459</v>
      </c>
      <c r="H77" s="13" t="n">
        <v>72243415</v>
      </c>
      <c r="I77" s="13" t="n">
        <v>856085151</v>
      </c>
      <c r="J77" s="12" t="n">
        <v>7</v>
      </c>
      <c r="K77" s="13" t="n">
        <v>619097</v>
      </c>
      <c r="L77" s="12" t="n">
        <v>6.6</v>
      </c>
      <c r="M77" s="14" t="n">
        <f aca="false">IF(G77="","",PERCENTRANK($G$2:$G$354,G77))</f>
        <v>0.683</v>
      </c>
      <c r="N77" s="14" t="n">
        <f aca="false">IF(I77="","",PERCENTRANK($I$2:$I$354,I77))</f>
        <v>0.602</v>
      </c>
      <c r="O77" s="14" t="n">
        <f aca="false">IF(K77="","",PERCENTRANK($K$2:$K$354,K77))</f>
        <v>0.682</v>
      </c>
      <c r="P77" s="12" t="n">
        <f aca="false">COUNT(M77:O77)</f>
        <v>3</v>
      </c>
      <c r="Q77" s="12" t="s">
        <v>519</v>
      </c>
      <c r="W77" s="12" t="n">
        <f aca="false">COUNTA(Q77:V77)</f>
        <v>1</v>
      </c>
      <c r="X77" s="14" t="n">
        <f aca="false">IF(P77=0,"",MIN(1,AVERAGE(M77:O77)+Critérios!$B$5*W77))</f>
        <v>0.685666666666667</v>
      </c>
      <c r="Y77" s="12" t="str">
        <f aca="false">IF(X77="","",IF(X77&gt;=Critérios!$B$7,"A",IF(X77&gt;=Critérios!$B$8,"B","C")))</f>
        <v>B</v>
      </c>
      <c r="Z77" s="12" t="n">
        <f aca="false">IF(X77="","",RANK(X77,$X$2:$X$354))</f>
        <v>76</v>
      </c>
      <c r="AA77" s="12" t="str">
        <f aca="false">IF(X77="","Sairia — sem métrica",IF(PERCENTRANK($X$2:$X$354,X77)&lt;Critérios!$B$6,"Sairia — terço inferior","Fica"))</f>
        <v>Fica</v>
      </c>
      <c r="AB77" s="12" t="s">
        <v>105</v>
      </c>
      <c r="AD77" s="15" t="s">
        <v>95</v>
      </c>
      <c r="AE77" s="16"/>
      <c r="AF77" s="12" t="s">
        <v>197</v>
      </c>
      <c r="AG77" s="12" t="s">
        <v>520</v>
      </c>
      <c r="AH77" s="12" t="n">
        <f aca="false">COUNT(G77,I77,K77)+COUNTA(Q77:V77)</f>
        <v>4</v>
      </c>
      <c r="AI77" s="12" t="str">
        <f aca="false">IF(AH77&gt;=3,"Sim","Não")</f>
        <v>Sim</v>
      </c>
      <c r="AJ77" s="12" t="str">
        <f aca="false">IF(AND(Z77&lt;&gt;"",Z77&lt;=Critérios!$B$9),"Sim","Não")</f>
        <v>Não</v>
      </c>
    </row>
    <row r="78" customFormat="false" ht="15" hidden="false" customHeight="false" outlineLevel="0" collapsed="false">
      <c r="A78" s="12" t="s">
        <v>521</v>
      </c>
      <c r="B78" s="12" t="s">
        <v>522</v>
      </c>
      <c r="C78" s="12" t="s">
        <v>523</v>
      </c>
      <c r="D78" s="12" t="s">
        <v>134</v>
      </c>
      <c r="E78" s="12" t="s">
        <v>91</v>
      </c>
      <c r="F78" s="12" t="s">
        <v>92</v>
      </c>
      <c r="G78" s="13" t="n">
        <v>4530291</v>
      </c>
      <c r="H78" s="13" t="n">
        <v>36183253</v>
      </c>
      <c r="I78" s="13" t="n">
        <v>933959197</v>
      </c>
      <c r="J78" s="12" t="n">
        <v>2</v>
      </c>
      <c r="K78" s="13" t="n">
        <v>672722</v>
      </c>
      <c r="L78" s="12" t="n">
        <v>7.6</v>
      </c>
      <c r="M78" s="14" t="n">
        <f aca="false">IF(G78="","",PERCENTRANK($G$2:$G$354,G78))</f>
        <v>0.67</v>
      </c>
      <c r="N78" s="14" t="n">
        <f aca="false">IF(I78="","",PERCENTRANK($I$2:$I$354,I78))</f>
        <v>0.678</v>
      </c>
      <c r="O78" s="14" t="n">
        <f aca="false">IF(K78="","",PERCENTRANK($K$2:$K$354,K78))</f>
        <v>0.707</v>
      </c>
      <c r="P78" s="12" t="n">
        <f aca="false">COUNT(M78:O78)</f>
        <v>3</v>
      </c>
      <c r="W78" s="12" t="n">
        <f aca="false">COUNTA(Q78:V78)</f>
        <v>0</v>
      </c>
      <c r="X78" s="14" t="n">
        <f aca="false">IF(P78=0,"",MIN(1,AVERAGE(M78:O78)+Critérios!$B$5*W78))</f>
        <v>0.685</v>
      </c>
      <c r="Y78" s="12" t="str">
        <f aca="false">IF(X78="","",IF(X78&gt;=Critérios!$B$7,"A",IF(X78&gt;=Critérios!$B$8,"B","C")))</f>
        <v>B</v>
      </c>
      <c r="Z78" s="12" t="n">
        <f aca="false">IF(X78="","",RANK(X78,$X$2:$X$354))</f>
        <v>77</v>
      </c>
      <c r="AA78" s="12" t="str">
        <f aca="false">IF(X78="","Sairia — sem métrica",IF(PERCENTRANK($X$2:$X$354,X78)&lt;Critérios!$B$6,"Sairia — terço inferior","Fica"))</f>
        <v>Fica</v>
      </c>
      <c r="AB78" s="12" t="s">
        <v>105</v>
      </c>
      <c r="AD78" s="15" t="s">
        <v>95</v>
      </c>
      <c r="AE78" s="16"/>
      <c r="AF78" s="12" t="s">
        <v>524</v>
      </c>
      <c r="AG78" s="12" t="s">
        <v>525</v>
      </c>
      <c r="AH78" s="12" t="n">
        <f aca="false">COUNT(G78,I78,K78)+COUNTA(Q78:V78)</f>
        <v>3</v>
      </c>
      <c r="AI78" s="12" t="str">
        <f aca="false">IF(AH78&gt;=3,"Sim","Não")</f>
        <v>Sim</v>
      </c>
      <c r="AJ78" s="12" t="str">
        <f aca="false">IF(AND(Z78&lt;&gt;"",Z78&lt;=Critérios!$B$9),"Sim","Não")</f>
        <v>Não</v>
      </c>
    </row>
    <row r="79" customFormat="false" ht="15" hidden="false" customHeight="false" outlineLevel="0" collapsed="false">
      <c r="A79" s="12" t="s">
        <v>526</v>
      </c>
      <c r="B79" s="12" t="s">
        <v>527</v>
      </c>
      <c r="C79" s="12" t="s">
        <v>528</v>
      </c>
      <c r="D79" s="12" t="s">
        <v>505</v>
      </c>
      <c r="E79" s="12" t="s">
        <v>91</v>
      </c>
      <c r="F79" s="12" t="s">
        <v>92</v>
      </c>
      <c r="G79" s="13" t="n">
        <v>6340000</v>
      </c>
      <c r="H79" s="13" t="n">
        <v>143850000</v>
      </c>
      <c r="I79" s="13" t="n">
        <v>1490386712</v>
      </c>
      <c r="J79" s="12" t="n">
        <v>3</v>
      </c>
      <c r="K79" s="13" t="n">
        <v>214946</v>
      </c>
      <c r="L79" s="12" t="n">
        <v>7.2</v>
      </c>
      <c r="M79" s="14" t="n">
        <f aca="false">IF(G79="","",PERCENTRANK($G$2:$G$354,G79))</f>
        <v>0.817</v>
      </c>
      <c r="N79" s="14" t="n">
        <f aca="false">IF(I79="","",PERCENTRANK($I$2:$I$354,I79))</f>
        <v>0.932</v>
      </c>
      <c r="O79" s="14" t="n">
        <f aca="false">IF(K79="","",PERCENTRANK($K$2:$K$354,K79))</f>
        <v>0.21</v>
      </c>
      <c r="P79" s="12" t="n">
        <f aca="false">COUNT(M79:O79)</f>
        <v>3</v>
      </c>
      <c r="Q79" s="12" t="s">
        <v>529</v>
      </c>
      <c r="W79" s="12" t="n">
        <f aca="false">COUNTA(Q79:V79)</f>
        <v>1</v>
      </c>
      <c r="X79" s="14" t="n">
        <f aca="false">IF(P79=0,"",MIN(1,AVERAGE(M79:O79)+Critérios!$B$5*W79))</f>
        <v>0.683</v>
      </c>
      <c r="Y79" s="12" t="str">
        <f aca="false">IF(X79="","",IF(X79&gt;=Critérios!$B$7,"A",IF(X79&gt;=Critérios!$B$8,"B","C")))</f>
        <v>B</v>
      </c>
      <c r="Z79" s="12" t="n">
        <f aca="false">IF(X79="","",RANK(X79,$X$2:$X$354))</f>
        <v>78</v>
      </c>
      <c r="AA79" s="12" t="str">
        <f aca="false">IF(X79="","Sairia — sem métrica",IF(PERCENTRANK($X$2:$X$354,X79)&lt;Critérios!$B$6,"Sairia — terço inferior","Fica"))</f>
        <v>Fica</v>
      </c>
      <c r="AB79" s="12" t="s">
        <v>105</v>
      </c>
      <c r="AD79" s="15" t="s">
        <v>95</v>
      </c>
      <c r="AE79" s="16"/>
      <c r="AF79" s="12" t="s">
        <v>507</v>
      </c>
      <c r="AG79" s="12" t="s">
        <v>530</v>
      </c>
      <c r="AH79" s="12" t="n">
        <f aca="false">COUNT(G79,I79,K79)+COUNTA(Q79:V79)</f>
        <v>4</v>
      </c>
      <c r="AI79" s="12" t="str">
        <f aca="false">IF(AH79&gt;=3,"Sim","Não")</f>
        <v>Sim</v>
      </c>
      <c r="AJ79" s="12" t="str">
        <f aca="false">IF(AND(Z79&lt;&gt;"",Z79&lt;=Critérios!$B$9),"Sim","Não")</f>
        <v>Não</v>
      </c>
    </row>
    <row r="80" customFormat="false" ht="15" hidden="false" customHeight="false" outlineLevel="0" collapsed="false">
      <c r="A80" s="12" t="s">
        <v>531</v>
      </c>
      <c r="B80" s="12" t="s">
        <v>532</v>
      </c>
      <c r="C80" s="12" t="s">
        <v>533</v>
      </c>
      <c r="D80" s="12" t="s">
        <v>118</v>
      </c>
      <c r="E80" s="12" t="s">
        <v>91</v>
      </c>
      <c r="F80" s="12" t="s">
        <v>92</v>
      </c>
      <c r="G80" s="13" t="n">
        <v>5643868</v>
      </c>
      <c r="H80" s="13" t="n">
        <v>111658278</v>
      </c>
      <c r="I80" s="13" t="n">
        <v>859208836</v>
      </c>
      <c r="J80" s="12" t="n">
        <v>6</v>
      </c>
      <c r="K80" s="13" t="n">
        <v>403932</v>
      </c>
      <c r="L80" s="12" t="n">
        <v>6.6</v>
      </c>
      <c r="M80" s="14" t="n">
        <f aca="false">IF(G80="","",PERCENTRANK($G$2:$G$354,G80))</f>
        <v>0.784</v>
      </c>
      <c r="N80" s="14" t="n">
        <f aca="false">IF(I80="","",PERCENTRANK($I$2:$I$354,I80))</f>
        <v>0.61</v>
      </c>
      <c r="O80" s="14" t="n">
        <f aca="false">IF(K80="","",PERCENTRANK($K$2:$K$354,K80))</f>
        <v>0.46</v>
      </c>
      <c r="P80" s="12" t="n">
        <f aca="false">COUNT(M80:O80)</f>
        <v>3</v>
      </c>
      <c r="Q80" s="12" t="s">
        <v>534</v>
      </c>
      <c r="S80" s="12" t="s">
        <v>535</v>
      </c>
      <c r="W80" s="12" t="n">
        <f aca="false">COUNTA(Q80:V80)</f>
        <v>2</v>
      </c>
      <c r="X80" s="14" t="n">
        <f aca="false">IF(P80=0,"",MIN(1,AVERAGE(M80:O80)+Critérios!$B$5*W80))</f>
        <v>0.678</v>
      </c>
      <c r="Y80" s="12" t="str">
        <f aca="false">IF(X80="","",IF(X80&gt;=Critérios!$B$7,"A",IF(X80&gt;=Critérios!$B$8,"B","C")))</f>
        <v>B</v>
      </c>
      <c r="Z80" s="12" t="n">
        <f aca="false">IF(X80="","",RANK(X80,$X$2:$X$354))</f>
        <v>80</v>
      </c>
      <c r="AA80" s="12" t="str">
        <f aca="false">IF(X80="","Sairia — sem métrica",IF(PERCENTRANK($X$2:$X$354,X80)&lt;Critérios!$B$6,"Sairia — terço inferior","Fica"))</f>
        <v>Fica</v>
      </c>
      <c r="AB80" s="12" t="s">
        <v>105</v>
      </c>
      <c r="AD80" s="15" t="s">
        <v>95</v>
      </c>
      <c r="AE80" s="16"/>
      <c r="AF80" s="12" t="s">
        <v>220</v>
      </c>
      <c r="AG80" s="12" t="s">
        <v>536</v>
      </c>
      <c r="AH80" s="12" t="n">
        <f aca="false">COUNT(G80,I80,K80)+COUNTA(Q80:V80)</f>
        <v>5</v>
      </c>
      <c r="AI80" s="12" t="str">
        <f aca="false">IF(AH80&gt;=3,"Sim","Não")</f>
        <v>Sim</v>
      </c>
      <c r="AJ80" s="12" t="str">
        <f aca="false">IF(AND(Z80&lt;&gt;"",Z80&lt;=Critérios!$B$9),"Sim","Não")</f>
        <v>Não</v>
      </c>
    </row>
    <row r="81" customFormat="false" ht="15" hidden="false" customHeight="false" outlineLevel="0" collapsed="false">
      <c r="A81" s="12" t="s">
        <v>537</v>
      </c>
      <c r="B81" s="12" t="s">
        <v>538</v>
      </c>
      <c r="C81" s="12" t="s">
        <v>539</v>
      </c>
      <c r="D81" s="12" t="s">
        <v>146</v>
      </c>
      <c r="E81" s="12" t="s">
        <v>91</v>
      </c>
      <c r="F81" s="12" t="s">
        <v>92</v>
      </c>
      <c r="G81" s="13" t="n">
        <v>4263800</v>
      </c>
      <c r="H81" s="13" t="n">
        <v>31756000</v>
      </c>
      <c r="I81" s="13" t="n">
        <v>941676843</v>
      </c>
      <c r="J81" s="12" t="n">
        <v>2</v>
      </c>
      <c r="K81" s="13" t="n">
        <v>713589</v>
      </c>
      <c r="L81" s="12" t="n">
        <v>7.5</v>
      </c>
      <c r="M81" s="14" t="n">
        <f aca="false">IF(G81="","",PERCENTRANK($G$2:$G$354,G81))</f>
        <v>0.605</v>
      </c>
      <c r="N81" s="14" t="n">
        <f aca="false">IF(I81="","",PERCENTRANK($I$2:$I$354,I81))</f>
        <v>0.691</v>
      </c>
      <c r="O81" s="14" t="n">
        <f aca="false">IF(K81="","",PERCENTRANK($K$2:$K$354,K81))</f>
        <v>0.739</v>
      </c>
      <c r="P81" s="12" t="n">
        <f aca="false">COUNT(M81:O81)</f>
        <v>3</v>
      </c>
      <c r="W81" s="12" t="n">
        <f aca="false">COUNTA(Q81:V81)</f>
        <v>0</v>
      </c>
      <c r="X81" s="14" t="n">
        <f aca="false">IF(P81=0,"",MIN(1,AVERAGE(M81:O81)+Critérios!$B$5*W81))</f>
        <v>0.678333333333333</v>
      </c>
      <c r="Y81" s="12" t="str">
        <f aca="false">IF(X81="","",IF(X81&gt;=Critérios!$B$7,"A",IF(X81&gt;=Critérios!$B$8,"B","C")))</f>
        <v>B</v>
      </c>
      <c r="Z81" s="12" t="n">
        <f aca="false">IF(X81="","",RANK(X81,$X$2:$X$354))</f>
        <v>79</v>
      </c>
      <c r="AA81" s="12" t="str">
        <f aca="false">IF(X81="","Sairia — sem métrica",IF(PERCENTRANK($X$2:$X$354,X81)&lt;Critérios!$B$6,"Sairia — terço inferior","Fica"))</f>
        <v>Fica</v>
      </c>
      <c r="AB81" s="12" t="s">
        <v>105</v>
      </c>
      <c r="AD81" s="15" t="s">
        <v>95</v>
      </c>
      <c r="AE81" s="16"/>
      <c r="AF81" s="12" t="s">
        <v>434</v>
      </c>
      <c r="AG81" s="12" t="s">
        <v>540</v>
      </c>
      <c r="AH81" s="12" t="n">
        <f aca="false">COUNT(G81,I81,K81)+COUNTA(Q81:V81)</f>
        <v>3</v>
      </c>
      <c r="AI81" s="12" t="str">
        <f aca="false">IF(AH81&gt;=3,"Sim","Não")</f>
        <v>Sim</v>
      </c>
      <c r="AJ81" s="12" t="str">
        <f aca="false">IF(AND(Z81&lt;&gt;"",Z81&lt;=Critérios!$B$9),"Sim","Não")</f>
        <v>Não</v>
      </c>
    </row>
    <row r="82" customFormat="false" ht="15" hidden="false" customHeight="false" outlineLevel="0" collapsed="false">
      <c r="A82" s="12" t="s">
        <v>541</v>
      </c>
      <c r="B82" s="12" t="s">
        <v>542</v>
      </c>
      <c r="C82" s="12" t="s">
        <v>543</v>
      </c>
      <c r="D82" s="12" t="s">
        <v>505</v>
      </c>
      <c r="E82" s="12" t="s">
        <v>91</v>
      </c>
      <c r="F82" s="12" t="s">
        <v>169</v>
      </c>
      <c r="G82" s="17"/>
      <c r="H82" s="17"/>
      <c r="I82" s="17"/>
      <c r="K82" s="13" t="n">
        <v>532553</v>
      </c>
      <c r="L82" s="12" t="n">
        <v>7.5</v>
      </c>
      <c r="M82" s="14" t="str">
        <f aca="false">IF(G82="","",PERCENTRANK($G$2:$G$354,G82))</f>
        <v/>
      </c>
      <c r="N82" s="14" t="str">
        <f aca="false">IF(I82="","",PERCENTRANK($I$2:$I$354,I82))</f>
        <v/>
      </c>
      <c r="O82" s="14" t="n">
        <f aca="false">IF(K82="","",PERCENTRANK($K$2:$K$354,K82))</f>
        <v>0.616</v>
      </c>
      <c r="P82" s="12" t="n">
        <f aca="false">COUNT(M82:O82)</f>
        <v>1</v>
      </c>
      <c r="Q82" s="12" t="s">
        <v>544</v>
      </c>
      <c r="R82" s="12" t="s">
        <v>545</v>
      </c>
      <c r="W82" s="12" t="n">
        <f aca="false">COUNTA(Q82:V82)</f>
        <v>2</v>
      </c>
      <c r="X82" s="14" t="n">
        <f aca="false">IF(P82=0,"",MIN(1,AVERAGE(M82:O82)+Critérios!$B$5*W82))</f>
        <v>0.676</v>
      </c>
      <c r="Y82" s="12" t="str">
        <f aca="false">IF(X82="","",IF(X82&gt;=Critérios!$B$7,"A",IF(X82&gt;=Critérios!$B$8,"B","C")))</f>
        <v>B</v>
      </c>
      <c r="Z82" s="12" t="n">
        <f aca="false">IF(X82="","",RANK(X82,$X$2:$X$354))</f>
        <v>81</v>
      </c>
      <c r="AA82" s="12" t="str">
        <f aca="false">IF(X82="","Sairia — sem métrica",IF(PERCENTRANK($X$2:$X$354,X82)&lt;Critérios!$B$6,"Sairia — terço inferior","Fica"))</f>
        <v>Fica</v>
      </c>
      <c r="AB82" s="12" t="s">
        <v>105</v>
      </c>
      <c r="AD82" s="15" t="s">
        <v>95</v>
      </c>
      <c r="AE82" s="16"/>
      <c r="AG82" s="12" t="s">
        <v>546</v>
      </c>
      <c r="AH82" s="12" t="n">
        <f aca="false">COUNT(G82,I82,K82)+COUNTA(Q82:V82)</f>
        <v>3</v>
      </c>
      <c r="AI82" s="12" t="str">
        <f aca="false">IF(AH82&gt;=3,"Sim","Não")</f>
        <v>Sim</v>
      </c>
      <c r="AJ82" s="12" t="str">
        <f aca="false">IF(AND(Z82&lt;&gt;"",Z82&lt;=Critérios!$B$9),"Sim","Não")</f>
        <v>Não</v>
      </c>
    </row>
    <row r="83" customFormat="false" ht="15" hidden="false" customHeight="false" outlineLevel="0" collapsed="false">
      <c r="A83" s="12" t="s">
        <v>547</v>
      </c>
      <c r="B83" s="12" t="s">
        <v>548</v>
      </c>
      <c r="C83" s="12" t="s">
        <v>549</v>
      </c>
      <c r="D83" s="12" t="s">
        <v>251</v>
      </c>
      <c r="E83" s="12" t="s">
        <v>91</v>
      </c>
      <c r="F83" s="12" t="s">
        <v>92</v>
      </c>
      <c r="G83" s="17"/>
      <c r="H83" s="17"/>
      <c r="I83" s="13" t="n">
        <v>715409065</v>
      </c>
      <c r="J83" s="12" t="n">
        <v>7</v>
      </c>
      <c r="K83" s="13" t="n">
        <v>798878</v>
      </c>
      <c r="L83" s="12" t="n">
        <v>8.4</v>
      </c>
      <c r="M83" s="14" t="str">
        <f aca="false">IF(G83="","",PERCENTRANK($G$2:$G$354,G83))</f>
        <v/>
      </c>
      <c r="N83" s="14" t="n">
        <f aca="false">IF(I83="","",PERCENTRANK($I$2:$I$354,I83))</f>
        <v>0.436</v>
      </c>
      <c r="O83" s="14" t="n">
        <f aca="false">IF(K83="","",PERCENTRANK($K$2:$K$354,K83))</f>
        <v>0.795</v>
      </c>
      <c r="P83" s="12" t="n">
        <f aca="false">COUNT(M83:O83)</f>
        <v>2</v>
      </c>
      <c r="Q83" s="12" t="s">
        <v>550</v>
      </c>
      <c r="V83" s="12" t="s">
        <v>551</v>
      </c>
      <c r="W83" s="12" t="n">
        <f aca="false">COUNTA(Q83:V83)</f>
        <v>2</v>
      </c>
      <c r="X83" s="14" t="n">
        <f aca="false">IF(P83=0,"",MIN(1,AVERAGE(M83:O83)+Critérios!$B$5*W83))</f>
        <v>0.6755</v>
      </c>
      <c r="Y83" s="12" t="str">
        <f aca="false">IF(X83="","",IF(X83&gt;=Critérios!$B$7,"A",IF(X83&gt;=Critérios!$B$8,"B","C")))</f>
        <v>B</v>
      </c>
      <c r="Z83" s="12" t="n">
        <f aca="false">IF(X83="","",RANK(X83,$X$2:$X$354))</f>
        <v>82</v>
      </c>
      <c r="AA83" s="12" t="str">
        <f aca="false">IF(X83="","Sairia — sem métrica",IF(PERCENTRANK($X$2:$X$354,X83)&lt;Critérios!$B$6,"Sairia — terço inferior","Fica"))</f>
        <v>Fica</v>
      </c>
      <c r="AB83" s="12" t="s">
        <v>105</v>
      </c>
      <c r="AD83" s="15" t="s">
        <v>95</v>
      </c>
      <c r="AE83" s="16"/>
      <c r="AF83" s="12" t="s">
        <v>552</v>
      </c>
      <c r="AG83" s="12" t="s">
        <v>553</v>
      </c>
      <c r="AH83" s="12" t="n">
        <f aca="false">COUNT(G83,I83,K83)+COUNTA(Q83:V83)</f>
        <v>4</v>
      </c>
      <c r="AI83" s="12" t="str">
        <f aca="false">IF(AH83&gt;=3,"Sim","Não")</f>
        <v>Sim</v>
      </c>
      <c r="AJ83" s="12" t="str">
        <f aca="false">IF(AND(Z83&lt;&gt;"",Z83&lt;=Critérios!$B$9),"Sim","Não")</f>
        <v>Não</v>
      </c>
    </row>
    <row r="84" customFormat="false" ht="15" hidden="false" customHeight="false" outlineLevel="0" collapsed="false">
      <c r="A84" s="12" t="s">
        <v>554</v>
      </c>
      <c r="B84" s="12" t="s">
        <v>555</v>
      </c>
      <c r="C84" s="12" t="s">
        <v>556</v>
      </c>
      <c r="D84" s="12" t="s">
        <v>207</v>
      </c>
      <c r="E84" s="12" t="s">
        <v>91</v>
      </c>
      <c r="F84" s="12" t="s">
        <v>92</v>
      </c>
      <c r="G84" s="13" t="n">
        <v>4772758</v>
      </c>
      <c r="H84" s="13" t="n">
        <v>74059745</v>
      </c>
      <c r="I84" s="13" t="n">
        <v>962077546</v>
      </c>
      <c r="J84" s="12" t="n">
        <v>5</v>
      </c>
      <c r="K84" s="13" t="n">
        <v>513674</v>
      </c>
      <c r="L84" s="12" t="n">
        <v>6.9</v>
      </c>
      <c r="M84" s="14" t="n">
        <f aca="false">IF(G84="","",PERCENTRANK($G$2:$G$354,G84))</f>
        <v>0.709</v>
      </c>
      <c r="N84" s="14" t="n">
        <f aca="false">IF(I84="","",PERCENTRANK($I$2:$I$354,I84))</f>
        <v>0.716</v>
      </c>
      <c r="O84" s="14" t="n">
        <f aca="false">IF(K84="","",PERCENTRANK($K$2:$K$354,K84))</f>
        <v>0.597</v>
      </c>
      <c r="P84" s="12" t="n">
        <f aca="false">COUNT(M84:O84)</f>
        <v>3</v>
      </c>
      <c r="W84" s="12" t="n">
        <f aca="false">COUNTA(Q84:V84)</f>
        <v>0</v>
      </c>
      <c r="X84" s="14" t="n">
        <f aca="false">IF(P84=0,"",MIN(1,AVERAGE(M84:O84)+Critérios!$B$5*W84))</f>
        <v>0.674</v>
      </c>
      <c r="Y84" s="12" t="str">
        <f aca="false">IF(X84="","",IF(X84&gt;=Critérios!$B$7,"A",IF(X84&gt;=Critérios!$B$8,"B","C")))</f>
        <v>B</v>
      </c>
      <c r="Z84" s="12" t="n">
        <f aca="false">IF(X84="","",RANK(X84,$X$2:$X$354))</f>
        <v>83</v>
      </c>
      <c r="AA84" s="12" t="str">
        <f aca="false">IF(X84="","Sairia — sem métrica",IF(PERCENTRANK($X$2:$X$354,X84)&lt;Critérios!$B$6,"Sairia — terço inferior","Fica"))</f>
        <v>Fica</v>
      </c>
      <c r="AB84" s="12" t="s">
        <v>105</v>
      </c>
      <c r="AD84" s="15" t="s">
        <v>95</v>
      </c>
      <c r="AE84" s="16"/>
      <c r="AF84" s="12" t="s">
        <v>557</v>
      </c>
      <c r="AG84" s="12" t="s">
        <v>558</v>
      </c>
      <c r="AH84" s="12" t="n">
        <f aca="false">COUNT(G84,I84,K84)+COUNTA(Q84:V84)</f>
        <v>3</v>
      </c>
      <c r="AI84" s="12" t="str">
        <f aca="false">IF(AH84&gt;=3,"Sim","Não")</f>
        <v>Sim</v>
      </c>
      <c r="AJ84" s="12" t="str">
        <f aca="false">IF(AND(Z84&lt;&gt;"",Z84&lt;=Critérios!$B$9),"Sim","Não")</f>
        <v>Não</v>
      </c>
    </row>
    <row r="85" customFormat="false" ht="15" hidden="false" customHeight="false" outlineLevel="0" collapsed="false">
      <c r="A85" s="12" t="s">
        <v>559</v>
      </c>
      <c r="B85" s="12" t="s">
        <v>560</v>
      </c>
      <c r="C85" s="12" t="s">
        <v>561</v>
      </c>
      <c r="D85" s="12" t="s">
        <v>189</v>
      </c>
      <c r="E85" s="12" t="s">
        <v>91</v>
      </c>
      <c r="F85" s="12" t="s">
        <v>92</v>
      </c>
      <c r="G85" s="13" t="n">
        <v>2607958</v>
      </c>
      <c r="H85" s="13" t="n">
        <v>43774724</v>
      </c>
      <c r="I85" s="13" t="n">
        <v>1056057273</v>
      </c>
      <c r="J85" s="12" t="n">
        <v>2</v>
      </c>
      <c r="K85" s="13" t="n">
        <v>767467</v>
      </c>
      <c r="L85" s="12" t="n">
        <v>7.8</v>
      </c>
      <c r="M85" s="14" t="n">
        <f aca="false">IF(G85="","",PERCENTRANK($G$2:$G$354,G85))</f>
        <v>0.363</v>
      </c>
      <c r="N85" s="14" t="n">
        <f aca="false">IF(I85="","",PERCENTRANK($I$2:$I$354,I85))</f>
        <v>0.797</v>
      </c>
      <c r="O85" s="14" t="n">
        <f aca="false">IF(K85="","",PERCENTRANK($K$2:$K$354,K85))</f>
        <v>0.77</v>
      </c>
      <c r="P85" s="12" t="n">
        <f aca="false">COUNT(M85:O85)</f>
        <v>3</v>
      </c>
      <c r="Q85" s="12" t="s">
        <v>562</v>
      </c>
      <c r="W85" s="12" t="n">
        <f aca="false">COUNTA(Q85:V85)</f>
        <v>1</v>
      </c>
      <c r="X85" s="14" t="n">
        <f aca="false">IF(P85=0,"",MIN(1,AVERAGE(M85:O85)+Critérios!$B$5*W85))</f>
        <v>0.673333333333334</v>
      </c>
      <c r="Y85" s="12" t="str">
        <f aca="false">IF(X85="","",IF(X85&gt;=Critérios!$B$7,"A",IF(X85&gt;=Critérios!$B$8,"B","C")))</f>
        <v>B</v>
      </c>
      <c r="Z85" s="12" t="n">
        <f aca="false">IF(X85="","",RANK(X85,$X$2:$X$354))</f>
        <v>84</v>
      </c>
      <c r="AA85" s="12" t="str">
        <f aca="false">IF(X85="","Sairia — sem métrica",IF(PERCENTRANK($X$2:$X$354,X85)&lt;Critérios!$B$6,"Sairia — terço inferior","Fica"))</f>
        <v>Fica</v>
      </c>
      <c r="AB85" s="12" t="s">
        <v>105</v>
      </c>
      <c r="AD85" s="15" t="s">
        <v>95</v>
      </c>
      <c r="AE85" s="16"/>
      <c r="AF85" s="12" t="s">
        <v>333</v>
      </c>
      <c r="AG85" s="12" t="s">
        <v>563</v>
      </c>
      <c r="AH85" s="12" t="n">
        <f aca="false">COUNT(G85,I85,K85)+COUNTA(Q85:V85)</f>
        <v>4</v>
      </c>
      <c r="AI85" s="12" t="str">
        <f aca="false">IF(AH85&gt;=3,"Sim","Não")</f>
        <v>Sim</v>
      </c>
      <c r="AJ85" s="12" t="str">
        <f aca="false">IF(AND(Z85&lt;&gt;"",Z85&lt;=Critérios!$B$9),"Sim","Não")</f>
        <v>Não</v>
      </c>
    </row>
    <row r="86" customFormat="false" ht="15" hidden="false" customHeight="false" outlineLevel="0" collapsed="false">
      <c r="A86" s="12" t="s">
        <v>564</v>
      </c>
      <c r="B86" s="12" t="s">
        <v>565</v>
      </c>
      <c r="C86" s="12" t="s">
        <v>566</v>
      </c>
      <c r="D86" s="12" t="s">
        <v>140</v>
      </c>
      <c r="E86" s="12" t="s">
        <v>91</v>
      </c>
      <c r="F86" s="12" t="s">
        <v>92</v>
      </c>
      <c r="G86" s="13" t="n">
        <v>5145603</v>
      </c>
      <c r="H86" s="13" t="n">
        <v>60473881</v>
      </c>
      <c r="I86" s="13" t="n">
        <v>757930663</v>
      </c>
      <c r="J86" s="12" t="n">
        <v>7</v>
      </c>
      <c r="K86" s="13" t="n">
        <v>790730</v>
      </c>
      <c r="L86" s="12" t="n">
        <v>7</v>
      </c>
      <c r="M86" s="14" t="n">
        <f aca="false">IF(G86="","",PERCENTRANK($G$2:$G$354,G86))</f>
        <v>0.739</v>
      </c>
      <c r="N86" s="14" t="n">
        <f aca="false">IF(I86="","",PERCENTRANK($I$2:$I$354,I86))</f>
        <v>0.487</v>
      </c>
      <c r="O86" s="14" t="n">
        <f aca="false">IF(K86="","",PERCENTRANK($K$2:$K$354,K86))</f>
        <v>0.79</v>
      </c>
      <c r="P86" s="12" t="n">
        <f aca="false">COUNT(M86:O86)</f>
        <v>3</v>
      </c>
      <c r="W86" s="12" t="n">
        <f aca="false">COUNTA(Q86:V86)</f>
        <v>0</v>
      </c>
      <c r="X86" s="14" t="n">
        <f aca="false">IF(P86=0,"",MIN(1,AVERAGE(M86:O86)+Critérios!$B$5*W86))</f>
        <v>0.672</v>
      </c>
      <c r="Y86" s="12" t="str">
        <f aca="false">IF(X86="","",IF(X86&gt;=Critérios!$B$7,"A",IF(X86&gt;=Critérios!$B$8,"B","C")))</f>
        <v>B</v>
      </c>
      <c r="Z86" s="12" t="n">
        <f aca="false">IF(X86="","",RANK(X86,$X$2:$X$354))</f>
        <v>85</v>
      </c>
      <c r="AA86" s="12" t="str">
        <f aca="false">IF(X86="","Sairia — sem métrica",IF(PERCENTRANK($X$2:$X$354,X86)&lt;Critérios!$B$6,"Sairia — terço inferior","Fica"))</f>
        <v>Fica</v>
      </c>
      <c r="AB86" s="12" t="s">
        <v>105</v>
      </c>
      <c r="AD86" s="15" t="s">
        <v>95</v>
      </c>
      <c r="AE86" s="16"/>
      <c r="AF86" s="12" t="s">
        <v>242</v>
      </c>
      <c r="AG86" s="12" t="s">
        <v>567</v>
      </c>
      <c r="AH86" s="12" t="n">
        <f aca="false">COUNT(G86,I86,K86)+COUNTA(Q86:V86)</f>
        <v>3</v>
      </c>
      <c r="AI86" s="12" t="str">
        <f aca="false">IF(AH86&gt;=3,"Sim","Não")</f>
        <v>Sim</v>
      </c>
      <c r="AJ86" s="12" t="str">
        <f aca="false">IF(AND(Z86&lt;&gt;"",Z86&lt;=Critérios!$B$9),"Sim","Não")</f>
        <v>Não</v>
      </c>
    </row>
    <row r="87" customFormat="false" ht="15" hidden="false" customHeight="false" outlineLevel="0" collapsed="false">
      <c r="A87" s="12" t="s">
        <v>568</v>
      </c>
      <c r="B87" s="12" t="s">
        <v>569</v>
      </c>
      <c r="C87" s="12" t="s">
        <v>570</v>
      </c>
      <c r="D87" s="12" t="s">
        <v>146</v>
      </c>
      <c r="E87" s="12" t="s">
        <v>91</v>
      </c>
      <c r="F87" s="12" t="s">
        <v>92</v>
      </c>
      <c r="G87" s="13" t="n">
        <v>3826700</v>
      </c>
      <c r="H87" s="13" t="n">
        <v>30837000</v>
      </c>
      <c r="I87" s="13" t="n">
        <v>960996492</v>
      </c>
      <c r="J87" s="12" t="n">
        <v>1</v>
      </c>
      <c r="K87" s="13" t="n">
        <v>754626</v>
      </c>
      <c r="L87" s="12" t="n">
        <v>7.2</v>
      </c>
      <c r="M87" s="14" t="n">
        <f aca="false">IF(G87="","",PERCENTRANK($G$2:$G$354,G87))</f>
        <v>0.549</v>
      </c>
      <c r="N87" s="14" t="n">
        <f aca="false">IF(I87="","",PERCENTRANK($I$2:$I$354,I87))</f>
        <v>0.708</v>
      </c>
      <c r="O87" s="14" t="n">
        <f aca="false">IF(K87="","",PERCENTRANK($K$2:$K$354,K87))</f>
        <v>0.756</v>
      </c>
      <c r="P87" s="12" t="n">
        <f aca="false">COUNT(M87:O87)</f>
        <v>3</v>
      </c>
      <c r="W87" s="12" t="n">
        <f aca="false">COUNTA(Q87:V87)</f>
        <v>0</v>
      </c>
      <c r="X87" s="14" t="n">
        <f aca="false">IF(P87=0,"",MIN(1,AVERAGE(M87:O87)+Critérios!$B$5*W87))</f>
        <v>0.671</v>
      </c>
      <c r="Y87" s="12" t="str">
        <f aca="false">IF(X87="","",IF(X87&gt;=Critérios!$B$7,"A",IF(X87&gt;=Critérios!$B$8,"B","C")))</f>
        <v>B</v>
      </c>
      <c r="Z87" s="12" t="n">
        <f aca="false">IF(X87="","",RANK(X87,$X$2:$X$354))</f>
        <v>86</v>
      </c>
      <c r="AA87" s="12" t="str">
        <f aca="false">IF(X87="","Sairia — sem métrica",IF(PERCENTRANK($X$2:$X$354,X87)&lt;Critérios!$B$6,"Sairia — terço inferior","Fica"))</f>
        <v>Fica</v>
      </c>
      <c r="AB87" s="12" t="s">
        <v>94</v>
      </c>
      <c r="AD87" s="15" t="s">
        <v>95</v>
      </c>
      <c r="AE87" s="16"/>
      <c r="AF87" s="12" t="s">
        <v>434</v>
      </c>
      <c r="AG87" s="12" t="s">
        <v>571</v>
      </c>
      <c r="AH87" s="12" t="n">
        <f aca="false">COUNT(G87,I87,K87)+COUNTA(Q87:V87)</f>
        <v>3</v>
      </c>
      <c r="AI87" s="12" t="str">
        <f aca="false">IF(AH87&gt;=3,"Sim","Não")</f>
        <v>Sim</v>
      </c>
      <c r="AJ87" s="12" t="str">
        <f aca="false">IF(AND(Z87&lt;&gt;"",Z87&lt;=Critérios!$B$9),"Sim","Não")</f>
        <v>Não</v>
      </c>
    </row>
    <row r="88" customFormat="false" ht="15" hidden="false" customHeight="false" outlineLevel="0" collapsed="false">
      <c r="A88" s="12" t="s">
        <v>572</v>
      </c>
      <c r="B88" s="12" t="s">
        <v>573</v>
      </c>
      <c r="C88" s="12" t="s">
        <v>573</v>
      </c>
      <c r="D88" s="12" t="s">
        <v>152</v>
      </c>
      <c r="E88" s="12" t="s">
        <v>91</v>
      </c>
      <c r="F88" s="12" t="s">
        <v>92</v>
      </c>
      <c r="G88" s="13" t="n">
        <v>4672046</v>
      </c>
      <c r="H88" s="13" t="n">
        <v>29059376</v>
      </c>
      <c r="I88" s="13" t="n">
        <v>929098316</v>
      </c>
      <c r="J88" s="12" t="n">
        <v>1</v>
      </c>
      <c r="K88" s="13" t="n">
        <v>565278</v>
      </c>
      <c r="L88" s="12" t="n">
        <v>7.4</v>
      </c>
      <c r="M88" s="14" t="n">
        <f aca="false">IF(G88="","",PERCENTRANK($G$2:$G$354,G88))</f>
        <v>0.693</v>
      </c>
      <c r="N88" s="14" t="n">
        <f aca="false">IF(I88="","",PERCENTRANK($I$2:$I$354,I88))</f>
        <v>0.674</v>
      </c>
      <c r="O88" s="14" t="n">
        <f aca="false">IF(K88="","",PERCENTRANK($K$2:$K$354,K88))</f>
        <v>0.645</v>
      </c>
      <c r="P88" s="12" t="n">
        <f aca="false">COUNT(M88:O88)</f>
        <v>3</v>
      </c>
      <c r="W88" s="12" t="n">
        <f aca="false">COUNTA(Q88:V88)</f>
        <v>0</v>
      </c>
      <c r="X88" s="14" t="n">
        <f aca="false">IF(P88=0,"",MIN(1,AVERAGE(M88:O88)+Critérios!$B$5*W88))</f>
        <v>0.670666666666667</v>
      </c>
      <c r="Y88" s="12" t="str">
        <f aca="false">IF(X88="","",IF(X88&gt;=Critérios!$B$7,"A",IF(X88&gt;=Critérios!$B$8,"B","C")))</f>
        <v>B</v>
      </c>
      <c r="Z88" s="12" t="n">
        <f aca="false">IF(X88="","",RANK(X88,$X$2:$X$354))</f>
        <v>87</v>
      </c>
      <c r="AA88" s="12" t="str">
        <f aca="false">IF(X88="","Sairia — sem métrica",IF(PERCENTRANK($X$2:$X$354,X88)&lt;Critérios!$B$6,"Sairia — terço inferior","Fica"))</f>
        <v>Fica</v>
      </c>
      <c r="AB88" s="12" t="s">
        <v>105</v>
      </c>
      <c r="AD88" s="15" t="s">
        <v>95</v>
      </c>
      <c r="AE88" s="16"/>
      <c r="AF88" s="12" t="s">
        <v>429</v>
      </c>
      <c r="AG88" s="12" t="s">
        <v>574</v>
      </c>
      <c r="AH88" s="12" t="n">
        <f aca="false">COUNT(G88,I88,K88)+COUNTA(Q88:V88)</f>
        <v>3</v>
      </c>
      <c r="AI88" s="12" t="str">
        <f aca="false">IF(AH88&gt;=3,"Sim","Não")</f>
        <v>Sim</v>
      </c>
      <c r="AJ88" s="12" t="str">
        <f aca="false">IF(AND(Z88&lt;&gt;"",Z88&lt;=Critérios!$B$9),"Sim","Não")</f>
        <v>Não</v>
      </c>
    </row>
    <row r="89" customFormat="false" ht="15" hidden="false" customHeight="false" outlineLevel="0" collapsed="false">
      <c r="A89" s="12" t="s">
        <v>575</v>
      </c>
      <c r="B89" s="12" t="s">
        <v>576</v>
      </c>
      <c r="C89" s="12" t="s">
        <v>577</v>
      </c>
      <c r="D89" s="12" t="s">
        <v>158</v>
      </c>
      <c r="E89" s="12" t="s">
        <v>91</v>
      </c>
      <c r="F89" s="12" t="s">
        <v>92</v>
      </c>
      <c r="G89" s="13" t="n">
        <v>4621101</v>
      </c>
      <c r="H89" s="13" t="n">
        <v>62818154</v>
      </c>
      <c r="I89" s="13" t="n">
        <v>714421503</v>
      </c>
      <c r="J89" s="12" t="n">
        <v>7</v>
      </c>
      <c r="K89" s="13" t="n">
        <v>993017</v>
      </c>
      <c r="L89" s="12" t="n">
        <v>7.7</v>
      </c>
      <c r="M89" s="14" t="n">
        <f aca="false">IF(G89="","",PERCENTRANK($G$2:$G$354,G89))</f>
        <v>0.686</v>
      </c>
      <c r="N89" s="14" t="n">
        <f aca="false">IF(I89="","",PERCENTRANK($I$2:$I$354,I89))</f>
        <v>0.428</v>
      </c>
      <c r="O89" s="14" t="n">
        <f aca="false">IF(K89="","",PERCENTRANK($K$2:$K$354,K89))</f>
        <v>0.892</v>
      </c>
      <c r="P89" s="12" t="n">
        <f aca="false">COUNT(M89:O89)</f>
        <v>3</v>
      </c>
      <c r="W89" s="12" t="n">
        <f aca="false">COUNTA(Q89:V89)</f>
        <v>0</v>
      </c>
      <c r="X89" s="14" t="n">
        <f aca="false">IF(P89=0,"",MIN(1,AVERAGE(M89:O89)+Critérios!$B$5*W89))</f>
        <v>0.668666666666667</v>
      </c>
      <c r="Y89" s="12" t="str">
        <f aca="false">IF(X89="","",IF(X89&gt;=Critérios!$B$7,"A",IF(X89&gt;=Critérios!$B$8,"B","C")))</f>
        <v>B</v>
      </c>
      <c r="Z89" s="12" t="n">
        <f aca="false">IF(X89="","",RANK(X89,$X$2:$X$354))</f>
        <v>88</v>
      </c>
      <c r="AA89" s="12" t="str">
        <f aca="false">IF(X89="","Sairia — sem métrica",IF(PERCENTRANK($X$2:$X$354,X89)&lt;Critérios!$B$6,"Sairia — terço inferior","Fica"))</f>
        <v>Fica</v>
      </c>
      <c r="AB89" s="12" t="s">
        <v>105</v>
      </c>
      <c r="AD89" s="15" t="s">
        <v>95</v>
      </c>
      <c r="AE89" s="16"/>
      <c r="AF89" s="12" t="s">
        <v>578</v>
      </c>
      <c r="AG89" s="12" t="s">
        <v>579</v>
      </c>
      <c r="AH89" s="12" t="n">
        <f aca="false">COUNT(G89,I89,K89)+COUNTA(Q89:V89)</f>
        <v>3</v>
      </c>
      <c r="AI89" s="12" t="str">
        <f aca="false">IF(AH89&gt;=3,"Sim","Não")</f>
        <v>Sim</v>
      </c>
      <c r="AJ89" s="12" t="str">
        <f aca="false">IF(AND(Z89&lt;&gt;"",Z89&lt;=Critérios!$B$9),"Sim","Não")</f>
        <v>Não</v>
      </c>
    </row>
    <row r="90" customFormat="false" ht="15" hidden="false" customHeight="false" outlineLevel="0" collapsed="false">
      <c r="A90" s="12" t="s">
        <v>580</v>
      </c>
      <c r="B90" s="12" t="s">
        <v>581</v>
      </c>
      <c r="C90" s="12" t="s">
        <v>582</v>
      </c>
      <c r="D90" s="12" t="s">
        <v>273</v>
      </c>
      <c r="E90" s="12" t="s">
        <v>583</v>
      </c>
      <c r="F90" s="12" t="s">
        <v>92</v>
      </c>
      <c r="G90" s="13" t="n">
        <v>3370871</v>
      </c>
      <c r="H90" s="13" t="n">
        <v>18693153</v>
      </c>
      <c r="I90" s="17"/>
      <c r="K90" s="13" t="n">
        <v>884642</v>
      </c>
      <c r="L90" s="12" t="n">
        <v>8.6</v>
      </c>
      <c r="M90" s="14" t="n">
        <f aca="false">IF(G90="","",PERCENTRANK($G$2:$G$354,G90))</f>
        <v>0.513</v>
      </c>
      <c r="N90" s="14" t="str">
        <f aca="false">IF(I90="","",PERCENTRANK($I$2:$I$354,I90))</f>
        <v/>
      </c>
      <c r="O90" s="14" t="n">
        <f aca="false">IF(K90="","",PERCENTRANK($K$2:$K$354,K90))</f>
        <v>0.824</v>
      </c>
      <c r="P90" s="12" t="n">
        <f aca="false">COUNT(M90:O90)</f>
        <v>2</v>
      </c>
      <c r="W90" s="12" t="n">
        <f aca="false">COUNTA(Q90:V90)</f>
        <v>0</v>
      </c>
      <c r="X90" s="14" t="n">
        <f aca="false">IF(P90=0,"",MIN(1,AVERAGE(M90:O90)+Critérios!$B$5*W90))</f>
        <v>0.6685</v>
      </c>
      <c r="Y90" s="12" t="str">
        <f aca="false">IF(X90="","",IF(X90&gt;=Critérios!$B$7,"A",IF(X90&gt;=Critérios!$B$8,"B","C")))</f>
        <v>B</v>
      </c>
      <c r="Z90" s="12" t="n">
        <f aca="false">IF(X90="","",RANK(X90,$X$2:$X$354))</f>
        <v>89</v>
      </c>
      <c r="AA90" s="12" t="str">
        <f aca="false">IF(X90="","Sairia — sem métrica",IF(PERCENTRANK($X$2:$X$354,X90)&lt;Critérios!$B$6,"Sairia — terço inferior","Fica"))</f>
        <v>Fica</v>
      </c>
      <c r="AB90" s="12" t="s">
        <v>105</v>
      </c>
      <c r="AC90" s="12" t="s">
        <v>130</v>
      </c>
      <c r="AD90" s="15" t="s">
        <v>95</v>
      </c>
      <c r="AE90" s="16"/>
      <c r="AF90" s="12" t="s">
        <v>584</v>
      </c>
      <c r="AG90" s="12" t="s">
        <v>585</v>
      </c>
      <c r="AH90" s="12" t="n">
        <f aca="false">COUNT(G90,I90,K90)+COUNTA(Q90:V90)</f>
        <v>2</v>
      </c>
      <c r="AI90" s="12" t="str">
        <f aca="false">IF(AH90&gt;=3,"Sim","Não")</f>
        <v>Não</v>
      </c>
      <c r="AJ90" s="12" t="str">
        <f aca="false">IF(AND(Z90&lt;&gt;"",Z90&lt;=Critérios!$B$9),"Sim","Não")</f>
        <v>Não</v>
      </c>
    </row>
    <row r="91" customFormat="false" ht="15" hidden="false" customHeight="false" outlineLevel="0" collapsed="false">
      <c r="A91" s="12" t="s">
        <v>586</v>
      </c>
      <c r="B91" s="12" t="s">
        <v>587</v>
      </c>
      <c r="C91" s="12" t="s">
        <v>588</v>
      </c>
      <c r="D91" s="12" t="s">
        <v>183</v>
      </c>
      <c r="E91" s="12" t="s">
        <v>91</v>
      </c>
      <c r="F91" s="12" t="s">
        <v>92</v>
      </c>
      <c r="G91" s="13" t="n">
        <v>3780325</v>
      </c>
      <c r="H91" s="13" t="n">
        <v>45644493</v>
      </c>
      <c r="I91" s="13" t="n">
        <v>858811174</v>
      </c>
      <c r="J91" s="12" t="n">
        <v>7</v>
      </c>
      <c r="K91" s="13" t="n">
        <v>935709</v>
      </c>
      <c r="L91" s="12" t="n">
        <v>8.1</v>
      </c>
      <c r="M91" s="14" t="n">
        <f aca="false">IF(G91="","",PERCENTRANK($G$2:$G$354,G91))</f>
        <v>0.542</v>
      </c>
      <c r="N91" s="14" t="n">
        <f aca="false">IF(I91="","",PERCENTRANK($I$2:$I$354,I91))</f>
        <v>0.606</v>
      </c>
      <c r="O91" s="14" t="n">
        <f aca="false">IF(K91="","",PERCENTRANK($K$2:$K$354,K91))</f>
        <v>0.852</v>
      </c>
      <c r="P91" s="12" t="n">
        <f aca="false">COUNT(M91:O91)</f>
        <v>3</v>
      </c>
      <c r="W91" s="12" t="n">
        <f aca="false">COUNTA(Q91:V91)</f>
        <v>0</v>
      </c>
      <c r="X91" s="14" t="n">
        <f aca="false">IF(P91=0,"",MIN(1,AVERAGE(M91:O91)+Critérios!$B$5*W91))</f>
        <v>0.666666666666667</v>
      </c>
      <c r="Y91" s="12" t="str">
        <f aca="false">IF(X91="","",IF(X91&gt;=Critérios!$B$7,"A",IF(X91&gt;=Critérios!$B$8,"B","C")))</f>
        <v>B</v>
      </c>
      <c r="Z91" s="12" t="n">
        <f aca="false">IF(X91="","",RANK(X91,$X$2:$X$354))</f>
        <v>90</v>
      </c>
      <c r="AA91" s="12" t="str">
        <f aca="false">IF(X91="","Sairia — sem métrica",IF(PERCENTRANK($X$2:$X$354,X91)&lt;Critérios!$B$6,"Sairia — terço inferior","Fica"))</f>
        <v>Fica</v>
      </c>
      <c r="AB91" s="12" t="s">
        <v>94</v>
      </c>
      <c r="AD91" s="15" t="s">
        <v>95</v>
      </c>
      <c r="AE91" s="16"/>
      <c r="AF91" s="12" t="s">
        <v>247</v>
      </c>
      <c r="AG91" s="12" t="s">
        <v>589</v>
      </c>
      <c r="AH91" s="12" t="n">
        <f aca="false">COUNT(G91,I91,K91)+COUNTA(Q91:V91)</f>
        <v>3</v>
      </c>
      <c r="AI91" s="12" t="str">
        <f aca="false">IF(AH91&gt;=3,"Sim","Não")</f>
        <v>Sim</v>
      </c>
      <c r="AJ91" s="12" t="str">
        <f aca="false">IF(AND(Z91&lt;&gt;"",Z91&lt;=Critérios!$B$9),"Sim","Não")</f>
        <v>Não</v>
      </c>
    </row>
    <row r="92" customFormat="false" ht="15" hidden="false" customHeight="false" outlineLevel="0" collapsed="false">
      <c r="A92" s="12" t="s">
        <v>590</v>
      </c>
      <c r="B92" s="12" t="s">
        <v>591</v>
      </c>
      <c r="C92" s="12" t="s">
        <v>592</v>
      </c>
      <c r="D92" s="12" t="s">
        <v>273</v>
      </c>
      <c r="E92" s="12" t="s">
        <v>91</v>
      </c>
      <c r="F92" s="12" t="s">
        <v>92</v>
      </c>
      <c r="G92" s="13" t="n">
        <v>4050416</v>
      </c>
      <c r="H92" s="13" t="n">
        <v>22961410</v>
      </c>
      <c r="I92" s="13" t="n">
        <v>878979634</v>
      </c>
      <c r="J92" s="12" t="n">
        <v>2</v>
      </c>
      <c r="K92" s="13" t="n">
        <v>780187</v>
      </c>
      <c r="L92" s="12" t="n">
        <v>7.5</v>
      </c>
      <c r="M92" s="14" t="n">
        <f aca="false">IF(G92="","",PERCENTRANK($G$2:$G$354,G92))</f>
        <v>0.578</v>
      </c>
      <c r="N92" s="14" t="n">
        <f aca="false">IF(I92="","",PERCENTRANK($I$2:$I$354,I92))</f>
        <v>0.644</v>
      </c>
      <c r="O92" s="14" t="n">
        <f aca="false">IF(K92="","",PERCENTRANK($K$2:$K$354,K92))</f>
        <v>0.776</v>
      </c>
      <c r="P92" s="12" t="n">
        <f aca="false">COUNT(M92:O92)</f>
        <v>3</v>
      </c>
      <c r="W92" s="12" t="n">
        <f aca="false">COUNTA(Q92:V92)</f>
        <v>0</v>
      </c>
      <c r="X92" s="14" t="n">
        <f aca="false">IF(P92=0,"",MIN(1,AVERAGE(M92:O92)+Critérios!$B$5*W92))</f>
        <v>0.666</v>
      </c>
      <c r="Y92" s="12" t="str">
        <f aca="false">IF(X92="","",IF(X92&gt;=Critérios!$B$7,"A",IF(X92&gt;=Critérios!$B$8,"B","C")))</f>
        <v>B</v>
      </c>
      <c r="Z92" s="12" t="n">
        <f aca="false">IF(X92="","",RANK(X92,$X$2:$X$354))</f>
        <v>91</v>
      </c>
      <c r="AA92" s="12" t="str">
        <f aca="false">IF(X92="","Sairia — sem métrica",IF(PERCENTRANK($X$2:$X$354,X92)&lt;Critérios!$B$6,"Sairia — terço inferior","Fica"))</f>
        <v>Fica</v>
      </c>
      <c r="AB92" s="12" t="s">
        <v>105</v>
      </c>
      <c r="AD92" s="15" t="s">
        <v>95</v>
      </c>
      <c r="AE92" s="16"/>
      <c r="AF92" s="12" t="s">
        <v>275</v>
      </c>
      <c r="AG92" s="12" t="s">
        <v>593</v>
      </c>
      <c r="AH92" s="12" t="n">
        <f aca="false">COUNT(G92,I92,K92)+COUNTA(Q92:V92)</f>
        <v>3</v>
      </c>
      <c r="AI92" s="12" t="str">
        <f aca="false">IF(AH92&gt;=3,"Sim","Não")</f>
        <v>Sim</v>
      </c>
      <c r="AJ92" s="12" t="str">
        <f aca="false">IF(AND(Z92&lt;&gt;"",Z92&lt;=Critérios!$B$9),"Sim","Não")</f>
        <v>Não</v>
      </c>
    </row>
    <row r="93" customFormat="false" ht="15" hidden="false" customHeight="false" outlineLevel="0" collapsed="false">
      <c r="A93" s="12" t="s">
        <v>594</v>
      </c>
      <c r="B93" s="12" t="s">
        <v>595</v>
      </c>
      <c r="C93" s="12" t="s">
        <v>596</v>
      </c>
      <c r="D93" s="12" t="s">
        <v>118</v>
      </c>
      <c r="E93" s="12" t="s">
        <v>91</v>
      </c>
      <c r="F93" s="12" t="s">
        <v>169</v>
      </c>
      <c r="G93" s="17"/>
      <c r="H93" s="17"/>
      <c r="I93" s="17"/>
      <c r="K93" s="13" t="n">
        <v>518661</v>
      </c>
      <c r="L93" s="12" t="n">
        <v>7.1</v>
      </c>
      <c r="M93" s="14" t="str">
        <f aca="false">IF(G93="","",PERCENTRANK($G$2:$G$354,G93))</f>
        <v/>
      </c>
      <c r="N93" s="14" t="str">
        <f aca="false">IF(I93="","",PERCENTRANK($I$2:$I$354,I93))</f>
        <v/>
      </c>
      <c r="O93" s="14" t="n">
        <f aca="false">IF(K93="","",PERCENTRANK($K$2:$K$354,K93))</f>
        <v>0.605</v>
      </c>
      <c r="P93" s="12" t="n">
        <f aca="false">COUNT(M93:O93)</f>
        <v>1</v>
      </c>
      <c r="Q93" s="12" t="s">
        <v>597</v>
      </c>
      <c r="R93" s="12" t="s">
        <v>598</v>
      </c>
      <c r="W93" s="12" t="n">
        <f aca="false">COUNTA(Q93:V93)</f>
        <v>2</v>
      </c>
      <c r="X93" s="14" t="n">
        <f aca="false">IF(P93=0,"",MIN(1,AVERAGE(M93:O93)+Critérios!$B$5*W93))</f>
        <v>0.665</v>
      </c>
      <c r="Y93" s="12" t="str">
        <f aca="false">IF(X93="","",IF(X93&gt;=Critérios!$B$7,"A",IF(X93&gt;=Critérios!$B$8,"B","C")))</f>
        <v>B</v>
      </c>
      <c r="Z93" s="12" t="n">
        <f aca="false">IF(X93="","",RANK(X93,$X$2:$X$354))</f>
        <v>92</v>
      </c>
      <c r="AA93" s="12" t="str">
        <f aca="false">IF(X93="","Sairia — sem métrica",IF(PERCENTRANK($X$2:$X$354,X93)&lt;Critérios!$B$6,"Sairia — terço inferior","Fica"))</f>
        <v>Fica</v>
      </c>
      <c r="AB93" s="12" t="s">
        <v>105</v>
      </c>
      <c r="AD93" s="15" t="s">
        <v>95</v>
      </c>
      <c r="AE93" s="16"/>
      <c r="AG93" s="12" t="s">
        <v>599</v>
      </c>
      <c r="AH93" s="12" t="n">
        <f aca="false">COUNT(G93,I93,K93)+COUNTA(Q93:V93)</f>
        <v>3</v>
      </c>
      <c r="AI93" s="12" t="str">
        <f aca="false">IF(AH93&gt;=3,"Sim","Não")</f>
        <v>Sim</v>
      </c>
      <c r="AJ93" s="12" t="str">
        <f aca="false">IF(AND(Z93&lt;&gt;"",Z93&lt;=Critérios!$B$9),"Sim","Não")</f>
        <v>Não</v>
      </c>
    </row>
    <row r="94" customFormat="false" ht="15" hidden="false" customHeight="false" outlineLevel="0" collapsed="false">
      <c r="A94" s="12" t="s">
        <v>600</v>
      </c>
      <c r="B94" s="12" t="s">
        <v>601</v>
      </c>
      <c r="C94" s="12" t="s">
        <v>602</v>
      </c>
      <c r="D94" s="12" t="s">
        <v>207</v>
      </c>
      <c r="E94" s="12" t="s">
        <v>91</v>
      </c>
      <c r="F94" s="12" t="s">
        <v>92</v>
      </c>
      <c r="G94" s="13" t="n">
        <v>5147838</v>
      </c>
      <c r="H94" s="13" t="n">
        <v>71598597</v>
      </c>
      <c r="I94" s="17"/>
      <c r="K94" s="13" t="n">
        <v>451706</v>
      </c>
      <c r="L94" s="12" t="n">
        <v>7.6</v>
      </c>
      <c r="M94" s="14" t="n">
        <f aca="false">IF(G94="","",PERCENTRANK($G$2:$G$354,G94))</f>
        <v>0.745</v>
      </c>
      <c r="N94" s="14" t="str">
        <f aca="false">IF(I94="","",PERCENTRANK($I$2:$I$354,I94))</f>
        <v/>
      </c>
      <c r="O94" s="14" t="n">
        <f aca="false">IF(K94="","",PERCENTRANK($K$2:$K$354,K94))</f>
        <v>0.523</v>
      </c>
      <c r="P94" s="12" t="n">
        <f aca="false">COUNT(M94:O94)</f>
        <v>2</v>
      </c>
      <c r="Q94" s="12" t="s">
        <v>603</v>
      </c>
      <c r="W94" s="12" t="n">
        <f aca="false">COUNTA(Q94:V94)</f>
        <v>1</v>
      </c>
      <c r="X94" s="14" t="n">
        <f aca="false">IF(P94=0,"",MIN(1,AVERAGE(M94:O94)+Critérios!$B$5*W94))</f>
        <v>0.664</v>
      </c>
      <c r="Y94" s="12" t="str">
        <f aca="false">IF(X94="","",IF(X94&gt;=Critérios!$B$7,"A",IF(X94&gt;=Critérios!$B$8,"B","C")))</f>
        <v>B</v>
      </c>
      <c r="Z94" s="12" t="n">
        <f aca="false">IF(X94="","",RANK(X94,$X$2:$X$354))</f>
        <v>93</v>
      </c>
      <c r="AA94" s="12" t="str">
        <f aca="false">IF(X94="","Sairia — sem métrica",IF(PERCENTRANK($X$2:$X$354,X94)&lt;Critérios!$B$6,"Sairia — terço inferior","Fica"))</f>
        <v>Fica</v>
      </c>
      <c r="AB94" s="12" t="s">
        <v>105</v>
      </c>
      <c r="AD94" s="15" t="s">
        <v>95</v>
      </c>
      <c r="AE94" s="16"/>
      <c r="AF94" s="12" t="s">
        <v>209</v>
      </c>
      <c r="AG94" s="12" t="s">
        <v>604</v>
      </c>
      <c r="AH94" s="12" t="n">
        <f aca="false">COUNT(G94,I94,K94)+COUNTA(Q94:V94)</f>
        <v>3</v>
      </c>
      <c r="AI94" s="12" t="str">
        <f aca="false">IF(AH94&gt;=3,"Sim","Não")</f>
        <v>Sim</v>
      </c>
      <c r="AJ94" s="12" t="str">
        <f aca="false">IF(AND(Z94&lt;&gt;"",Z94&lt;=Critérios!$B$9),"Sim","Não")</f>
        <v>Não</v>
      </c>
    </row>
    <row r="95" customFormat="false" ht="15" hidden="false" customHeight="false" outlineLevel="0" collapsed="false">
      <c r="A95" s="12" t="s">
        <v>605</v>
      </c>
      <c r="B95" s="12" t="s">
        <v>606</v>
      </c>
      <c r="C95" s="12" t="s">
        <v>607</v>
      </c>
      <c r="D95" s="12" t="s">
        <v>158</v>
      </c>
      <c r="E95" s="12" t="s">
        <v>91</v>
      </c>
      <c r="F95" s="12" t="s">
        <v>92</v>
      </c>
      <c r="G95" s="13" t="n">
        <v>4923664</v>
      </c>
      <c r="H95" s="13" t="n">
        <v>64417536</v>
      </c>
      <c r="I95" s="13" t="n">
        <v>746045700</v>
      </c>
      <c r="J95" s="12" t="n">
        <v>6</v>
      </c>
      <c r="K95" s="13" t="n">
        <v>799717</v>
      </c>
      <c r="L95" s="12" t="n">
        <v>7.9</v>
      </c>
      <c r="M95" s="14" t="n">
        <f aca="false">IF(G95="","",PERCENTRANK($G$2:$G$354,G95))</f>
        <v>0.722</v>
      </c>
      <c r="N95" s="14" t="n">
        <f aca="false">IF(I95="","",PERCENTRANK($I$2:$I$354,I95))</f>
        <v>0.466</v>
      </c>
      <c r="O95" s="14" t="n">
        <f aca="false">IF(K95="","",PERCENTRANK($K$2:$K$354,K95))</f>
        <v>0.798</v>
      </c>
      <c r="P95" s="12" t="n">
        <f aca="false">COUNT(M95:O95)</f>
        <v>3</v>
      </c>
      <c r="W95" s="12" t="n">
        <f aca="false">COUNTA(Q95:V95)</f>
        <v>0</v>
      </c>
      <c r="X95" s="14" t="n">
        <f aca="false">IF(P95=0,"",MIN(1,AVERAGE(M95:O95)+Critérios!$B$5*W95))</f>
        <v>0.662</v>
      </c>
      <c r="Y95" s="12" t="str">
        <f aca="false">IF(X95="","",IF(X95&gt;=Critérios!$B$7,"A",IF(X95&gt;=Critérios!$B$8,"B","C")))</f>
        <v>B</v>
      </c>
      <c r="Z95" s="12" t="n">
        <f aca="false">IF(X95="","",RANK(X95,$X$2:$X$354))</f>
        <v>94</v>
      </c>
      <c r="AA95" s="12" t="str">
        <f aca="false">IF(X95="","Sairia — sem métrica",IF(PERCENTRANK($X$2:$X$354,X95)&lt;Critérios!$B$6,"Sairia — terço inferior","Fica"))</f>
        <v>Fica</v>
      </c>
      <c r="AB95" s="12" t="s">
        <v>94</v>
      </c>
      <c r="AD95" s="15" t="s">
        <v>95</v>
      </c>
      <c r="AE95" s="16"/>
      <c r="AF95" s="12" t="s">
        <v>578</v>
      </c>
      <c r="AG95" s="12" t="s">
        <v>608</v>
      </c>
      <c r="AH95" s="12" t="n">
        <f aca="false">COUNT(G95,I95,K95)+COUNTA(Q95:V95)</f>
        <v>3</v>
      </c>
      <c r="AI95" s="12" t="str">
        <f aca="false">IF(AH95&gt;=3,"Sim","Não")</f>
        <v>Sim</v>
      </c>
      <c r="AJ95" s="12" t="str">
        <f aca="false">IF(AND(Z95&lt;&gt;"",Z95&lt;=Critérios!$B$9),"Sim","Não")</f>
        <v>Não</v>
      </c>
    </row>
    <row r="96" customFormat="false" ht="15" hidden="false" customHeight="false" outlineLevel="0" collapsed="false">
      <c r="A96" s="12" t="s">
        <v>609</v>
      </c>
      <c r="B96" s="12" t="s">
        <v>610</v>
      </c>
      <c r="C96" s="12" t="s">
        <v>611</v>
      </c>
      <c r="D96" s="12" t="s">
        <v>118</v>
      </c>
      <c r="E96" s="12" t="s">
        <v>91</v>
      </c>
      <c r="F96" s="12" t="s">
        <v>92</v>
      </c>
      <c r="G96" s="13" t="n">
        <v>6351493</v>
      </c>
      <c r="H96" s="13" t="n">
        <v>123255058</v>
      </c>
      <c r="I96" s="13" t="n">
        <v>760928081</v>
      </c>
      <c r="J96" s="12" t="n">
        <v>8</v>
      </c>
      <c r="K96" s="13" t="n">
        <v>476886</v>
      </c>
      <c r="L96" s="12" t="n">
        <v>6.1</v>
      </c>
      <c r="M96" s="14" t="n">
        <f aca="false">IF(G96="","",PERCENTRANK($G$2:$G$354,G96))</f>
        <v>0.82</v>
      </c>
      <c r="N96" s="14" t="n">
        <f aca="false">IF(I96="","",PERCENTRANK($I$2:$I$354,I96))</f>
        <v>0.504</v>
      </c>
      <c r="O96" s="14" t="n">
        <f aca="false">IF(K96="","",PERCENTRANK($K$2:$K$354,K96))</f>
        <v>0.56</v>
      </c>
      <c r="P96" s="12" t="n">
        <f aca="false">COUNT(M96:O96)</f>
        <v>3</v>
      </c>
      <c r="Q96" s="12" t="s">
        <v>612</v>
      </c>
      <c r="W96" s="12" t="n">
        <f aca="false">COUNTA(Q96:V96)</f>
        <v>1</v>
      </c>
      <c r="X96" s="14" t="n">
        <f aca="false">IF(P96=0,"",MIN(1,AVERAGE(M96:O96)+Critérios!$B$5*W96))</f>
        <v>0.658</v>
      </c>
      <c r="Y96" s="12" t="str">
        <f aca="false">IF(X96="","",IF(X96&gt;=Critérios!$B$7,"A",IF(X96&gt;=Critérios!$B$8,"B","C")))</f>
        <v>B</v>
      </c>
      <c r="Z96" s="12" t="n">
        <f aca="false">IF(X96="","",RANK(X96,$X$2:$X$354))</f>
        <v>95</v>
      </c>
      <c r="AA96" s="12" t="str">
        <f aca="false">IF(X96="","Sairia — sem métrica",IF(PERCENTRANK($X$2:$X$354,X96)&lt;Critérios!$B$6,"Sairia — terço inferior","Fica"))</f>
        <v>Fica</v>
      </c>
      <c r="AB96" s="12" t="s">
        <v>105</v>
      </c>
      <c r="AD96" s="15" t="s">
        <v>95</v>
      </c>
      <c r="AE96" s="16"/>
      <c r="AF96" s="12" t="s">
        <v>220</v>
      </c>
      <c r="AG96" s="12" t="s">
        <v>613</v>
      </c>
      <c r="AH96" s="12" t="n">
        <f aca="false">COUNT(G96,I96,K96)+COUNTA(Q96:V96)</f>
        <v>4</v>
      </c>
      <c r="AI96" s="12" t="str">
        <f aca="false">IF(AH96&gt;=3,"Sim","Não")</f>
        <v>Sim</v>
      </c>
      <c r="AJ96" s="12" t="str">
        <f aca="false">IF(AND(Z96&lt;&gt;"",Z96&lt;=Critérios!$B$9),"Sim","Não")</f>
        <v>Não</v>
      </c>
    </row>
    <row r="97" customFormat="false" ht="15" hidden="false" customHeight="false" outlineLevel="0" collapsed="false">
      <c r="A97" s="12" t="s">
        <v>614</v>
      </c>
      <c r="B97" s="12" t="s">
        <v>615</v>
      </c>
      <c r="C97" s="12" t="s">
        <v>615</v>
      </c>
      <c r="D97" s="12" t="s">
        <v>90</v>
      </c>
      <c r="E97" s="12" t="s">
        <v>91</v>
      </c>
      <c r="F97" s="12" t="s">
        <v>92</v>
      </c>
      <c r="G97" s="13" t="n">
        <v>4788803</v>
      </c>
      <c r="H97" s="13" t="n">
        <v>80060751</v>
      </c>
      <c r="I97" s="13" t="n">
        <v>1051693953</v>
      </c>
      <c r="J97" s="12" t="n">
        <v>9</v>
      </c>
      <c r="K97" s="13" t="n">
        <v>320359</v>
      </c>
      <c r="L97" s="12" t="n">
        <v>6.9</v>
      </c>
      <c r="M97" s="14" t="n">
        <f aca="false">IF(G97="","",PERCENTRANK($G$2:$G$354,G97))</f>
        <v>0.712</v>
      </c>
      <c r="N97" s="14" t="n">
        <f aca="false">IF(I97="","",PERCENTRANK($I$2:$I$354,I97))</f>
        <v>0.792</v>
      </c>
      <c r="O97" s="14" t="n">
        <f aca="false">IF(K97="","",PERCENTRANK($K$2:$K$354,K97))</f>
        <v>0.378</v>
      </c>
      <c r="P97" s="12" t="n">
        <f aca="false">COUNT(M97:O97)</f>
        <v>3</v>
      </c>
      <c r="Q97" s="12" t="s">
        <v>616</v>
      </c>
      <c r="W97" s="12" t="n">
        <f aca="false">COUNTA(Q97:V97)</f>
        <v>1</v>
      </c>
      <c r="X97" s="14" t="n">
        <f aca="false">IF(P97=0,"",MIN(1,AVERAGE(M97:O97)+Critérios!$B$5*W97))</f>
        <v>0.657333333333333</v>
      </c>
      <c r="Y97" s="12" t="str">
        <f aca="false">IF(X97="","",IF(X97&gt;=Critérios!$B$7,"A",IF(X97&gt;=Critérios!$B$8,"B","C")))</f>
        <v>B</v>
      </c>
      <c r="Z97" s="12" t="n">
        <f aca="false">IF(X97="","",RANK(X97,$X$2:$X$354))</f>
        <v>96</v>
      </c>
      <c r="AA97" s="12" t="str">
        <f aca="false">IF(X97="","Sairia — sem métrica",IF(PERCENTRANK($X$2:$X$354,X97)&lt;Critérios!$B$6,"Sairia — terço inferior","Fica"))</f>
        <v>Fica</v>
      </c>
      <c r="AB97" s="12" t="s">
        <v>105</v>
      </c>
      <c r="AD97" s="15" t="s">
        <v>95</v>
      </c>
      <c r="AE97" s="16"/>
      <c r="AF97" s="12" t="s">
        <v>227</v>
      </c>
      <c r="AG97" s="12" t="s">
        <v>617</v>
      </c>
      <c r="AH97" s="12" t="n">
        <f aca="false">COUNT(G97,I97,K97)+COUNTA(Q97:V97)</f>
        <v>4</v>
      </c>
      <c r="AI97" s="12" t="str">
        <f aca="false">IF(AH97&gt;=3,"Sim","Não")</f>
        <v>Sim</v>
      </c>
      <c r="AJ97" s="12" t="str">
        <f aca="false">IF(AND(Z97&lt;&gt;"",Z97&lt;=Critérios!$B$9),"Sim","Não")</f>
        <v>Não</v>
      </c>
    </row>
    <row r="98" customFormat="false" ht="15" hidden="false" customHeight="false" outlineLevel="0" collapsed="false">
      <c r="A98" s="12" t="s">
        <v>618</v>
      </c>
      <c r="B98" s="12" t="s">
        <v>619</v>
      </c>
      <c r="C98" s="12" t="s">
        <v>620</v>
      </c>
      <c r="D98" s="12" t="s">
        <v>189</v>
      </c>
      <c r="E98" s="12" t="s">
        <v>91</v>
      </c>
      <c r="F98" s="12" t="s">
        <v>92</v>
      </c>
      <c r="G98" s="13" t="n">
        <v>2824226</v>
      </c>
      <c r="H98" s="13" t="n">
        <v>38578458</v>
      </c>
      <c r="I98" s="13" t="n">
        <v>1023784195</v>
      </c>
      <c r="J98" s="12" t="n">
        <v>4</v>
      </c>
      <c r="K98" s="13" t="n">
        <v>651499</v>
      </c>
      <c r="L98" s="12" t="n">
        <v>8</v>
      </c>
      <c r="M98" s="14" t="n">
        <f aca="false">IF(G98="","",PERCENTRANK($G$2:$G$354,G98))</f>
        <v>0.412</v>
      </c>
      <c r="N98" s="14" t="n">
        <f aca="false">IF(I98="","",PERCENTRANK($I$2:$I$354,I98))</f>
        <v>0.767</v>
      </c>
      <c r="O98" s="14" t="n">
        <f aca="false">IF(K98="","",PERCENTRANK($K$2:$K$354,K98))</f>
        <v>0.699</v>
      </c>
      <c r="P98" s="12" t="n">
        <f aca="false">COUNT(M98:O98)</f>
        <v>3</v>
      </c>
      <c r="Q98" s="12" t="s">
        <v>621</v>
      </c>
      <c r="W98" s="12" t="n">
        <f aca="false">COUNTA(Q98:V98)</f>
        <v>1</v>
      </c>
      <c r="X98" s="14" t="n">
        <f aca="false">IF(P98=0,"",MIN(1,AVERAGE(M98:O98)+Critérios!$B$5*W98))</f>
        <v>0.656</v>
      </c>
      <c r="Y98" s="12" t="str">
        <f aca="false">IF(X98="","",IF(X98&gt;=Critérios!$B$7,"A",IF(X98&gt;=Critérios!$B$8,"B","C")))</f>
        <v>B</v>
      </c>
      <c r="Z98" s="12" t="n">
        <f aca="false">IF(X98="","",RANK(X98,$X$2:$X$354))</f>
        <v>97</v>
      </c>
      <c r="AA98" s="12" t="str">
        <f aca="false">IF(X98="","Sairia — sem métrica",IF(PERCENTRANK($X$2:$X$354,X98)&lt;Critérios!$B$6,"Sairia — terço inferior","Fica"))</f>
        <v>Fica</v>
      </c>
      <c r="AB98" s="12" t="s">
        <v>94</v>
      </c>
      <c r="AD98" s="15" t="s">
        <v>95</v>
      </c>
      <c r="AE98" s="16"/>
      <c r="AF98" s="12" t="s">
        <v>333</v>
      </c>
      <c r="AG98" s="12" t="s">
        <v>622</v>
      </c>
      <c r="AH98" s="12" t="n">
        <f aca="false">COUNT(G98,I98,K98)+COUNTA(Q98:V98)</f>
        <v>4</v>
      </c>
      <c r="AI98" s="12" t="str">
        <f aca="false">IF(AH98&gt;=3,"Sim","Não")</f>
        <v>Sim</v>
      </c>
      <c r="AJ98" s="12" t="str">
        <f aca="false">IF(AND(Z98&lt;&gt;"",Z98&lt;=Critérios!$B$9),"Sim","Não")</f>
        <v>Não</v>
      </c>
    </row>
    <row r="99" customFormat="false" ht="15" hidden="false" customHeight="false" outlineLevel="0" collapsed="false">
      <c r="A99" s="12" t="s">
        <v>623</v>
      </c>
      <c r="B99" s="12" t="s">
        <v>624</v>
      </c>
      <c r="C99" s="12" t="s">
        <v>625</v>
      </c>
      <c r="D99" s="12" t="s">
        <v>214</v>
      </c>
      <c r="E99" s="12" t="s">
        <v>91</v>
      </c>
      <c r="F99" s="12" t="s">
        <v>92</v>
      </c>
      <c r="G99" s="13" t="n">
        <v>2841148</v>
      </c>
      <c r="H99" s="13" t="n">
        <v>33209899</v>
      </c>
      <c r="I99" s="17"/>
      <c r="K99" s="13" t="n">
        <v>990930</v>
      </c>
      <c r="L99" s="12" t="n">
        <v>6.9</v>
      </c>
      <c r="M99" s="14" t="n">
        <f aca="false">IF(G99="","",PERCENTRANK($G$2:$G$354,G99))</f>
        <v>0.422</v>
      </c>
      <c r="N99" s="14" t="str">
        <f aca="false">IF(I99="","",PERCENTRANK($I$2:$I$354,I99))</f>
        <v/>
      </c>
      <c r="O99" s="14" t="n">
        <f aca="false">IF(K99="","",PERCENTRANK($K$2:$K$354,K99))</f>
        <v>0.889</v>
      </c>
      <c r="P99" s="12" t="n">
        <f aca="false">COUNT(M99:O99)</f>
        <v>2</v>
      </c>
      <c r="W99" s="12" t="n">
        <f aca="false">COUNTA(Q99:V99)</f>
        <v>0</v>
      </c>
      <c r="X99" s="14" t="n">
        <f aca="false">IF(P99=0,"",MIN(1,AVERAGE(M99:O99)+Critérios!$B$5*W99))</f>
        <v>0.6555</v>
      </c>
      <c r="Y99" s="12" t="str">
        <f aca="false">IF(X99="","",IF(X99&gt;=Critérios!$B$7,"A",IF(X99&gt;=Critérios!$B$8,"B","C")))</f>
        <v>B</v>
      </c>
      <c r="Z99" s="12" t="n">
        <f aca="false">IF(X99="","",RANK(X99,$X$2:$X$354))</f>
        <v>98</v>
      </c>
      <c r="AA99" s="12" t="str">
        <f aca="false">IF(X99="","Sairia — sem métrica",IF(PERCENTRANK($X$2:$X$354,X99)&lt;Critérios!$B$6,"Sairia — terço inferior","Fica"))</f>
        <v>Fica</v>
      </c>
      <c r="AB99" s="12" t="s">
        <v>105</v>
      </c>
      <c r="AC99" s="12" t="s">
        <v>130</v>
      </c>
      <c r="AD99" s="15" t="s">
        <v>95</v>
      </c>
      <c r="AE99" s="16"/>
      <c r="AF99" s="12" t="s">
        <v>626</v>
      </c>
      <c r="AG99" s="12" t="s">
        <v>627</v>
      </c>
      <c r="AH99" s="12" t="n">
        <f aca="false">COUNT(G99,I99,K99)+COUNTA(Q99:V99)</f>
        <v>2</v>
      </c>
      <c r="AI99" s="12" t="str">
        <f aca="false">IF(AH99&gt;=3,"Sim","Não")</f>
        <v>Não</v>
      </c>
      <c r="AJ99" s="12" t="str">
        <f aca="false">IF(AND(Z99&lt;&gt;"",Z99&lt;=Critérios!$B$9),"Sim","Não")</f>
        <v>Não</v>
      </c>
    </row>
    <row r="100" customFormat="false" ht="15" hidden="false" customHeight="false" outlineLevel="0" collapsed="false">
      <c r="A100" s="12" t="s">
        <v>628</v>
      </c>
      <c r="B100" s="12" t="s">
        <v>629</v>
      </c>
      <c r="C100" s="12" t="s">
        <v>630</v>
      </c>
      <c r="D100" s="12" t="s">
        <v>140</v>
      </c>
      <c r="E100" s="12" t="s">
        <v>91</v>
      </c>
      <c r="F100" s="12" t="s">
        <v>92</v>
      </c>
      <c r="G100" s="13" t="n">
        <v>2550914</v>
      </c>
      <c r="H100" s="13" t="n">
        <v>29696175</v>
      </c>
      <c r="I100" s="13" t="n">
        <v>1108561013</v>
      </c>
      <c r="J100" s="12" t="n">
        <v>2</v>
      </c>
      <c r="K100" s="13" t="n">
        <v>781902</v>
      </c>
      <c r="L100" s="12" t="n">
        <v>7.8</v>
      </c>
      <c r="M100" s="14" t="n">
        <f aca="false">IF(G100="","",PERCENTRANK($G$2:$G$354,G100))</f>
        <v>0.346</v>
      </c>
      <c r="N100" s="14" t="n">
        <f aca="false">IF(I100="","",PERCENTRANK($I$2:$I$354,I100))</f>
        <v>0.835</v>
      </c>
      <c r="O100" s="14" t="n">
        <f aca="false">IF(K100="","",PERCENTRANK($K$2:$K$354,K100))</f>
        <v>0.781</v>
      </c>
      <c r="P100" s="12" t="n">
        <f aca="false">COUNT(M100:O100)</f>
        <v>3</v>
      </c>
      <c r="W100" s="12" t="n">
        <f aca="false">COUNTA(Q100:V100)</f>
        <v>0</v>
      </c>
      <c r="X100" s="14" t="n">
        <f aca="false">IF(P100=0,"",MIN(1,AVERAGE(M100:O100)+Critérios!$B$5*W100))</f>
        <v>0.654</v>
      </c>
      <c r="Y100" s="12" t="str">
        <f aca="false">IF(X100="","",IF(X100&gt;=Critérios!$B$7,"A",IF(X100&gt;=Critérios!$B$8,"B","C")))</f>
        <v>B</v>
      </c>
      <c r="Z100" s="12" t="n">
        <f aca="false">IF(X100="","",RANK(X100,$X$2:$X$354))</f>
        <v>99</v>
      </c>
      <c r="AA100" s="12" t="str">
        <f aca="false">IF(X100="","Sairia — sem métrica",IF(PERCENTRANK($X$2:$X$354,X100)&lt;Critérios!$B$6,"Sairia — terço inferior","Fica"))</f>
        <v>Fica</v>
      </c>
      <c r="AB100" s="12" t="s">
        <v>105</v>
      </c>
      <c r="AD100" s="15" t="s">
        <v>95</v>
      </c>
      <c r="AE100" s="16"/>
      <c r="AF100" s="12" t="s">
        <v>242</v>
      </c>
      <c r="AG100" s="12" t="s">
        <v>631</v>
      </c>
      <c r="AH100" s="12" t="n">
        <f aca="false">COUNT(G100,I100,K100)+COUNTA(Q100:V100)</f>
        <v>3</v>
      </c>
      <c r="AI100" s="12" t="str">
        <f aca="false">IF(AH100&gt;=3,"Sim","Não")</f>
        <v>Sim</v>
      </c>
      <c r="AJ100" s="12" t="str">
        <f aca="false">IF(AND(Z100&lt;&gt;"",Z100&lt;=Critérios!$B$9),"Sim","Não")</f>
        <v>Não</v>
      </c>
    </row>
    <row r="101" customFormat="false" ht="15" hidden="false" customHeight="false" outlineLevel="0" collapsed="false">
      <c r="A101" s="12" t="s">
        <v>632</v>
      </c>
      <c r="B101" s="12" t="s">
        <v>633</v>
      </c>
      <c r="C101" s="12" t="s">
        <v>634</v>
      </c>
      <c r="D101" s="12" t="s">
        <v>358</v>
      </c>
      <c r="E101" s="12" t="s">
        <v>91</v>
      </c>
      <c r="F101" s="12" t="s">
        <v>92</v>
      </c>
      <c r="G101" s="13" t="n">
        <v>4344557</v>
      </c>
      <c r="H101" s="13" t="n">
        <v>47933640</v>
      </c>
      <c r="I101" s="13" t="n">
        <v>1025467110</v>
      </c>
      <c r="J101" s="12" t="n">
        <v>2</v>
      </c>
      <c r="K101" s="13" t="n">
        <v>473525</v>
      </c>
      <c r="L101" s="12" t="n">
        <v>6.4</v>
      </c>
      <c r="M101" s="14" t="n">
        <f aca="false">IF(G101="","",PERCENTRANK($G$2:$G$354,G101))</f>
        <v>0.627</v>
      </c>
      <c r="N101" s="14" t="n">
        <f aca="false">IF(I101="","",PERCENTRANK($I$2:$I$354,I101))</f>
        <v>0.771</v>
      </c>
      <c r="O101" s="14" t="n">
        <f aca="false">IF(K101="","",PERCENTRANK($K$2:$K$354,K101))</f>
        <v>0.551</v>
      </c>
      <c r="P101" s="12" t="n">
        <f aca="false">COUNT(M101:O101)</f>
        <v>3</v>
      </c>
      <c r="W101" s="12" t="n">
        <f aca="false">COUNTA(Q101:V101)</f>
        <v>0</v>
      </c>
      <c r="X101" s="14" t="n">
        <f aca="false">IF(P101=0,"",MIN(1,AVERAGE(M101:O101)+Critérios!$B$5*W101))</f>
        <v>0.649666666666667</v>
      </c>
      <c r="Y101" s="12" t="str">
        <f aca="false">IF(X101="","",IF(X101&gt;=Critérios!$B$7,"A",IF(X101&gt;=Critérios!$B$8,"B","C")))</f>
        <v>B</v>
      </c>
      <c r="Z101" s="12" t="n">
        <f aca="false">IF(X101="","",RANK(X101,$X$2:$X$354))</f>
        <v>100</v>
      </c>
      <c r="AA101" s="12" t="str">
        <f aca="false">IF(X101="","Sairia — sem métrica",IF(PERCENTRANK($X$2:$X$354,X101)&lt;Critérios!$B$6,"Sairia — terço inferior","Fica"))</f>
        <v>Fica</v>
      </c>
      <c r="AB101" s="12" t="s">
        <v>105</v>
      </c>
      <c r="AD101" s="15" t="s">
        <v>95</v>
      </c>
      <c r="AE101" s="16"/>
      <c r="AF101" s="12" t="s">
        <v>359</v>
      </c>
      <c r="AG101" s="12" t="s">
        <v>635</v>
      </c>
      <c r="AH101" s="12" t="n">
        <f aca="false">COUNT(G101,I101,K101)+COUNTA(Q101:V101)</f>
        <v>3</v>
      </c>
      <c r="AI101" s="12" t="str">
        <f aca="false">IF(AH101&gt;=3,"Sim","Não")</f>
        <v>Sim</v>
      </c>
      <c r="AJ101" s="12" t="str">
        <f aca="false">IF(AND(Z101&lt;&gt;"",Z101&lt;=Critérios!$B$9),"Sim","Não")</f>
        <v>Não</v>
      </c>
    </row>
    <row r="102" customFormat="false" ht="15" hidden="false" customHeight="false" outlineLevel="0" collapsed="false">
      <c r="A102" s="12" t="s">
        <v>636</v>
      </c>
      <c r="B102" s="12" t="s">
        <v>637</v>
      </c>
      <c r="C102" s="12" t="s">
        <v>638</v>
      </c>
      <c r="D102" s="12" t="s">
        <v>134</v>
      </c>
      <c r="E102" s="12" t="s">
        <v>91</v>
      </c>
      <c r="F102" s="12" t="s">
        <v>92</v>
      </c>
      <c r="G102" s="13" t="n">
        <v>9281202</v>
      </c>
      <c r="H102" s="13" t="n">
        <v>81126935</v>
      </c>
      <c r="I102" s="13" t="n">
        <v>886686817</v>
      </c>
      <c r="J102" s="12" t="n">
        <v>3</v>
      </c>
      <c r="K102" s="13" t="n">
        <v>290345</v>
      </c>
      <c r="L102" s="12" t="n">
        <v>6.9</v>
      </c>
      <c r="M102" s="14" t="n">
        <f aca="false">IF(G102="","",PERCENTRANK($G$2:$G$354,G102))</f>
        <v>0.948</v>
      </c>
      <c r="N102" s="14" t="n">
        <f aca="false">IF(I102="","",PERCENTRANK($I$2:$I$354,I102))</f>
        <v>0.657</v>
      </c>
      <c r="O102" s="14" t="n">
        <f aca="false">IF(K102="","",PERCENTRANK($K$2:$K$354,K102))</f>
        <v>0.327</v>
      </c>
      <c r="P102" s="12" t="n">
        <f aca="false">COUNT(M102:O102)</f>
        <v>3</v>
      </c>
      <c r="W102" s="12" t="n">
        <f aca="false">COUNTA(Q102:V102)</f>
        <v>0</v>
      </c>
      <c r="X102" s="14" t="n">
        <f aca="false">IF(P102=0,"",MIN(1,AVERAGE(M102:O102)+Critérios!$B$5*W102))</f>
        <v>0.644</v>
      </c>
      <c r="Y102" s="12" t="str">
        <f aca="false">IF(X102="","",IF(X102&gt;=Critérios!$B$7,"A",IF(X102&gt;=Critérios!$B$8,"B","C")))</f>
        <v>B</v>
      </c>
      <c r="Z102" s="12" t="n">
        <f aca="false">IF(X102="","",RANK(X102,$X$2:$X$354))</f>
        <v>101</v>
      </c>
      <c r="AA102" s="12" t="str">
        <f aca="false">IF(X102="","Sairia — sem métrica",IF(PERCENTRANK($X$2:$X$354,X102)&lt;Critérios!$B$6,"Sairia — terço inferior","Fica"))</f>
        <v>Fica</v>
      </c>
      <c r="AB102" s="12" t="s">
        <v>94</v>
      </c>
      <c r="AD102" s="15" t="s">
        <v>95</v>
      </c>
      <c r="AE102" s="16"/>
      <c r="AF102" s="12" t="s">
        <v>135</v>
      </c>
      <c r="AG102" s="12" t="s">
        <v>639</v>
      </c>
      <c r="AH102" s="12" t="n">
        <f aca="false">COUNT(G102,I102,K102)+COUNTA(Q102:V102)</f>
        <v>3</v>
      </c>
      <c r="AI102" s="12" t="str">
        <f aca="false">IF(AH102&gt;=3,"Sim","Não")</f>
        <v>Sim</v>
      </c>
      <c r="AJ102" s="12" t="str">
        <f aca="false">IF(AND(Z102&lt;&gt;"",Z102&lt;=Critérios!$B$9),"Sim","Não")</f>
        <v>Não</v>
      </c>
    </row>
    <row r="103" customFormat="false" ht="15" hidden="false" customHeight="false" outlineLevel="0" collapsed="false">
      <c r="A103" s="12" t="s">
        <v>640</v>
      </c>
      <c r="B103" s="12" t="s">
        <v>641</v>
      </c>
      <c r="C103" s="12" t="s">
        <v>642</v>
      </c>
      <c r="D103" s="12" t="s">
        <v>202</v>
      </c>
      <c r="E103" s="12" t="s">
        <v>91</v>
      </c>
      <c r="F103" s="12" t="s">
        <v>92</v>
      </c>
      <c r="G103" s="13" t="n">
        <v>3533536</v>
      </c>
      <c r="H103" s="13" t="n">
        <v>39711677</v>
      </c>
      <c r="I103" s="13" t="n">
        <v>865011746</v>
      </c>
      <c r="J103" s="12" t="n">
        <v>5</v>
      </c>
      <c r="K103" s="13" t="n">
        <v>785052</v>
      </c>
      <c r="L103" s="12" t="n">
        <v>7.5</v>
      </c>
      <c r="M103" s="14" t="n">
        <f aca="false">IF(G103="","",PERCENTRANK($G$2:$G$354,G103))</f>
        <v>0.523</v>
      </c>
      <c r="N103" s="14" t="n">
        <f aca="false">IF(I103="","",PERCENTRANK($I$2:$I$354,I103))</f>
        <v>0.614</v>
      </c>
      <c r="O103" s="14" t="n">
        <f aca="false">IF(K103="","",PERCENTRANK($K$2:$K$354,K103))</f>
        <v>0.784</v>
      </c>
      <c r="P103" s="12" t="n">
        <f aca="false">COUNT(M103:O103)</f>
        <v>3</v>
      </c>
      <c r="W103" s="12" t="n">
        <f aca="false">COUNTA(Q103:V103)</f>
        <v>0</v>
      </c>
      <c r="X103" s="14" t="n">
        <f aca="false">IF(P103=0,"",MIN(1,AVERAGE(M103:O103)+Critérios!$B$5*W103))</f>
        <v>0.640333333333333</v>
      </c>
      <c r="Y103" s="12" t="str">
        <f aca="false">IF(X103="","",IF(X103&gt;=Critérios!$B$7,"A",IF(X103&gt;=Critérios!$B$8,"B","C")))</f>
        <v>B</v>
      </c>
      <c r="Z103" s="12" t="n">
        <f aca="false">IF(X103="","",RANK(X103,$X$2:$X$354))</f>
        <v>104</v>
      </c>
      <c r="AA103" s="12" t="str">
        <f aca="false">IF(X103="","Sairia — sem métrica",IF(PERCENTRANK($X$2:$X$354,X103)&lt;Critérios!$B$6,"Sairia — terço inferior","Fica"))</f>
        <v>Fica</v>
      </c>
      <c r="AB103" s="12" t="s">
        <v>105</v>
      </c>
      <c r="AD103" s="15" t="s">
        <v>95</v>
      </c>
      <c r="AE103" s="16"/>
      <c r="AF103" s="12" t="s">
        <v>203</v>
      </c>
      <c r="AG103" s="12" t="s">
        <v>643</v>
      </c>
      <c r="AH103" s="12" t="n">
        <f aca="false">COUNT(G103,I103,K103)+COUNTA(Q103:V103)</f>
        <v>3</v>
      </c>
      <c r="AI103" s="12" t="str">
        <f aca="false">IF(AH103&gt;=3,"Sim","Não")</f>
        <v>Sim</v>
      </c>
      <c r="AJ103" s="12" t="str">
        <f aca="false">IF(AND(Z103&lt;&gt;"",Z103&lt;=Critérios!$B$9),"Sim","Não")</f>
        <v>Não</v>
      </c>
    </row>
    <row r="104" customFormat="false" ht="15" hidden="false" customHeight="false" outlineLevel="0" collapsed="false">
      <c r="A104" s="12" t="s">
        <v>644</v>
      </c>
      <c r="B104" s="12" t="s">
        <v>645</v>
      </c>
      <c r="C104" s="12" t="s">
        <v>646</v>
      </c>
      <c r="D104" s="12" t="s">
        <v>158</v>
      </c>
      <c r="E104" s="12" t="s">
        <v>91</v>
      </c>
      <c r="F104" s="12" t="s">
        <v>92</v>
      </c>
      <c r="G104" s="13" t="n">
        <v>4587292</v>
      </c>
      <c r="H104" s="13" t="n">
        <v>61735174</v>
      </c>
      <c r="I104" s="13" t="n">
        <v>1104054072</v>
      </c>
      <c r="J104" s="12" t="n">
        <v>1</v>
      </c>
      <c r="K104" s="13" t="n">
        <v>354344</v>
      </c>
      <c r="L104" s="12" t="n">
        <v>5.6</v>
      </c>
      <c r="M104" s="14" t="n">
        <f aca="false">IF(G104="","",PERCENTRANK($G$2:$G$354,G104))</f>
        <v>0.673</v>
      </c>
      <c r="N104" s="14" t="n">
        <f aca="false">IF(I104="","",PERCENTRANK($I$2:$I$354,I104))</f>
        <v>0.831</v>
      </c>
      <c r="O104" s="14" t="n">
        <f aca="false">IF(K104="","",PERCENTRANK($K$2:$K$354,K104))</f>
        <v>0.418</v>
      </c>
      <c r="P104" s="12" t="n">
        <f aca="false">COUNT(M104:O104)</f>
        <v>3</v>
      </c>
      <c r="W104" s="12" t="n">
        <f aca="false">COUNTA(Q104:V104)</f>
        <v>0</v>
      </c>
      <c r="X104" s="14" t="n">
        <f aca="false">IF(P104=0,"",MIN(1,AVERAGE(M104:O104)+Critérios!$B$5*W104))</f>
        <v>0.640666666666667</v>
      </c>
      <c r="Y104" s="12" t="str">
        <f aca="false">IF(X104="","",IF(X104&gt;=Critérios!$B$7,"A",IF(X104&gt;=Critérios!$B$8,"B","C")))</f>
        <v>B</v>
      </c>
      <c r="Z104" s="12" t="n">
        <f aca="false">IF(X104="","",RANK(X104,$X$2:$X$354))</f>
        <v>102</v>
      </c>
      <c r="AA104" s="12" t="str">
        <f aca="false">IF(X104="","Sairia — sem métrica",IF(PERCENTRANK($X$2:$X$354,X104)&lt;Critérios!$B$6,"Sairia — terço inferior","Fica"))</f>
        <v>Fica</v>
      </c>
      <c r="AB104" s="12" t="s">
        <v>94</v>
      </c>
      <c r="AD104" s="15" t="s">
        <v>95</v>
      </c>
      <c r="AE104" s="16"/>
      <c r="AF104" s="12" t="s">
        <v>578</v>
      </c>
      <c r="AG104" s="12" t="s">
        <v>647</v>
      </c>
      <c r="AH104" s="12" t="n">
        <f aca="false">COUNT(G104,I104,K104)+COUNTA(Q104:V104)</f>
        <v>3</v>
      </c>
      <c r="AI104" s="12" t="str">
        <f aca="false">IF(AH104&gt;=3,"Sim","Não")</f>
        <v>Sim</v>
      </c>
      <c r="AJ104" s="12" t="str">
        <f aca="false">IF(AND(Z104&lt;&gt;"",Z104&lt;=Critérios!$B$9),"Sim","Não")</f>
        <v>Não</v>
      </c>
    </row>
    <row r="105" customFormat="false" ht="15" hidden="false" customHeight="false" outlineLevel="0" collapsed="false">
      <c r="A105" s="12" t="s">
        <v>648</v>
      </c>
      <c r="B105" s="12" t="s">
        <v>649</v>
      </c>
      <c r="C105" s="12" t="s">
        <v>650</v>
      </c>
      <c r="D105" s="12" t="s">
        <v>189</v>
      </c>
      <c r="E105" s="12" t="s">
        <v>91</v>
      </c>
      <c r="F105" s="12" t="s">
        <v>92</v>
      </c>
      <c r="G105" s="13" t="n">
        <v>4373939</v>
      </c>
      <c r="H105" s="13" t="n">
        <v>65800197</v>
      </c>
      <c r="I105" s="17"/>
      <c r="K105" s="13" t="n">
        <v>501072</v>
      </c>
      <c r="L105" s="12" t="n">
        <v>6.8</v>
      </c>
      <c r="M105" s="14" t="n">
        <f aca="false">IF(G105="","",PERCENTRANK($G$2:$G$354,G105))</f>
        <v>0.641</v>
      </c>
      <c r="N105" s="14" t="str">
        <f aca="false">IF(I105="","",PERCENTRANK($I$2:$I$354,I105))</f>
        <v/>
      </c>
      <c r="O105" s="14" t="n">
        <f aca="false">IF(K105="","",PERCENTRANK($K$2:$K$354,K105))</f>
        <v>0.58</v>
      </c>
      <c r="P105" s="12" t="n">
        <f aca="false">COUNT(M105:O105)</f>
        <v>2</v>
      </c>
      <c r="Q105" s="12" t="s">
        <v>651</v>
      </c>
      <c r="W105" s="12" t="n">
        <f aca="false">COUNTA(Q105:V105)</f>
        <v>1</v>
      </c>
      <c r="X105" s="14" t="n">
        <f aca="false">IF(P105=0,"",MIN(1,AVERAGE(M105:O105)+Critérios!$B$5*W105))</f>
        <v>0.6405</v>
      </c>
      <c r="Y105" s="12" t="str">
        <f aca="false">IF(X105="","",IF(X105&gt;=Critérios!$B$7,"A",IF(X105&gt;=Critérios!$B$8,"B","C")))</f>
        <v>B</v>
      </c>
      <c r="Z105" s="12" t="n">
        <f aca="false">IF(X105="","",RANK(X105,$X$2:$X$354))</f>
        <v>103</v>
      </c>
      <c r="AA105" s="12" t="str">
        <f aca="false">IF(X105="","Sairia — sem métrica",IF(PERCENTRANK($X$2:$X$354,X105)&lt;Critérios!$B$6,"Sairia — terço inferior","Fica"))</f>
        <v>Fica</v>
      </c>
      <c r="AB105" s="12" t="s">
        <v>94</v>
      </c>
      <c r="AD105" s="15" t="s">
        <v>95</v>
      </c>
      <c r="AE105" s="16"/>
      <c r="AF105" s="12" t="s">
        <v>316</v>
      </c>
      <c r="AG105" s="12" t="s">
        <v>652</v>
      </c>
      <c r="AH105" s="12" t="n">
        <f aca="false">COUNT(G105,I105,K105)+COUNTA(Q105:V105)</f>
        <v>3</v>
      </c>
      <c r="AI105" s="12" t="str">
        <f aca="false">IF(AH105&gt;=3,"Sim","Não")</f>
        <v>Sim</v>
      </c>
      <c r="AJ105" s="12" t="str">
        <f aca="false">IF(AND(Z105&lt;&gt;"",Z105&lt;=Critérios!$B$9),"Sim","Não")</f>
        <v>Não</v>
      </c>
    </row>
    <row r="106" customFormat="false" ht="15" hidden="false" customHeight="false" outlineLevel="0" collapsed="false">
      <c r="A106" s="12" t="s">
        <v>653</v>
      </c>
      <c r="B106" s="12" t="s">
        <v>654</v>
      </c>
      <c r="C106" s="12" t="s">
        <v>655</v>
      </c>
      <c r="D106" s="12" t="s">
        <v>358</v>
      </c>
      <c r="E106" s="12" t="s">
        <v>91</v>
      </c>
      <c r="F106" s="12" t="s">
        <v>92</v>
      </c>
      <c r="G106" s="13" t="n">
        <v>1779720</v>
      </c>
      <c r="H106" s="13" t="n">
        <v>17459925</v>
      </c>
      <c r="I106" s="13" t="n">
        <v>828258695</v>
      </c>
      <c r="J106" s="12" t="n">
        <v>4</v>
      </c>
      <c r="K106" s="13" t="n">
        <v>2879062</v>
      </c>
      <c r="L106" s="12" t="n">
        <v>8.8</v>
      </c>
      <c r="M106" s="14" t="n">
        <f aca="false">IF(G106="","",PERCENTRANK($G$2:$G$354,G106))</f>
        <v>0.167</v>
      </c>
      <c r="N106" s="14" t="n">
        <f aca="false">IF(I106="","",PERCENTRANK($I$2:$I$354,I106))</f>
        <v>0.576</v>
      </c>
      <c r="O106" s="14" t="n">
        <f aca="false">IF(K106="","",PERCENTRANK($K$2:$K$354,K106))</f>
        <v>0.997</v>
      </c>
      <c r="P106" s="12" t="n">
        <f aca="false">COUNT(M106:O106)</f>
        <v>3</v>
      </c>
      <c r="Q106" s="12" t="s">
        <v>656</v>
      </c>
      <c r="R106" s="12" t="s">
        <v>657</v>
      </c>
      <c r="W106" s="12" t="n">
        <f aca="false">COUNTA(Q106:V106)</f>
        <v>2</v>
      </c>
      <c r="X106" s="14" t="n">
        <f aca="false">IF(P106=0,"",MIN(1,AVERAGE(M106:O106)+Critérios!$B$5*W106))</f>
        <v>0.64</v>
      </c>
      <c r="Y106" s="12" t="str">
        <f aca="false">IF(X106="","",IF(X106&gt;=Critérios!$B$7,"A",IF(X106&gt;=Critérios!$B$8,"B","C")))</f>
        <v>B</v>
      </c>
      <c r="Z106" s="12" t="n">
        <f aca="false">IF(X106="","",RANK(X106,$X$2:$X$354))</f>
        <v>105</v>
      </c>
      <c r="AA106" s="12" t="str">
        <f aca="false">IF(X106="","Sairia — sem métrica",IF(PERCENTRANK($X$2:$X$354,X106)&lt;Critérios!$B$6,"Sairia — terço inferior","Fica"))</f>
        <v>Fica</v>
      </c>
      <c r="AB106" s="12" t="s">
        <v>105</v>
      </c>
      <c r="AD106" s="15" t="s">
        <v>95</v>
      </c>
      <c r="AE106" s="16"/>
      <c r="AF106" s="12" t="s">
        <v>359</v>
      </c>
      <c r="AG106" s="12" t="s">
        <v>658</v>
      </c>
      <c r="AH106" s="12" t="n">
        <f aca="false">COUNT(G106,I106,K106)+COUNTA(Q106:V106)</f>
        <v>5</v>
      </c>
      <c r="AI106" s="12" t="str">
        <f aca="false">IF(AH106&gt;=3,"Sim","Não")</f>
        <v>Sim</v>
      </c>
      <c r="AJ106" s="12" t="str">
        <f aca="false">IF(AND(Z106&lt;&gt;"",Z106&lt;=Critérios!$B$9),"Sim","Não")</f>
        <v>Não</v>
      </c>
    </row>
    <row r="107" customFormat="false" ht="15" hidden="false" customHeight="false" outlineLevel="0" collapsed="false">
      <c r="A107" s="12" t="s">
        <v>659</v>
      </c>
      <c r="B107" s="12" t="s">
        <v>660</v>
      </c>
      <c r="C107" s="12" t="s">
        <v>660</v>
      </c>
      <c r="D107" s="12" t="s">
        <v>265</v>
      </c>
      <c r="E107" s="12" t="s">
        <v>91</v>
      </c>
      <c r="F107" s="12" t="s">
        <v>92</v>
      </c>
      <c r="G107" s="13" t="n">
        <v>8444618</v>
      </c>
      <c r="H107" s="13" t="n">
        <v>179602834</v>
      </c>
      <c r="I107" s="13" t="n">
        <v>1141607099</v>
      </c>
      <c r="J107" s="12" t="n">
        <v>3</v>
      </c>
      <c r="K107" s="13" t="n">
        <v>98984</v>
      </c>
      <c r="L107" s="12" t="n">
        <v>7.3</v>
      </c>
      <c r="M107" s="14" t="n">
        <f aca="false">IF(G107="","",PERCENTRANK($G$2:$G$354,G107))</f>
        <v>0.915</v>
      </c>
      <c r="N107" s="14" t="n">
        <f aca="false">IF(I107="","",PERCENTRANK($I$2:$I$354,I107))</f>
        <v>0.856</v>
      </c>
      <c r="O107" s="14" t="n">
        <f aca="false">IF(K107="","",PERCENTRANK($K$2:$K$354,K107))</f>
        <v>0.0568</v>
      </c>
      <c r="P107" s="12" t="n">
        <f aca="false">COUNT(M107:O107)</f>
        <v>3</v>
      </c>
      <c r="R107" s="12" t="s">
        <v>661</v>
      </c>
      <c r="W107" s="12" t="n">
        <f aca="false">COUNTA(Q107:V107)</f>
        <v>1</v>
      </c>
      <c r="X107" s="14" t="n">
        <f aca="false">IF(P107=0,"",MIN(1,AVERAGE(M107:O107)+Critérios!$B$5*W107))</f>
        <v>0.639266666666667</v>
      </c>
      <c r="Y107" s="12" t="str">
        <f aca="false">IF(X107="","",IF(X107&gt;=Critérios!$B$7,"A",IF(X107&gt;=Critérios!$B$8,"B","C")))</f>
        <v>B</v>
      </c>
      <c r="Z107" s="12" t="n">
        <f aca="false">IF(X107="","",RANK(X107,$X$2:$X$354))</f>
        <v>106</v>
      </c>
      <c r="AA107" s="12" t="str">
        <f aca="false">IF(X107="","Sairia — sem métrica",IF(PERCENTRANK($X$2:$X$354,X107)&lt;Critérios!$B$6,"Sairia — terço inferior","Fica"))</f>
        <v>Fica</v>
      </c>
      <c r="AB107" s="12" t="s">
        <v>105</v>
      </c>
      <c r="AC107" s="12" t="s">
        <v>267</v>
      </c>
      <c r="AD107" s="15" t="s">
        <v>95</v>
      </c>
      <c r="AE107" s="16"/>
      <c r="AF107" s="12" t="s">
        <v>268</v>
      </c>
      <c r="AG107" s="12" t="s">
        <v>662</v>
      </c>
      <c r="AH107" s="12" t="n">
        <f aca="false">COUNT(G107,I107,K107)+COUNTA(Q107:V107)</f>
        <v>4</v>
      </c>
      <c r="AI107" s="12" t="str">
        <f aca="false">IF(AH107&gt;=3,"Sim","Não")</f>
        <v>Sim</v>
      </c>
      <c r="AJ107" s="12" t="str">
        <f aca="false">IF(AND(Z107&lt;&gt;"",Z107&lt;=Critérios!$B$9),"Sim","Não")</f>
        <v>Não</v>
      </c>
    </row>
    <row r="108" customFormat="false" ht="15" hidden="false" customHeight="false" outlineLevel="0" collapsed="false">
      <c r="A108" s="12" t="s">
        <v>663</v>
      </c>
      <c r="B108" s="12" t="s">
        <v>664</v>
      </c>
      <c r="C108" s="12" t="s">
        <v>665</v>
      </c>
      <c r="D108" s="12" t="s">
        <v>140</v>
      </c>
      <c r="E108" s="12" t="s">
        <v>91</v>
      </c>
      <c r="F108" s="12" t="s">
        <v>92</v>
      </c>
      <c r="G108" s="13" t="n">
        <v>2364614</v>
      </c>
      <c r="H108" s="13" t="n">
        <v>30560502</v>
      </c>
      <c r="I108" s="13" t="n">
        <v>1017003568</v>
      </c>
      <c r="J108" s="12" t="n">
        <v>4</v>
      </c>
      <c r="K108" s="13" t="n">
        <v>939074</v>
      </c>
      <c r="L108" s="12" t="n">
        <v>7.8</v>
      </c>
      <c r="M108" s="14" t="n">
        <f aca="false">IF(G108="","",PERCENTRANK($G$2:$G$354,G108))</f>
        <v>0.297</v>
      </c>
      <c r="N108" s="14" t="n">
        <f aca="false">IF(I108="","",PERCENTRANK($I$2:$I$354,I108))</f>
        <v>0.758</v>
      </c>
      <c r="O108" s="14" t="n">
        <f aca="false">IF(K108="","",PERCENTRANK($K$2:$K$354,K108))</f>
        <v>0.858</v>
      </c>
      <c r="P108" s="12" t="n">
        <f aca="false">COUNT(M108:O108)</f>
        <v>3</v>
      </c>
      <c r="W108" s="12" t="n">
        <f aca="false">COUNTA(Q108:V108)</f>
        <v>0</v>
      </c>
      <c r="X108" s="14" t="n">
        <f aca="false">IF(P108=0,"",MIN(1,AVERAGE(M108:O108)+Critérios!$B$5*W108))</f>
        <v>0.637666666666667</v>
      </c>
      <c r="Y108" s="12" t="str">
        <f aca="false">IF(X108="","",IF(X108&gt;=Critérios!$B$7,"A",IF(X108&gt;=Critérios!$B$8,"B","C")))</f>
        <v>B</v>
      </c>
      <c r="Z108" s="12" t="n">
        <f aca="false">IF(X108="","",RANK(X108,$X$2:$X$354))</f>
        <v>108</v>
      </c>
      <c r="AA108" s="12" t="str">
        <f aca="false">IF(X108="","Sairia — sem métrica",IF(PERCENTRANK($X$2:$X$354,X108)&lt;Critérios!$B$6,"Sairia — terço inferior","Fica"))</f>
        <v>Fica</v>
      </c>
      <c r="AB108" s="12" t="s">
        <v>105</v>
      </c>
      <c r="AD108" s="15" t="s">
        <v>95</v>
      </c>
      <c r="AE108" s="16"/>
      <c r="AF108" s="12" t="s">
        <v>242</v>
      </c>
      <c r="AG108" s="12" t="s">
        <v>666</v>
      </c>
      <c r="AH108" s="12" t="n">
        <f aca="false">COUNT(G108,I108,K108)+COUNTA(Q108:V108)</f>
        <v>3</v>
      </c>
      <c r="AI108" s="12" t="str">
        <f aca="false">IF(AH108&gt;=3,"Sim","Não")</f>
        <v>Sim</v>
      </c>
      <c r="AJ108" s="12" t="str">
        <f aca="false">IF(AND(Z108&lt;&gt;"",Z108&lt;=Critérios!$B$9),"Sim","Não")</f>
        <v>Não</v>
      </c>
    </row>
    <row r="109" customFormat="false" ht="15" hidden="false" customHeight="false" outlineLevel="0" collapsed="false">
      <c r="A109" s="12" t="s">
        <v>667</v>
      </c>
      <c r="B109" s="12" t="s">
        <v>668</v>
      </c>
      <c r="C109" s="12" t="s">
        <v>668</v>
      </c>
      <c r="D109" s="12" t="s">
        <v>265</v>
      </c>
      <c r="E109" s="12" t="s">
        <v>91</v>
      </c>
      <c r="F109" s="12" t="s">
        <v>92</v>
      </c>
      <c r="G109" s="13" t="n">
        <v>7550415</v>
      </c>
      <c r="H109" s="13" t="n">
        <v>169950333</v>
      </c>
      <c r="I109" s="13" t="n">
        <v>1021426595</v>
      </c>
      <c r="J109" s="12" t="n">
        <v>4</v>
      </c>
      <c r="K109" s="13" t="n">
        <v>193480</v>
      </c>
      <c r="L109" s="12" t="n">
        <v>7.3</v>
      </c>
      <c r="M109" s="14" t="n">
        <f aca="false">IF(G109="","",PERCENTRANK($G$2:$G$354,G109))</f>
        <v>0.876</v>
      </c>
      <c r="N109" s="14" t="n">
        <f aca="false">IF(I109="","",PERCENTRANK($I$2:$I$354,I109))</f>
        <v>0.763</v>
      </c>
      <c r="O109" s="14" t="n">
        <f aca="false">IF(K109="","",PERCENTRANK($K$2:$K$354,K109))</f>
        <v>0.185</v>
      </c>
      <c r="P109" s="12" t="n">
        <f aca="false">COUNT(M109:O109)</f>
        <v>3</v>
      </c>
      <c r="R109" s="12" t="s">
        <v>669</v>
      </c>
      <c r="W109" s="12" t="n">
        <f aca="false">COUNTA(Q109:V109)</f>
        <v>1</v>
      </c>
      <c r="X109" s="14" t="n">
        <f aca="false">IF(P109=0,"",MIN(1,AVERAGE(M109:O109)+Critérios!$B$5*W109))</f>
        <v>0.638</v>
      </c>
      <c r="Y109" s="12" t="str">
        <f aca="false">IF(X109="","",IF(X109&gt;=Critérios!$B$7,"A",IF(X109&gt;=Critérios!$B$8,"B","C")))</f>
        <v>B</v>
      </c>
      <c r="Z109" s="12" t="n">
        <f aca="false">IF(X109="","",RANK(X109,$X$2:$X$354))</f>
        <v>107</v>
      </c>
      <c r="AA109" s="12" t="str">
        <f aca="false">IF(X109="","Sairia — sem métrica",IF(PERCENTRANK($X$2:$X$354,X109)&lt;Critérios!$B$6,"Sairia — terço inferior","Fica"))</f>
        <v>Fica</v>
      </c>
      <c r="AB109" s="12" t="s">
        <v>105</v>
      </c>
      <c r="AC109" s="12" t="s">
        <v>267</v>
      </c>
      <c r="AD109" s="15" t="s">
        <v>95</v>
      </c>
      <c r="AE109" s="16"/>
      <c r="AF109" s="12" t="s">
        <v>268</v>
      </c>
      <c r="AG109" s="12" t="s">
        <v>670</v>
      </c>
      <c r="AH109" s="12" t="n">
        <f aca="false">COUNT(G109,I109,K109)+COUNTA(Q109:V109)</f>
        <v>4</v>
      </c>
      <c r="AI109" s="12" t="str">
        <f aca="false">IF(AH109&gt;=3,"Sim","Não")</f>
        <v>Sim</v>
      </c>
      <c r="AJ109" s="12" t="str">
        <f aca="false">IF(AND(Z109&lt;&gt;"",Z109&lt;=Critérios!$B$9),"Sim","Não")</f>
        <v>Não</v>
      </c>
    </row>
    <row r="110" customFormat="false" ht="15" hidden="false" customHeight="false" outlineLevel="0" collapsed="false">
      <c r="A110" s="12" t="s">
        <v>671</v>
      </c>
      <c r="B110" s="12" t="s">
        <v>672</v>
      </c>
      <c r="C110" s="12" t="s">
        <v>673</v>
      </c>
      <c r="D110" s="12" t="s">
        <v>101</v>
      </c>
      <c r="E110" s="12" t="s">
        <v>91</v>
      </c>
      <c r="F110" s="12" t="s">
        <v>674</v>
      </c>
      <c r="G110" s="17"/>
      <c r="H110" s="17"/>
      <c r="I110" s="17"/>
      <c r="K110" s="13" t="n">
        <v>499362</v>
      </c>
      <c r="L110" s="12" t="n">
        <v>7.1</v>
      </c>
      <c r="M110" s="14" t="str">
        <f aca="false">IF(G110="","",PERCENTRANK($G$2:$G$354,G110))</f>
        <v/>
      </c>
      <c r="N110" s="14" t="str">
        <f aca="false">IF(I110="","",PERCENTRANK($I$2:$I$354,I110))</f>
        <v/>
      </c>
      <c r="O110" s="14" t="n">
        <f aca="false">IF(K110="","",PERCENTRANK($K$2:$K$354,K110))</f>
        <v>0.577</v>
      </c>
      <c r="P110" s="12" t="n">
        <f aca="false">COUNT(M110:O110)</f>
        <v>1</v>
      </c>
      <c r="Q110" s="12" t="s">
        <v>675</v>
      </c>
      <c r="T110" s="12" t="s">
        <v>676</v>
      </c>
      <c r="W110" s="12" t="n">
        <f aca="false">COUNTA(Q110:V110)</f>
        <v>2</v>
      </c>
      <c r="X110" s="14" t="n">
        <f aca="false">IF(P110=0,"",MIN(1,AVERAGE(M110:O110)+Critérios!$B$5*W110))</f>
        <v>0.637</v>
      </c>
      <c r="Y110" s="12" t="str">
        <f aca="false">IF(X110="","",IF(X110&gt;=Critérios!$B$7,"A",IF(X110&gt;=Critérios!$B$8,"B","C")))</f>
        <v>B</v>
      </c>
      <c r="Z110" s="12" t="n">
        <f aca="false">IF(X110="","",RANK(X110,$X$2:$X$354))</f>
        <v>109</v>
      </c>
      <c r="AA110" s="12" t="str">
        <f aca="false">IF(X110="","Sairia — sem métrica",IF(PERCENTRANK($X$2:$X$354,X110)&lt;Critérios!$B$6,"Sairia — terço inferior","Fica"))</f>
        <v>Fica</v>
      </c>
      <c r="AB110" s="12" t="s">
        <v>105</v>
      </c>
      <c r="AD110" s="15" t="s">
        <v>95</v>
      </c>
      <c r="AE110" s="16"/>
      <c r="AG110" s="12" t="s">
        <v>677</v>
      </c>
      <c r="AH110" s="12" t="n">
        <f aca="false">COUNT(G110,I110,K110)+COUNTA(Q110:V110)</f>
        <v>3</v>
      </c>
      <c r="AI110" s="12" t="str">
        <f aca="false">IF(AH110&gt;=3,"Sim","Não")</f>
        <v>Sim</v>
      </c>
      <c r="AJ110" s="12" t="str">
        <f aca="false">IF(AND(Z110&lt;&gt;"",Z110&lt;=Critérios!$B$9),"Sim","Não")</f>
        <v>Não</v>
      </c>
    </row>
    <row r="111" customFormat="false" ht="15" hidden="false" customHeight="false" outlineLevel="0" collapsed="false">
      <c r="A111" s="12" t="s">
        <v>678</v>
      </c>
      <c r="B111" s="12" t="s">
        <v>679</v>
      </c>
      <c r="C111" s="12" t="s">
        <v>679</v>
      </c>
      <c r="D111" s="12" t="s">
        <v>505</v>
      </c>
      <c r="E111" s="12" t="s">
        <v>91</v>
      </c>
      <c r="F111" s="12" t="s">
        <v>92</v>
      </c>
      <c r="G111" s="13" t="n">
        <v>10399960</v>
      </c>
      <c r="H111" s="13" t="n">
        <v>214500000</v>
      </c>
      <c r="I111" s="13" t="n">
        <v>1038027526</v>
      </c>
      <c r="J111" s="12" t="n">
        <v>4</v>
      </c>
      <c r="K111" s="13" t="n">
        <v>99072</v>
      </c>
      <c r="L111" s="12" t="n">
        <v>6.7</v>
      </c>
      <c r="M111" s="14" t="n">
        <f aca="false">IF(G111="","",PERCENTRANK($G$2:$G$354,G111))</f>
        <v>0.971</v>
      </c>
      <c r="N111" s="14" t="n">
        <f aca="false">IF(I111="","",PERCENTRANK($I$2:$I$354,I111))</f>
        <v>0.784</v>
      </c>
      <c r="O111" s="14" t="n">
        <f aca="false">IF(K111="","",PERCENTRANK($K$2:$K$354,K111))</f>
        <v>0.0597</v>
      </c>
      <c r="P111" s="12" t="n">
        <f aca="false">COUNT(M111:O111)</f>
        <v>3</v>
      </c>
      <c r="Q111" s="12" t="s">
        <v>680</v>
      </c>
      <c r="W111" s="12" t="n">
        <f aca="false">COUNTA(Q111:V111)</f>
        <v>1</v>
      </c>
      <c r="X111" s="14" t="n">
        <f aca="false">IF(P111=0,"",MIN(1,AVERAGE(M111:O111)+Critérios!$B$5*W111))</f>
        <v>0.6349</v>
      </c>
      <c r="Y111" s="12" t="str">
        <f aca="false">IF(X111="","",IF(X111&gt;=Critérios!$B$7,"A",IF(X111&gt;=Critérios!$B$8,"B","C")))</f>
        <v>B</v>
      </c>
      <c r="Z111" s="12" t="n">
        <f aca="false">IF(X111="","",RANK(X111,$X$2:$X$354))</f>
        <v>110</v>
      </c>
      <c r="AA111" s="12" t="str">
        <f aca="false">IF(X111="","Sairia — sem métrica",IF(PERCENTRANK($X$2:$X$354,X111)&lt;Critérios!$B$6,"Sairia — terço inferior","Fica"))</f>
        <v>Fica</v>
      </c>
      <c r="AB111" s="12" t="s">
        <v>105</v>
      </c>
      <c r="AD111" s="15" t="s">
        <v>95</v>
      </c>
      <c r="AE111" s="16"/>
      <c r="AF111" s="12" t="s">
        <v>507</v>
      </c>
      <c r="AG111" s="12" t="s">
        <v>681</v>
      </c>
      <c r="AH111" s="12" t="n">
        <f aca="false">COUNT(G111,I111,K111)+COUNTA(Q111:V111)</f>
        <v>4</v>
      </c>
      <c r="AI111" s="12" t="str">
        <f aca="false">IF(AH111&gt;=3,"Sim","Não")</f>
        <v>Sim</v>
      </c>
      <c r="AJ111" s="12" t="str">
        <f aca="false">IF(AND(Z111&lt;&gt;"",Z111&lt;=Critérios!$B$9),"Sim","Não")</f>
        <v>Não</v>
      </c>
    </row>
    <row r="112" customFormat="false" ht="15" hidden="false" customHeight="false" outlineLevel="0" collapsed="false">
      <c r="A112" s="12" t="s">
        <v>682</v>
      </c>
      <c r="B112" s="12" t="s">
        <v>683</v>
      </c>
      <c r="C112" s="12" t="s">
        <v>684</v>
      </c>
      <c r="D112" s="12" t="s">
        <v>158</v>
      </c>
      <c r="E112" s="12" t="s">
        <v>91</v>
      </c>
      <c r="F112" s="12" t="s">
        <v>92</v>
      </c>
      <c r="G112" s="13" t="n">
        <v>2864628</v>
      </c>
      <c r="H112" s="13" t="n">
        <v>38072963</v>
      </c>
      <c r="I112" s="13" t="n">
        <v>772776600</v>
      </c>
      <c r="J112" s="12" t="n">
        <v>3</v>
      </c>
      <c r="K112" s="13" t="n">
        <v>1388561</v>
      </c>
      <c r="L112" s="12" t="n">
        <v>8</v>
      </c>
      <c r="M112" s="14" t="n">
        <f aca="false">IF(G112="","",PERCENTRANK($G$2:$G$354,G112))</f>
        <v>0.425</v>
      </c>
      <c r="N112" s="14" t="n">
        <f aca="false">IF(I112="","",PERCENTRANK($I$2:$I$354,I112))</f>
        <v>0.517</v>
      </c>
      <c r="O112" s="14" t="n">
        <f aca="false">IF(K112="","",PERCENTRANK($K$2:$K$354,K112))</f>
        <v>0.96</v>
      </c>
      <c r="P112" s="12" t="n">
        <f aca="false">COUNT(M112:O112)</f>
        <v>3</v>
      </c>
      <c r="W112" s="12" t="n">
        <f aca="false">COUNTA(Q112:V112)</f>
        <v>0</v>
      </c>
      <c r="X112" s="14" t="n">
        <f aca="false">IF(P112=0,"",MIN(1,AVERAGE(M112:O112)+Critérios!$B$5*W112))</f>
        <v>0.634</v>
      </c>
      <c r="Y112" s="12" t="str">
        <f aca="false">IF(X112="","",IF(X112&gt;=Critérios!$B$7,"A",IF(X112&gt;=Critérios!$B$8,"B","C")))</f>
        <v>B</v>
      </c>
      <c r="Z112" s="12" t="n">
        <f aca="false">IF(X112="","",RANK(X112,$X$2:$X$354))</f>
        <v>111</v>
      </c>
      <c r="AA112" s="12" t="str">
        <f aca="false">IF(X112="","Sairia — sem métrica",IF(PERCENTRANK($X$2:$X$354,X112)&lt;Critérios!$B$6,"Sairia — terço inferior","Fica"))</f>
        <v>Fica</v>
      </c>
      <c r="AB112" s="12" t="s">
        <v>94</v>
      </c>
      <c r="AD112" s="15" t="s">
        <v>95</v>
      </c>
      <c r="AE112" s="16"/>
      <c r="AF112" s="12" t="s">
        <v>578</v>
      </c>
      <c r="AG112" s="12" t="s">
        <v>685</v>
      </c>
      <c r="AH112" s="12" t="n">
        <f aca="false">COUNT(G112,I112,K112)+COUNTA(Q112:V112)</f>
        <v>3</v>
      </c>
      <c r="AI112" s="12" t="str">
        <f aca="false">IF(AH112&gt;=3,"Sim","Não")</f>
        <v>Sim</v>
      </c>
      <c r="AJ112" s="12" t="str">
        <f aca="false">IF(AND(Z112&lt;&gt;"",Z112&lt;=Critérios!$B$9),"Sim","Não")</f>
        <v>Não</v>
      </c>
    </row>
    <row r="113" customFormat="false" ht="15" hidden="false" customHeight="false" outlineLevel="0" collapsed="false">
      <c r="A113" s="12" t="s">
        <v>686</v>
      </c>
      <c r="B113" s="12" t="s">
        <v>687</v>
      </c>
      <c r="C113" s="12" t="s">
        <v>688</v>
      </c>
      <c r="D113" s="12" t="s">
        <v>286</v>
      </c>
      <c r="E113" s="12" t="s">
        <v>91</v>
      </c>
      <c r="F113" s="12" t="s">
        <v>92</v>
      </c>
      <c r="G113" s="13" t="n">
        <v>5028979</v>
      </c>
      <c r="H113" s="13" t="n">
        <v>32107877</v>
      </c>
      <c r="I113" s="13" t="n">
        <v>739412035</v>
      </c>
      <c r="J113" s="12" t="n">
        <v>3</v>
      </c>
      <c r="K113" s="13" t="n">
        <v>678072</v>
      </c>
      <c r="L113" s="12" t="n">
        <v>7.2</v>
      </c>
      <c r="M113" s="14" t="n">
        <f aca="false">IF(G113="","",PERCENTRANK($G$2:$G$354,G113))</f>
        <v>0.729</v>
      </c>
      <c r="N113" s="14" t="n">
        <f aca="false">IF(I113="","",PERCENTRANK($I$2:$I$354,I113))</f>
        <v>0.453</v>
      </c>
      <c r="O113" s="14" t="n">
        <f aca="false">IF(K113="","",PERCENTRANK($K$2:$K$354,K113))</f>
        <v>0.716</v>
      </c>
      <c r="P113" s="12" t="n">
        <f aca="false">COUNT(M113:O113)</f>
        <v>3</v>
      </c>
      <c r="W113" s="12" t="n">
        <f aca="false">COUNTA(Q113:V113)</f>
        <v>0</v>
      </c>
      <c r="X113" s="14" t="n">
        <f aca="false">IF(P113=0,"",MIN(1,AVERAGE(M113:O113)+Critérios!$B$5*W113))</f>
        <v>0.632666666666667</v>
      </c>
      <c r="Y113" s="12" t="str">
        <f aca="false">IF(X113="","",IF(X113&gt;=Critérios!$B$7,"A",IF(X113&gt;=Critérios!$B$8,"B","C")))</f>
        <v>B</v>
      </c>
      <c r="Z113" s="12" t="n">
        <f aca="false">IF(X113="","",RANK(X113,$X$2:$X$354))</f>
        <v>112</v>
      </c>
      <c r="AA113" s="12" t="str">
        <f aca="false">IF(X113="","Sairia — sem métrica",IF(PERCENTRANK($X$2:$X$354,X113)&lt;Critérios!$B$6,"Sairia — terço inferior","Fica"))</f>
        <v>Fica</v>
      </c>
      <c r="AB113" s="12" t="s">
        <v>105</v>
      </c>
      <c r="AD113" s="15" t="s">
        <v>95</v>
      </c>
      <c r="AE113" s="16"/>
      <c r="AF113" s="12" t="s">
        <v>287</v>
      </c>
      <c r="AG113" s="12" t="s">
        <v>689</v>
      </c>
      <c r="AH113" s="12" t="n">
        <f aca="false">COUNT(G113,I113,K113)+COUNTA(Q113:V113)</f>
        <v>3</v>
      </c>
      <c r="AI113" s="12" t="str">
        <f aca="false">IF(AH113&gt;=3,"Sim","Não")</f>
        <v>Sim</v>
      </c>
      <c r="AJ113" s="12" t="str">
        <f aca="false">IF(AND(Z113&lt;&gt;"",Z113&lt;=Critérios!$B$9),"Sim","Não")</f>
        <v>Não</v>
      </c>
    </row>
    <row r="114" customFormat="false" ht="15" hidden="false" customHeight="false" outlineLevel="0" collapsed="false">
      <c r="A114" s="12" t="s">
        <v>690</v>
      </c>
      <c r="B114" s="12" t="s">
        <v>691</v>
      </c>
      <c r="C114" s="12" t="s">
        <v>692</v>
      </c>
      <c r="D114" s="12" t="s">
        <v>189</v>
      </c>
      <c r="E114" s="12" t="s">
        <v>91</v>
      </c>
      <c r="F114" s="12" t="s">
        <v>92</v>
      </c>
      <c r="G114" s="13" t="n">
        <v>4335211</v>
      </c>
      <c r="H114" s="13" t="n">
        <v>66224522</v>
      </c>
      <c r="I114" s="13" t="n">
        <v>814037575</v>
      </c>
      <c r="J114" s="12" t="n">
        <v>8</v>
      </c>
      <c r="K114" s="13" t="n">
        <v>546636</v>
      </c>
      <c r="L114" s="12" t="n">
        <v>7.2</v>
      </c>
      <c r="M114" s="14" t="n">
        <f aca="false">IF(G114="","",PERCENTRANK($G$2:$G$354,G114))</f>
        <v>0.621</v>
      </c>
      <c r="N114" s="14" t="n">
        <f aca="false">IF(I114="","",PERCENTRANK($I$2:$I$354,I114))</f>
        <v>0.564</v>
      </c>
      <c r="O114" s="14" t="n">
        <f aca="false">IF(K114="","",PERCENTRANK($K$2:$K$354,K114))</f>
        <v>0.622</v>
      </c>
      <c r="P114" s="12" t="n">
        <f aca="false">COUNT(M114:O114)</f>
        <v>3</v>
      </c>
      <c r="Q114" s="12" t="s">
        <v>693</v>
      </c>
      <c r="W114" s="12" t="n">
        <f aca="false">COUNTA(Q114:V114)</f>
        <v>1</v>
      </c>
      <c r="X114" s="14" t="n">
        <f aca="false">IF(P114=0,"",MIN(1,AVERAGE(M114:O114)+Critérios!$B$5*W114))</f>
        <v>0.632333333333333</v>
      </c>
      <c r="Y114" s="12" t="str">
        <f aca="false">IF(X114="","",IF(X114&gt;=Critérios!$B$7,"A",IF(X114&gt;=Critérios!$B$8,"B","C")))</f>
        <v>B</v>
      </c>
      <c r="Z114" s="12" t="n">
        <f aca="false">IF(X114="","",RANK(X114,$X$2:$X$354))</f>
        <v>113</v>
      </c>
      <c r="AA114" s="12" t="str">
        <f aca="false">IF(X114="","Sairia — sem métrica",IF(PERCENTRANK($X$2:$X$354,X114)&lt;Critérios!$B$6,"Sairia — terço inferior","Fica"))</f>
        <v>Fica</v>
      </c>
      <c r="AB114" s="12" t="s">
        <v>105</v>
      </c>
      <c r="AD114" s="15" t="s">
        <v>95</v>
      </c>
      <c r="AE114" s="16"/>
      <c r="AF114" s="12" t="s">
        <v>333</v>
      </c>
      <c r="AG114" s="12" t="s">
        <v>694</v>
      </c>
      <c r="AH114" s="12" t="n">
        <f aca="false">COUNT(G114,I114,K114)+COUNTA(Q114:V114)</f>
        <v>4</v>
      </c>
      <c r="AI114" s="12" t="str">
        <f aca="false">IF(AH114&gt;=3,"Sim","Não")</f>
        <v>Sim</v>
      </c>
      <c r="AJ114" s="12" t="str">
        <f aca="false">IF(AND(Z114&lt;&gt;"",Z114&lt;=Critérios!$B$9),"Sim","Não")</f>
        <v>Não</v>
      </c>
    </row>
    <row r="115" customFormat="false" ht="15" hidden="false" customHeight="false" outlineLevel="0" collapsed="false">
      <c r="A115" s="12" t="s">
        <v>695</v>
      </c>
      <c r="B115" s="12" t="s">
        <v>696</v>
      </c>
      <c r="C115" s="12" t="s">
        <v>696</v>
      </c>
      <c r="D115" s="12" t="s">
        <v>111</v>
      </c>
      <c r="E115" s="12" t="s">
        <v>91</v>
      </c>
      <c r="F115" s="12" t="s">
        <v>92</v>
      </c>
      <c r="G115" s="13" t="n">
        <v>2896729</v>
      </c>
      <c r="H115" s="13" t="n">
        <v>51563245</v>
      </c>
      <c r="I115" s="13" t="n">
        <v>911027169</v>
      </c>
      <c r="J115" s="12" t="n">
        <v>6</v>
      </c>
      <c r="K115" s="13" t="n">
        <v>655957</v>
      </c>
      <c r="L115" s="12" t="n">
        <v>7.9</v>
      </c>
      <c r="M115" s="14" t="n">
        <f aca="false">IF(G115="","",PERCENTRANK($G$2:$G$354,G115))</f>
        <v>0.428</v>
      </c>
      <c r="N115" s="14" t="n">
        <f aca="false">IF(I115="","",PERCENTRANK($I$2:$I$354,I115))</f>
        <v>0.669</v>
      </c>
      <c r="O115" s="14" t="n">
        <f aca="false">IF(K115="","",PERCENTRANK($K$2:$K$354,K115))</f>
        <v>0.705</v>
      </c>
      <c r="P115" s="12" t="n">
        <f aca="false">COUNT(M115:O115)</f>
        <v>3</v>
      </c>
      <c r="Q115" s="12" t="s">
        <v>697</v>
      </c>
      <c r="W115" s="12" t="n">
        <f aca="false">COUNTA(Q115:V115)</f>
        <v>1</v>
      </c>
      <c r="X115" s="14" t="n">
        <f aca="false">IF(P115=0,"",MIN(1,AVERAGE(M115:O115)+Critérios!$B$5*W115))</f>
        <v>0.630666666666667</v>
      </c>
      <c r="Y115" s="12" t="str">
        <f aca="false">IF(X115="","",IF(X115&gt;=Critérios!$B$7,"A",IF(X115&gt;=Critérios!$B$8,"B","C")))</f>
        <v>B</v>
      </c>
      <c r="Z115" s="12" t="n">
        <f aca="false">IF(X115="","",RANK(X115,$X$2:$X$354))</f>
        <v>114</v>
      </c>
      <c r="AA115" s="12" t="str">
        <f aca="false">IF(X115="","Sairia — sem métrica",IF(PERCENTRANK($X$2:$X$354,X115)&lt;Critérios!$B$6,"Sairia — terço inferior","Fica"))</f>
        <v>Fica</v>
      </c>
      <c r="AB115" s="12" t="s">
        <v>105</v>
      </c>
      <c r="AD115" s="15" t="s">
        <v>95</v>
      </c>
      <c r="AE115" s="16"/>
      <c r="AF115" s="12" t="s">
        <v>197</v>
      </c>
      <c r="AG115" s="12" t="s">
        <v>698</v>
      </c>
      <c r="AH115" s="12" t="n">
        <f aca="false">COUNT(G115,I115,K115)+COUNTA(Q115:V115)</f>
        <v>4</v>
      </c>
      <c r="AI115" s="12" t="str">
        <f aca="false">IF(AH115&gt;=3,"Sim","Não")</f>
        <v>Sim</v>
      </c>
      <c r="AJ115" s="12" t="str">
        <f aca="false">IF(AND(Z115&lt;&gt;"",Z115&lt;=Critérios!$B$9),"Sim","Não")</f>
        <v>Não</v>
      </c>
    </row>
    <row r="116" customFormat="false" ht="15" hidden="false" customHeight="false" outlineLevel="0" collapsed="false">
      <c r="A116" s="12" t="s">
        <v>699</v>
      </c>
      <c r="B116" s="12" t="s">
        <v>700</v>
      </c>
      <c r="C116" s="12" t="s">
        <v>701</v>
      </c>
      <c r="D116" s="12" t="s">
        <v>207</v>
      </c>
      <c r="E116" s="12" t="s">
        <v>91</v>
      </c>
      <c r="F116" s="12" t="s">
        <v>92</v>
      </c>
      <c r="G116" s="13" t="n">
        <v>8997736</v>
      </c>
      <c r="H116" s="13" t="n">
        <v>126016867</v>
      </c>
      <c r="I116" s="13" t="n">
        <v>1034799409</v>
      </c>
      <c r="J116" s="12" t="n">
        <v>4</v>
      </c>
      <c r="K116" s="13" t="n">
        <v>186853</v>
      </c>
      <c r="L116" s="12" t="n">
        <v>6.3</v>
      </c>
      <c r="M116" s="14" t="n">
        <f aca="false">IF(G116="","",PERCENTRANK($G$2:$G$354,G116))</f>
        <v>0.941</v>
      </c>
      <c r="N116" s="14" t="n">
        <f aca="false">IF(I116="","",PERCENTRANK($I$2:$I$354,I116))</f>
        <v>0.78</v>
      </c>
      <c r="O116" s="14" t="n">
        <f aca="false">IF(K116="","",PERCENTRANK($K$2:$K$354,K116))</f>
        <v>0.165</v>
      </c>
      <c r="P116" s="12" t="n">
        <f aca="false">COUNT(M116:O116)</f>
        <v>3</v>
      </c>
      <c r="W116" s="12" t="n">
        <f aca="false">COUNTA(Q116:V116)</f>
        <v>0</v>
      </c>
      <c r="X116" s="14" t="n">
        <f aca="false">IF(P116=0,"",MIN(1,AVERAGE(M116:O116)+Critérios!$B$5*W116))</f>
        <v>0.628666666666667</v>
      </c>
      <c r="Y116" s="12" t="str">
        <f aca="false">IF(X116="","",IF(X116&gt;=Critérios!$B$7,"A",IF(X116&gt;=Critérios!$B$8,"B","C")))</f>
        <v>B</v>
      </c>
      <c r="Z116" s="12" t="n">
        <f aca="false">IF(X116="","",RANK(X116,$X$2:$X$354))</f>
        <v>115</v>
      </c>
      <c r="AA116" s="12" t="str">
        <f aca="false">IF(X116="","Sairia — sem métrica",IF(PERCENTRANK($X$2:$X$354,X116)&lt;Critérios!$B$6,"Sairia — terço inferior","Fica"))</f>
        <v>Fica</v>
      </c>
      <c r="AB116" s="12" t="s">
        <v>105</v>
      </c>
      <c r="AD116" s="15" t="s">
        <v>95</v>
      </c>
      <c r="AE116" s="16"/>
      <c r="AF116" s="12" t="s">
        <v>702</v>
      </c>
      <c r="AG116" s="12" t="s">
        <v>703</v>
      </c>
      <c r="AH116" s="12" t="n">
        <f aca="false">COUNT(G116,I116,K116)+COUNTA(Q116:V116)</f>
        <v>3</v>
      </c>
      <c r="AI116" s="12" t="str">
        <f aca="false">IF(AH116&gt;=3,"Sim","Não")</f>
        <v>Sim</v>
      </c>
      <c r="AJ116" s="12" t="str">
        <f aca="false">IF(AND(Z116&lt;&gt;"",Z116&lt;=Critérios!$B$9),"Sim","Não")</f>
        <v>Não</v>
      </c>
    </row>
    <row r="117" customFormat="false" ht="15" hidden="false" customHeight="false" outlineLevel="0" collapsed="false">
      <c r="A117" s="12" t="s">
        <v>704</v>
      </c>
      <c r="B117" s="12" t="s">
        <v>705</v>
      </c>
      <c r="C117" s="12" t="s">
        <v>706</v>
      </c>
      <c r="D117" s="12" t="s">
        <v>175</v>
      </c>
      <c r="E117" s="12" t="s">
        <v>91</v>
      </c>
      <c r="F117" s="12" t="s">
        <v>92</v>
      </c>
      <c r="G117" s="13" t="n">
        <v>4354951</v>
      </c>
      <c r="H117" s="13" t="n">
        <v>90208287</v>
      </c>
      <c r="I117" s="13" t="n">
        <v>845555777</v>
      </c>
      <c r="J117" s="12" t="n">
        <v>4</v>
      </c>
      <c r="K117" s="13" t="n">
        <v>490447</v>
      </c>
      <c r="L117" s="12" t="n">
        <v>7.9</v>
      </c>
      <c r="M117" s="14" t="n">
        <f aca="false">IF(G117="","",PERCENTRANK($G$2:$G$354,G117))</f>
        <v>0.637</v>
      </c>
      <c r="N117" s="14" t="n">
        <f aca="false">IF(I117="","",PERCENTRANK($I$2:$I$354,I117))</f>
        <v>0.589</v>
      </c>
      <c r="O117" s="14" t="n">
        <f aca="false">IF(K117="","",PERCENTRANK($K$2:$K$354,K117))</f>
        <v>0.565</v>
      </c>
      <c r="P117" s="12" t="n">
        <f aca="false">COUNT(M117:O117)</f>
        <v>3</v>
      </c>
      <c r="Q117" s="12" t="s">
        <v>707</v>
      </c>
      <c r="W117" s="12" t="n">
        <f aca="false">COUNTA(Q117:V117)</f>
        <v>1</v>
      </c>
      <c r="X117" s="14" t="n">
        <f aca="false">IF(P117=0,"",MIN(1,AVERAGE(M117:O117)+Critérios!$B$5*W117))</f>
        <v>0.627</v>
      </c>
      <c r="Y117" s="12" t="str">
        <f aca="false">IF(X117="","",IF(X117&gt;=Critérios!$B$7,"A",IF(X117&gt;=Critérios!$B$8,"B","C")))</f>
        <v>B</v>
      </c>
      <c r="Z117" s="12" t="n">
        <f aca="false">IF(X117="","",RANK(X117,$X$2:$X$354))</f>
        <v>116</v>
      </c>
      <c r="AA117" s="12" t="str">
        <f aca="false">IF(X117="","Sairia — sem métrica",IF(PERCENTRANK($X$2:$X$354,X117)&lt;Critérios!$B$6,"Sairia — terço inferior","Fica"))</f>
        <v>Fica</v>
      </c>
      <c r="AB117" s="12" t="s">
        <v>94</v>
      </c>
      <c r="AD117" s="15" t="s">
        <v>95</v>
      </c>
      <c r="AE117" s="16"/>
      <c r="AF117" s="12" t="s">
        <v>382</v>
      </c>
      <c r="AG117" s="12" t="s">
        <v>708</v>
      </c>
      <c r="AH117" s="12" t="n">
        <f aca="false">COUNT(G117,I117,K117)+COUNTA(Q117:V117)</f>
        <v>4</v>
      </c>
      <c r="AI117" s="12" t="str">
        <f aca="false">IF(AH117&gt;=3,"Sim","Não")</f>
        <v>Sim</v>
      </c>
      <c r="AJ117" s="12" t="str">
        <f aca="false">IF(AND(Z117&lt;&gt;"",Z117&lt;=Critérios!$B$9),"Sim","Não")</f>
        <v>Não</v>
      </c>
    </row>
    <row r="118" customFormat="false" ht="15" hidden="false" customHeight="false" outlineLevel="0" collapsed="false">
      <c r="A118" s="12" t="s">
        <v>709</v>
      </c>
      <c r="B118" s="12" t="s">
        <v>710</v>
      </c>
      <c r="C118" s="12" t="s">
        <v>711</v>
      </c>
      <c r="D118" s="12" t="s">
        <v>158</v>
      </c>
      <c r="E118" s="12" t="s">
        <v>91</v>
      </c>
      <c r="F118" s="12" t="s">
        <v>92</v>
      </c>
      <c r="G118" s="13" t="n">
        <v>3102309</v>
      </c>
      <c r="H118" s="13" t="n">
        <v>44141564</v>
      </c>
      <c r="I118" s="13" t="n">
        <v>962201338</v>
      </c>
      <c r="J118" s="12" t="n">
        <v>2</v>
      </c>
      <c r="K118" s="13" t="n">
        <v>626970</v>
      </c>
      <c r="L118" s="12" t="n">
        <v>7.4</v>
      </c>
      <c r="M118" s="14" t="n">
        <f aca="false">IF(G118="","",PERCENTRANK($G$2:$G$354,G118))</f>
        <v>0.471</v>
      </c>
      <c r="N118" s="14" t="n">
        <f aca="false">IF(I118="","",PERCENTRANK($I$2:$I$354,I118))</f>
        <v>0.72</v>
      </c>
      <c r="O118" s="14" t="n">
        <f aca="false">IF(K118="","",PERCENTRANK($K$2:$K$354,K118))</f>
        <v>0.688</v>
      </c>
      <c r="P118" s="12" t="n">
        <f aca="false">COUNT(M118:O118)</f>
        <v>3</v>
      </c>
      <c r="W118" s="12" t="n">
        <f aca="false">COUNTA(Q118:V118)</f>
        <v>0</v>
      </c>
      <c r="X118" s="14" t="n">
        <f aca="false">IF(P118=0,"",MIN(1,AVERAGE(M118:O118)+Critérios!$B$5*W118))</f>
        <v>0.626333333333333</v>
      </c>
      <c r="Y118" s="12" t="str">
        <f aca="false">IF(X118="","",IF(X118&gt;=Critérios!$B$7,"A",IF(X118&gt;=Critérios!$B$8,"B","C")))</f>
        <v>B</v>
      </c>
      <c r="Z118" s="12" t="n">
        <f aca="false">IF(X118="","",RANK(X118,$X$2:$X$354))</f>
        <v>117</v>
      </c>
      <c r="AA118" s="12" t="str">
        <f aca="false">IF(X118="","Sairia — sem métrica",IF(PERCENTRANK($X$2:$X$354,X118)&lt;Critérios!$B$6,"Sairia — terço inferior","Fica"))</f>
        <v>Fica</v>
      </c>
      <c r="AB118" s="12" t="s">
        <v>105</v>
      </c>
      <c r="AD118" s="15" t="s">
        <v>95</v>
      </c>
      <c r="AE118" s="16"/>
      <c r="AF118" s="12" t="s">
        <v>578</v>
      </c>
      <c r="AG118" s="12" t="s">
        <v>712</v>
      </c>
      <c r="AH118" s="12" t="n">
        <f aca="false">COUNT(G118,I118,K118)+COUNTA(Q118:V118)</f>
        <v>3</v>
      </c>
      <c r="AI118" s="12" t="str">
        <f aca="false">IF(AH118&gt;=3,"Sim","Não")</f>
        <v>Sim</v>
      </c>
      <c r="AJ118" s="12" t="str">
        <f aca="false">IF(AND(Z118&lt;&gt;"",Z118&lt;=Critérios!$B$9),"Sim","Não")</f>
        <v>Não</v>
      </c>
    </row>
    <row r="119" customFormat="false" ht="15" hidden="false" customHeight="false" outlineLevel="0" collapsed="false">
      <c r="A119" s="12" t="s">
        <v>713</v>
      </c>
      <c r="B119" s="12" t="s">
        <v>714</v>
      </c>
      <c r="C119" s="12" t="s">
        <v>715</v>
      </c>
      <c r="D119" s="12" t="s">
        <v>101</v>
      </c>
      <c r="E119" s="12" t="s">
        <v>91</v>
      </c>
      <c r="F119" s="12" t="s">
        <v>92</v>
      </c>
      <c r="G119" s="13" t="n">
        <v>4024783</v>
      </c>
      <c r="H119" s="13" t="n">
        <v>69701010</v>
      </c>
      <c r="I119" s="17"/>
      <c r="K119" s="13" t="n">
        <v>438585</v>
      </c>
      <c r="L119" s="12" t="n">
        <v>6.2</v>
      </c>
      <c r="M119" s="14" t="n">
        <f aca="false">IF(G119="","",PERCENTRANK($G$2:$G$354,G119))</f>
        <v>0.572</v>
      </c>
      <c r="N119" s="14" t="str">
        <f aca="false">IF(I119="","",PERCENTRANK($I$2:$I$354,I119))</f>
        <v/>
      </c>
      <c r="O119" s="14" t="n">
        <f aca="false">IF(K119="","",PERCENTRANK($K$2:$K$354,K119))</f>
        <v>0.5</v>
      </c>
      <c r="P119" s="12" t="n">
        <f aca="false">COUNT(M119:O119)</f>
        <v>2</v>
      </c>
      <c r="Q119" s="12" t="s">
        <v>716</v>
      </c>
      <c r="S119" s="12" t="s">
        <v>717</v>
      </c>
      <c r="T119" s="12" t="s">
        <v>718</v>
      </c>
      <c r="W119" s="12" t="n">
        <f aca="false">COUNTA(Q119:V119)</f>
        <v>3</v>
      </c>
      <c r="X119" s="14" t="n">
        <f aca="false">IF(P119=0,"",MIN(1,AVERAGE(M119:O119)+Critérios!$B$5*W119))</f>
        <v>0.626</v>
      </c>
      <c r="Y119" s="12" t="str">
        <f aca="false">IF(X119="","",IF(X119&gt;=Critérios!$B$7,"A",IF(X119&gt;=Critérios!$B$8,"B","C")))</f>
        <v>B</v>
      </c>
      <c r="Z119" s="12" t="n">
        <f aca="false">IF(X119="","",RANK(X119,$X$2:$X$354))</f>
        <v>118</v>
      </c>
      <c r="AA119" s="12" t="str">
        <f aca="false">IF(X119="","Sairia — sem métrica",IF(PERCENTRANK($X$2:$X$354,X119)&lt;Critérios!$B$6,"Sairia — terço inferior","Fica"))</f>
        <v>Fica</v>
      </c>
      <c r="AB119" s="12" t="s">
        <v>94</v>
      </c>
      <c r="AC119" s="12" t="s">
        <v>719</v>
      </c>
      <c r="AD119" s="15" t="s">
        <v>95</v>
      </c>
      <c r="AE119" s="16"/>
      <c r="AF119" s="12" t="s">
        <v>720</v>
      </c>
      <c r="AG119" s="12" t="s">
        <v>721</v>
      </c>
      <c r="AH119" s="12" t="n">
        <f aca="false">COUNT(G119,I119,K119)+COUNTA(Q119:V119)</f>
        <v>5</v>
      </c>
      <c r="AI119" s="12" t="str">
        <f aca="false">IF(AH119&gt;=3,"Sim","Não")</f>
        <v>Sim</v>
      </c>
      <c r="AJ119" s="12" t="str">
        <f aca="false">IF(AND(Z119&lt;&gt;"",Z119&lt;=Critérios!$B$9),"Sim","Não")</f>
        <v>Não</v>
      </c>
    </row>
    <row r="120" customFormat="false" ht="15" hidden="false" customHeight="false" outlineLevel="0" collapsed="false">
      <c r="A120" s="12" t="s">
        <v>722</v>
      </c>
      <c r="B120" s="12" t="s">
        <v>723</v>
      </c>
      <c r="C120" s="12" t="s">
        <v>723</v>
      </c>
      <c r="D120" s="12" t="s">
        <v>251</v>
      </c>
      <c r="E120" s="12" t="s">
        <v>91</v>
      </c>
      <c r="F120" s="12" t="s">
        <v>92</v>
      </c>
      <c r="G120" s="13" t="n">
        <v>7820714</v>
      </c>
      <c r="H120" s="13" t="n">
        <v>156860037</v>
      </c>
      <c r="I120" s="13" t="n">
        <v>1059242164</v>
      </c>
      <c r="J120" s="12" t="n">
        <v>3</v>
      </c>
      <c r="K120" s="13" t="n">
        <v>130674</v>
      </c>
      <c r="L120" s="12" t="n">
        <v>6.3</v>
      </c>
      <c r="M120" s="14" t="n">
        <f aca="false">IF(G120="","",PERCENTRANK($G$2:$G$354,G120))</f>
        <v>0.889</v>
      </c>
      <c r="N120" s="14" t="n">
        <f aca="false">IF(I120="","",PERCENTRANK($I$2:$I$354,I120))</f>
        <v>0.801</v>
      </c>
      <c r="O120" s="14" t="n">
        <f aca="false">IF(K120="","",PERCENTRANK($K$2:$K$354,K120))</f>
        <v>0.0881</v>
      </c>
      <c r="P120" s="12" t="n">
        <f aca="false">COUNT(M120:O120)</f>
        <v>3</v>
      </c>
      <c r="S120" s="12" t="s">
        <v>724</v>
      </c>
      <c r="W120" s="12" t="n">
        <f aca="false">COUNTA(Q120:V120)</f>
        <v>1</v>
      </c>
      <c r="X120" s="14" t="n">
        <f aca="false">IF(P120=0,"",MIN(1,AVERAGE(M120:O120)+Critérios!$B$5*W120))</f>
        <v>0.6227</v>
      </c>
      <c r="Y120" s="12" t="str">
        <f aca="false">IF(X120="","",IF(X120&gt;=Critérios!$B$7,"A",IF(X120&gt;=Critérios!$B$8,"B","C")))</f>
        <v>B</v>
      </c>
      <c r="Z120" s="12" t="n">
        <f aca="false">IF(X120="","",RANK(X120,$X$2:$X$354))</f>
        <v>119</v>
      </c>
      <c r="AA120" s="12" t="str">
        <f aca="false">IF(X120="","Sairia — sem métrica",IF(PERCENTRANK($X$2:$X$354,X120)&lt;Critérios!$B$6,"Sairia — terço inferior","Fica"))</f>
        <v>Fica</v>
      </c>
      <c r="AB120" s="12" t="s">
        <v>105</v>
      </c>
      <c r="AD120" s="15" t="s">
        <v>95</v>
      </c>
      <c r="AE120" s="16"/>
      <c r="AF120" s="12" t="s">
        <v>253</v>
      </c>
      <c r="AG120" s="12" t="s">
        <v>725</v>
      </c>
      <c r="AH120" s="12" t="n">
        <f aca="false">COUNT(G120,I120,K120)+COUNTA(Q120:V120)</f>
        <v>4</v>
      </c>
      <c r="AI120" s="12" t="str">
        <f aca="false">IF(AH120&gt;=3,"Sim","Não")</f>
        <v>Sim</v>
      </c>
      <c r="AJ120" s="12" t="str">
        <f aca="false">IF(AND(Z120&lt;&gt;"",Z120&lt;=Critérios!$B$9),"Sim","Não")</f>
        <v>Não</v>
      </c>
    </row>
    <row r="121" customFormat="false" ht="15" hidden="false" customHeight="false" outlineLevel="0" collapsed="false">
      <c r="A121" s="12" t="s">
        <v>726</v>
      </c>
      <c r="B121" s="12" t="s">
        <v>727</v>
      </c>
      <c r="C121" s="12"/>
      <c r="D121" s="12" t="s">
        <v>214</v>
      </c>
      <c r="E121" s="12" t="s">
        <v>91</v>
      </c>
      <c r="F121" s="12" t="s">
        <v>92</v>
      </c>
      <c r="G121" s="13" t="n">
        <v>2581538</v>
      </c>
      <c r="H121" s="13" t="n">
        <v>28933349</v>
      </c>
      <c r="I121" s="17"/>
      <c r="K121" s="13" t="n">
        <v>987243</v>
      </c>
      <c r="L121" s="12" t="n">
        <v>7</v>
      </c>
      <c r="M121" s="14" t="n">
        <f aca="false">IF(G121="","",PERCENTRANK($G$2:$G$354,G121))</f>
        <v>0.359</v>
      </c>
      <c r="N121" s="14" t="str">
        <f aca="false">IF(I121="","",PERCENTRANK($I$2:$I$354,I121))</f>
        <v/>
      </c>
      <c r="O121" s="14" t="n">
        <f aca="false">IF(K121="","",PERCENTRANK($K$2:$K$354,K121))</f>
        <v>0.884</v>
      </c>
      <c r="P121" s="12" t="n">
        <f aca="false">COUNT(M121:O121)</f>
        <v>2</v>
      </c>
      <c r="W121" s="12" t="n">
        <f aca="false">COUNTA(Q121:V121)</f>
        <v>0</v>
      </c>
      <c r="X121" s="14" t="n">
        <f aca="false">IF(P121=0,"",MIN(1,AVERAGE(M121:O121)+Critérios!$B$5*W121))</f>
        <v>0.6215</v>
      </c>
      <c r="Y121" s="12" t="str">
        <f aca="false">IF(X121="","",IF(X121&gt;=Critérios!$B$7,"A",IF(X121&gt;=Critérios!$B$8,"B","C")))</f>
        <v>B</v>
      </c>
      <c r="Z121" s="12" t="n">
        <f aca="false">IF(X121="","",RANK(X121,$X$2:$X$354))</f>
        <v>120</v>
      </c>
      <c r="AA121" s="12" t="str">
        <f aca="false">IF(X121="","Sairia — sem métrica",IF(PERCENTRANK($X$2:$X$354,X121)&lt;Critérios!$B$6,"Sairia — terço inferior","Fica"))</f>
        <v>Fica</v>
      </c>
      <c r="AB121" s="12" t="s">
        <v>105</v>
      </c>
      <c r="AC121" s="12" t="s">
        <v>130</v>
      </c>
      <c r="AD121" s="15" t="s">
        <v>95</v>
      </c>
      <c r="AE121" s="16"/>
      <c r="AF121" s="12" t="s">
        <v>626</v>
      </c>
      <c r="AG121" s="12" t="s">
        <v>728</v>
      </c>
      <c r="AH121" s="12" t="n">
        <f aca="false">COUNT(G121,I121,K121)+COUNTA(Q121:V121)</f>
        <v>2</v>
      </c>
      <c r="AI121" s="12" t="str">
        <f aca="false">IF(AH121&gt;=3,"Sim","Não")</f>
        <v>Não</v>
      </c>
      <c r="AJ121" s="12" t="str">
        <f aca="false">IF(AND(Z121&lt;&gt;"",Z121&lt;=Critérios!$B$9),"Sim","Não")</f>
        <v>Não</v>
      </c>
    </row>
    <row r="122" customFormat="false" ht="15" hidden="false" customHeight="false" outlineLevel="0" collapsed="false">
      <c r="A122" s="12" t="s">
        <v>729</v>
      </c>
      <c r="B122" s="12" t="s">
        <v>730</v>
      </c>
      <c r="C122" s="12" t="s">
        <v>731</v>
      </c>
      <c r="D122" s="12" t="s">
        <v>214</v>
      </c>
      <c r="E122" s="12" t="s">
        <v>91</v>
      </c>
      <c r="F122" s="12" t="s">
        <v>92</v>
      </c>
      <c r="G122" s="13" t="n">
        <v>3134578</v>
      </c>
      <c r="H122" s="13" t="n">
        <v>35796388</v>
      </c>
      <c r="I122" s="13" t="n">
        <v>1123794079</v>
      </c>
      <c r="J122" s="12" t="n">
        <v>2</v>
      </c>
      <c r="K122" s="13" t="n">
        <v>461353</v>
      </c>
      <c r="L122" s="12" t="n">
        <v>6.2</v>
      </c>
      <c r="M122" s="14" t="n">
        <f aca="false">IF(G122="","",PERCENTRANK($G$2:$G$354,G122))</f>
        <v>0.477</v>
      </c>
      <c r="N122" s="14" t="n">
        <f aca="false">IF(I122="","",PERCENTRANK($I$2:$I$354,I122))</f>
        <v>0.843</v>
      </c>
      <c r="O122" s="14" t="n">
        <f aca="false">IF(K122="","",PERCENTRANK($K$2:$K$354,K122))</f>
        <v>0.531</v>
      </c>
      <c r="P122" s="12" t="n">
        <f aca="false">COUNT(M122:O122)</f>
        <v>3</v>
      </c>
      <c r="W122" s="12" t="n">
        <f aca="false">COUNTA(Q122:V122)</f>
        <v>0</v>
      </c>
      <c r="X122" s="14" t="n">
        <f aca="false">IF(P122=0,"",MIN(1,AVERAGE(M122:O122)+Critérios!$B$5*W122))</f>
        <v>0.617</v>
      </c>
      <c r="Y122" s="12" t="str">
        <f aca="false">IF(X122="","",IF(X122&gt;=Critérios!$B$7,"A",IF(X122&gt;=Critérios!$B$8,"B","C")))</f>
        <v>B</v>
      </c>
      <c r="Z122" s="12" t="n">
        <f aca="false">IF(X122="","",RANK(X122,$X$2:$X$354))</f>
        <v>121</v>
      </c>
      <c r="AA122" s="12" t="str">
        <f aca="false">IF(X122="","Sairia — sem métrica",IF(PERCENTRANK($X$2:$X$354,X122)&lt;Critérios!$B$6,"Sairia — terço inferior","Fica"))</f>
        <v>Fica</v>
      </c>
      <c r="AB122" s="12" t="s">
        <v>94</v>
      </c>
      <c r="AD122" s="15" t="s">
        <v>95</v>
      </c>
      <c r="AE122" s="16"/>
      <c r="AF122" s="12" t="s">
        <v>215</v>
      </c>
      <c r="AG122" s="12" t="s">
        <v>732</v>
      </c>
      <c r="AH122" s="12" t="n">
        <f aca="false">COUNT(G122,I122,K122)+COUNTA(Q122:V122)</f>
        <v>3</v>
      </c>
      <c r="AI122" s="12" t="str">
        <f aca="false">IF(AH122&gt;=3,"Sim","Não")</f>
        <v>Sim</v>
      </c>
      <c r="AJ122" s="12" t="str">
        <f aca="false">IF(AND(Z122&lt;&gt;"",Z122&lt;=Critérios!$B$9),"Sim","Não")</f>
        <v>Não</v>
      </c>
    </row>
    <row r="123" customFormat="false" ht="15" hidden="false" customHeight="false" outlineLevel="0" collapsed="false">
      <c r="A123" s="12" t="s">
        <v>733</v>
      </c>
      <c r="B123" s="12" t="s">
        <v>734</v>
      </c>
      <c r="C123" s="12" t="s">
        <v>735</v>
      </c>
      <c r="D123" s="12" t="s">
        <v>202</v>
      </c>
      <c r="E123" s="12" t="s">
        <v>91</v>
      </c>
      <c r="F123" s="12" t="s">
        <v>92</v>
      </c>
      <c r="G123" s="13" t="n">
        <v>4823275</v>
      </c>
      <c r="H123" s="13" t="n">
        <v>61569435</v>
      </c>
      <c r="I123" s="13" t="n">
        <v>644783140</v>
      </c>
      <c r="J123" s="12" t="n">
        <v>10</v>
      </c>
      <c r="K123" s="13" t="n">
        <v>795009</v>
      </c>
      <c r="L123" s="12" t="n">
        <v>6.7</v>
      </c>
      <c r="M123" s="14" t="n">
        <f aca="false">IF(G123="","",PERCENTRANK($G$2:$G$354,G123))</f>
        <v>0.719</v>
      </c>
      <c r="N123" s="14" t="n">
        <f aca="false">IF(I123="","",PERCENTRANK($I$2:$I$354,I123))</f>
        <v>0.339</v>
      </c>
      <c r="O123" s="14" t="n">
        <f aca="false">IF(K123="","",PERCENTRANK($K$2:$K$354,K123))</f>
        <v>0.793</v>
      </c>
      <c r="P123" s="12" t="n">
        <f aca="false">COUNT(M123:O123)</f>
        <v>3</v>
      </c>
      <c r="W123" s="12" t="n">
        <f aca="false">COUNTA(Q123:V123)</f>
        <v>0</v>
      </c>
      <c r="X123" s="14" t="n">
        <f aca="false">IF(P123=0,"",MIN(1,AVERAGE(M123:O123)+Critérios!$B$5*W123))</f>
        <v>0.617</v>
      </c>
      <c r="Y123" s="12" t="str">
        <f aca="false">IF(X123="","",IF(X123&gt;=Critérios!$B$7,"A",IF(X123&gt;=Critérios!$B$8,"B","C")))</f>
        <v>B</v>
      </c>
      <c r="Z123" s="12" t="n">
        <f aca="false">IF(X123="","",RANK(X123,$X$2:$X$354))</f>
        <v>121</v>
      </c>
      <c r="AA123" s="12" t="str">
        <f aca="false">IF(X123="","Sairia — sem métrica",IF(PERCENTRANK($X$2:$X$354,X123)&lt;Critérios!$B$6,"Sairia — terço inferior","Fica"))</f>
        <v>Fica</v>
      </c>
      <c r="AB123" s="12" t="s">
        <v>105</v>
      </c>
      <c r="AD123" s="15" t="s">
        <v>95</v>
      </c>
      <c r="AE123" s="16"/>
      <c r="AF123" s="12" t="s">
        <v>203</v>
      </c>
      <c r="AG123" s="12" t="s">
        <v>736</v>
      </c>
      <c r="AH123" s="12" t="n">
        <f aca="false">COUNT(G123,I123,K123)+COUNTA(Q123:V123)</f>
        <v>3</v>
      </c>
      <c r="AI123" s="12" t="str">
        <f aca="false">IF(AH123&gt;=3,"Sim","Não")</f>
        <v>Sim</v>
      </c>
      <c r="AJ123" s="12" t="str">
        <f aca="false">IF(AND(Z123&lt;&gt;"",Z123&lt;=Critérios!$B$9),"Sim","Não")</f>
        <v>Não</v>
      </c>
    </row>
    <row r="124" customFormat="false" ht="15" hidden="false" customHeight="false" outlineLevel="0" collapsed="false">
      <c r="A124" s="12" t="s">
        <v>737</v>
      </c>
      <c r="B124" s="12" t="s">
        <v>738</v>
      </c>
      <c r="C124" s="12" t="s">
        <v>739</v>
      </c>
      <c r="D124" s="12" t="s">
        <v>140</v>
      </c>
      <c r="E124" s="12" t="s">
        <v>91</v>
      </c>
      <c r="F124" s="12" t="s">
        <v>92</v>
      </c>
      <c r="G124" s="13" t="n">
        <v>9596296</v>
      </c>
      <c r="H124" s="13" t="n">
        <v>100816444</v>
      </c>
      <c r="I124" s="13" t="n">
        <v>829746820</v>
      </c>
      <c r="J124" s="12" t="n">
        <v>6</v>
      </c>
      <c r="K124" s="13" t="n">
        <v>286796</v>
      </c>
      <c r="L124" s="12" t="n">
        <v>5.6</v>
      </c>
      <c r="M124" s="14" t="n">
        <f aca="false">IF(G124="","",PERCENTRANK($G$2:$G$354,G124))</f>
        <v>0.951</v>
      </c>
      <c r="N124" s="14" t="n">
        <f aca="false">IF(I124="","",PERCENTRANK($I$2:$I$354,I124))</f>
        <v>0.581</v>
      </c>
      <c r="O124" s="14" t="n">
        <f aca="false">IF(K124="","",PERCENTRANK($K$2:$K$354,K124))</f>
        <v>0.318</v>
      </c>
      <c r="P124" s="12" t="n">
        <f aca="false">COUNT(M124:O124)</f>
        <v>3</v>
      </c>
      <c r="W124" s="12" t="n">
        <f aca="false">COUNTA(Q124:V124)</f>
        <v>0</v>
      </c>
      <c r="X124" s="14" t="n">
        <f aca="false">IF(P124=0,"",MIN(1,AVERAGE(M124:O124)+Critérios!$B$5*W124))</f>
        <v>0.616666666666667</v>
      </c>
      <c r="Y124" s="12" t="str">
        <f aca="false">IF(X124="","",IF(X124&gt;=Critérios!$B$7,"A",IF(X124&gt;=Critérios!$B$8,"B","C")))</f>
        <v>B</v>
      </c>
      <c r="Z124" s="12" t="n">
        <f aca="false">IF(X124="","",RANK(X124,$X$2:$X$354))</f>
        <v>123</v>
      </c>
      <c r="AA124" s="12" t="str">
        <f aca="false">IF(X124="","Sairia — sem métrica",IF(PERCENTRANK($X$2:$X$354,X124)&lt;Critérios!$B$6,"Sairia — terço inferior","Fica"))</f>
        <v>Fica</v>
      </c>
      <c r="AB124" s="12" t="s">
        <v>105</v>
      </c>
      <c r="AD124" s="15" t="s">
        <v>95</v>
      </c>
      <c r="AE124" s="16"/>
      <c r="AF124" s="12" t="s">
        <v>141</v>
      </c>
      <c r="AG124" s="12" t="s">
        <v>740</v>
      </c>
      <c r="AH124" s="12" t="n">
        <f aca="false">COUNT(G124,I124,K124)+COUNTA(Q124:V124)</f>
        <v>3</v>
      </c>
      <c r="AI124" s="12" t="str">
        <f aca="false">IF(AH124&gt;=3,"Sim","Não")</f>
        <v>Sim</v>
      </c>
      <c r="AJ124" s="12" t="str">
        <f aca="false">IF(AND(Z124&lt;&gt;"",Z124&lt;=Critérios!$B$9),"Sim","Não")</f>
        <v>Não</v>
      </c>
    </row>
    <row r="125" customFormat="false" ht="15" hidden="false" customHeight="false" outlineLevel="0" collapsed="false">
      <c r="A125" s="12" t="s">
        <v>741</v>
      </c>
      <c r="B125" s="12" t="s">
        <v>742</v>
      </c>
      <c r="C125" s="12" t="s">
        <v>743</v>
      </c>
      <c r="D125" s="12" t="s">
        <v>152</v>
      </c>
      <c r="E125" s="12" t="s">
        <v>91</v>
      </c>
      <c r="F125" s="12" t="s">
        <v>92</v>
      </c>
      <c r="G125" s="13" t="n">
        <v>3355659</v>
      </c>
      <c r="H125" s="13" t="n">
        <v>21534701</v>
      </c>
      <c r="I125" s="13" t="n">
        <v>808481128</v>
      </c>
      <c r="J125" s="12" t="n">
        <v>2</v>
      </c>
      <c r="K125" s="13" t="n">
        <v>781267</v>
      </c>
      <c r="L125" s="12" t="n">
        <v>8</v>
      </c>
      <c r="M125" s="14" t="n">
        <f aca="false">IF(G125="","",PERCENTRANK($G$2:$G$354,G125))</f>
        <v>0.507</v>
      </c>
      <c r="N125" s="14" t="n">
        <f aca="false">IF(I125="","",PERCENTRANK($I$2:$I$354,I125))</f>
        <v>0.555</v>
      </c>
      <c r="O125" s="14" t="n">
        <f aca="false">IF(K125="","",PERCENTRANK($K$2:$K$354,K125))</f>
        <v>0.778</v>
      </c>
      <c r="P125" s="12" t="n">
        <f aca="false">COUNT(M125:O125)</f>
        <v>3</v>
      </c>
      <c r="W125" s="12" t="n">
        <f aca="false">COUNTA(Q125:V125)</f>
        <v>0</v>
      </c>
      <c r="X125" s="14" t="n">
        <f aca="false">IF(P125=0,"",MIN(1,AVERAGE(M125:O125)+Critérios!$B$5*W125))</f>
        <v>0.613333333333333</v>
      </c>
      <c r="Y125" s="12" t="str">
        <f aca="false">IF(X125="","",IF(X125&gt;=Critérios!$B$7,"A",IF(X125&gt;=Critérios!$B$8,"B","C")))</f>
        <v>B</v>
      </c>
      <c r="Z125" s="12" t="n">
        <f aca="false">IF(X125="","",RANK(X125,$X$2:$X$354))</f>
        <v>124</v>
      </c>
      <c r="AA125" s="12" t="str">
        <f aca="false">IF(X125="","Sairia — sem métrica",IF(PERCENTRANK($X$2:$X$354,X125)&lt;Critérios!$B$6,"Sairia — terço inferior","Fica"))</f>
        <v>Fica</v>
      </c>
      <c r="AB125" s="12" t="s">
        <v>105</v>
      </c>
      <c r="AD125" s="15" t="s">
        <v>95</v>
      </c>
      <c r="AE125" s="16"/>
      <c r="AF125" s="12" t="s">
        <v>429</v>
      </c>
      <c r="AG125" s="12" t="s">
        <v>744</v>
      </c>
      <c r="AH125" s="12" t="n">
        <f aca="false">COUNT(G125,I125,K125)+COUNTA(Q125:V125)</f>
        <v>3</v>
      </c>
      <c r="AI125" s="12" t="str">
        <f aca="false">IF(AH125&gt;=3,"Sim","Não")</f>
        <v>Sim</v>
      </c>
      <c r="AJ125" s="12" t="str">
        <f aca="false">IF(AND(Z125&lt;&gt;"",Z125&lt;=Critérios!$B$9),"Sim","Não")</f>
        <v>Não</v>
      </c>
    </row>
    <row r="126" customFormat="false" ht="15" hidden="false" customHeight="false" outlineLevel="0" collapsed="false">
      <c r="A126" s="12" t="s">
        <v>745</v>
      </c>
      <c r="B126" s="12" t="s">
        <v>746</v>
      </c>
      <c r="C126" s="12" t="s">
        <v>747</v>
      </c>
      <c r="D126" s="12" t="s">
        <v>183</v>
      </c>
      <c r="E126" s="12" t="s">
        <v>91</v>
      </c>
      <c r="F126" s="12" t="s">
        <v>92</v>
      </c>
      <c r="G126" s="17"/>
      <c r="H126" s="17"/>
      <c r="I126" s="13" t="n">
        <v>630161890</v>
      </c>
      <c r="J126" s="12" t="n">
        <v>10</v>
      </c>
      <c r="K126" s="13" t="n">
        <v>1033335</v>
      </c>
      <c r="L126" s="12" t="n">
        <v>8</v>
      </c>
      <c r="M126" s="14" t="str">
        <f aca="false">IF(G126="","",PERCENTRANK($G$2:$G$354,G126))</f>
        <v/>
      </c>
      <c r="N126" s="14" t="n">
        <f aca="false">IF(I126="","",PERCENTRANK($I$2:$I$354,I126))</f>
        <v>0.314</v>
      </c>
      <c r="O126" s="14" t="n">
        <f aca="false">IF(K126="","",PERCENTRANK($K$2:$K$354,K126))</f>
        <v>0.903</v>
      </c>
      <c r="P126" s="12" t="n">
        <f aca="false">COUNT(M126:O126)</f>
        <v>2</v>
      </c>
      <c r="W126" s="12" t="n">
        <f aca="false">COUNTA(Q126:V126)</f>
        <v>0</v>
      </c>
      <c r="X126" s="14" t="n">
        <f aca="false">IF(P126=0,"",MIN(1,AVERAGE(M126:O126)+Critérios!$B$5*W126))</f>
        <v>0.6085</v>
      </c>
      <c r="Y126" s="12" t="str">
        <f aca="false">IF(X126="","",IF(X126&gt;=Critérios!$B$7,"A",IF(X126&gt;=Critérios!$B$8,"B","C")))</f>
        <v>B</v>
      </c>
      <c r="Z126" s="12" t="n">
        <f aca="false">IF(X126="","",RANK(X126,$X$2:$X$354))</f>
        <v>125</v>
      </c>
      <c r="AA126" s="12" t="str">
        <f aca="false">IF(X126="","Sairia — sem métrica",IF(PERCENTRANK($X$2:$X$354,X126)&lt;Critérios!$B$6,"Sairia — terço inferior","Fica"))</f>
        <v>Fica</v>
      </c>
      <c r="AB126" s="12" t="s">
        <v>105</v>
      </c>
      <c r="AC126" s="12" t="s">
        <v>130</v>
      </c>
      <c r="AD126" s="15" t="s">
        <v>95</v>
      </c>
      <c r="AE126" s="16"/>
      <c r="AF126" s="12" t="s">
        <v>748</v>
      </c>
      <c r="AG126" s="12" t="s">
        <v>749</v>
      </c>
      <c r="AH126" s="12" t="n">
        <f aca="false">COUNT(G126,I126,K126)+COUNTA(Q126:V126)</f>
        <v>2</v>
      </c>
      <c r="AI126" s="12" t="str">
        <f aca="false">IF(AH126&gt;=3,"Sim","Não")</f>
        <v>Não</v>
      </c>
      <c r="AJ126" s="12" t="str">
        <f aca="false">IF(AND(Z126&lt;&gt;"",Z126&lt;=Critérios!$B$9),"Sim","Não")</f>
        <v>Não</v>
      </c>
    </row>
    <row r="127" customFormat="false" ht="15" hidden="false" customHeight="false" outlineLevel="0" collapsed="false">
      <c r="A127" s="12" t="s">
        <v>750</v>
      </c>
      <c r="B127" s="12" t="s">
        <v>751</v>
      </c>
      <c r="C127" s="12" t="s">
        <v>752</v>
      </c>
      <c r="D127" s="12" t="s">
        <v>111</v>
      </c>
      <c r="E127" s="12" t="s">
        <v>91</v>
      </c>
      <c r="F127" s="12" t="s">
        <v>169</v>
      </c>
      <c r="G127" s="17"/>
      <c r="H127" s="17"/>
      <c r="I127" s="17"/>
      <c r="K127" s="13" t="n">
        <v>472777</v>
      </c>
      <c r="L127" s="12" t="n">
        <v>7.3</v>
      </c>
      <c r="M127" s="14" t="str">
        <f aca="false">IF(G127="","",PERCENTRANK($G$2:$G$354,G127))</f>
        <v/>
      </c>
      <c r="N127" s="14" t="str">
        <f aca="false">IF(I127="","",PERCENTRANK($I$2:$I$354,I127))</f>
        <v/>
      </c>
      <c r="O127" s="14" t="n">
        <f aca="false">IF(K127="","",PERCENTRANK($K$2:$K$354,K127))</f>
        <v>0.548</v>
      </c>
      <c r="P127" s="12" t="n">
        <f aca="false">COUNT(M127:O127)</f>
        <v>1</v>
      </c>
      <c r="Q127" s="12" t="s">
        <v>753</v>
      </c>
      <c r="R127" s="12" t="s">
        <v>754</v>
      </c>
      <c r="W127" s="12" t="n">
        <f aca="false">COUNTA(Q127:V127)</f>
        <v>2</v>
      </c>
      <c r="X127" s="14" t="n">
        <f aca="false">IF(P127=0,"",MIN(1,AVERAGE(M127:O127)+Critérios!$B$5*W127))</f>
        <v>0.608</v>
      </c>
      <c r="Y127" s="12" t="str">
        <f aca="false">IF(X127="","",IF(X127&gt;=Critérios!$B$7,"A",IF(X127&gt;=Critérios!$B$8,"B","C")))</f>
        <v>B</v>
      </c>
      <c r="Z127" s="12" t="n">
        <f aca="false">IF(X127="","",RANK(X127,$X$2:$X$354))</f>
        <v>126</v>
      </c>
      <c r="AA127" s="12" t="str">
        <f aca="false">IF(X127="","Sairia — sem métrica",IF(PERCENTRANK($X$2:$X$354,X127)&lt;Critérios!$B$6,"Sairia — terço inferior","Fica"))</f>
        <v>Fica</v>
      </c>
      <c r="AB127" s="12" t="s">
        <v>105</v>
      </c>
      <c r="AD127" s="15" t="s">
        <v>95</v>
      </c>
      <c r="AE127" s="16"/>
      <c r="AG127" s="12" t="s">
        <v>755</v>
      </c>
      <c r="AH127" s="12" t="n">
        <f aca="false">COUNT(G127,I127,K127)+COUNTA(Q127:V127)</f>
        <v>3</v>
      </c>
      <c r="AI127" s="12" t="str">
        <f aca="false">IF(AH127&gt;=3,"Sim","Não")</f>
        <v>Sim</v>
      </c>
      <c r="AJ127" s="12" t="str">
        <f aca="false">IF(AND(Z127&lt;&gt;"",Z127&lt;=Critérios!$B$9),"Sim","Não")</f>
        <v>Não</v>
      </c>
    </row>
    <row r="128" customFormat="false" ht="15" hidden="false" customHeight="false" outlineLevel="0" collapsed="false">
      <c r="A128" s="12" t="s">
        <v>756</v>
      </c>
      <c r="B128" s="12" t="s">
        <v>757</v>
      </c>
      <c r="C128" s="12" t="s">
        <v>758</v>
      </c>
      <c r="D128" s="12" t="s">
        <v>140</v>
      </c>
      <c r="E128" s="12" t="s">
        <v>91</v>
      </c>
      <c r="F128" s="12" t="s">
        <v>92</v>
      </c>
      <c r="G128" s="13" t="n">
        <v>8729837</v>
      </c>
      <c r="H128" s="13" t="n">
        <v>94711098</v>
      </c>
      <c r="I128" s="13" t="n">
        <v>877244782</v>
      </c>
      <c r="J128" s="12" t="n">
        <v>5</v>
      </c>
      <c r="K128" s="13" t="n">
        <v>247162</v>
      </c>
      <c r="L128" s="12" t="n">
        <v>6.5</v>
      </c>
      <c r="M128" s="14" t="n">
        <f aca="false">IF(G128="","",PERCENTRANK($G$2:$G$354,G128))</f>
        <v>0.931</v>
      </c>
      <c r="N128" s="14" t="n">
        <f aca="false">IF(I128="","",PERCENTRANK($I$2:$I$354,I128))</f>
        <v>0.64</v>
      </c>
      <c r="O128" s="14" t="n">
        <f aca="false">IF(K128="","",PERCENTRANK($K$2:$K$354,K128))</f>
        <v>0.253</v>
      </c>
      <c r="P128" s="12" t="n">
        <f aca="false">COUNT(M128:O128)</f>
        <v>3</v>
      </c>
      <c r="W128" s="12" t="n">
        <f aca="false">COUNTA(Q128:V128)</f>
        <v>0</v>
      </c>
      <c r="X128" s="14" t="n">
        <f aca="false">IF(P128=0,"",MIN(1,AVERAGE(M128:O128)+Critérios!$B$5*W128))</f>
        <v>0.608</v>
      </c>
      <c r="Y128" s="12" t="str">
        <f aca="false">IF(X128="","",IF(X128&gt;=Critérios!$B$7,"A",IF(X128&gt;=Critérios!$B$8,"B","C")))</f>
        <v>B</v>
      </c>
      <c r="Z128" s="12" t="n">
        <f aca="false">IF(X128="","",RANK(X128,$X$2:$X$354))</f>
        <v>127</v>
      </c>
      <c r="AA128" s="12" t="str">
        <f aca="false">IF(X128="","Sairia — sem métrica",IF(PERCENTRANK($X$2:$X$354,X128)&lt;Critérios!$B$6,"Sairia — terço inferior","Fica"))</f>
        <v>Fica</v>
      </c>
      <c r="AB128" s="12" t="s">
        <v>94</v>
      </c>
      <c r="AD128" s="15" t="s">
        <v>95</v>
      </c>
      <c r="AE128" s="16"/>
      <c r="AF128" s="12" t="s">
        <v>141</v>
      </c>
      <c r="AG128" s="12" t="s">
        <v>759</v>
      </c>
      <c r="AH128" s="12" t="n">
        <f aca="false">COUNT(G128,I128,K128)+COUNTA(Q128:V128)</f>
        <v>3</v>
      </c>
      <c r="AI128" s="12" t="str">
        <f aca="false">IF(AH128&gt;=3,"Sim","Não")</f>
        <v>Sim</v>
      </c>
      <c r="AJ128" s="12" t="str">
        <f aca="false">IF(AND(Z128&lt;&gt;"",Z128&lt;=Critérios!$B$9),"Sim","Não")</f>
        <v>Não</v>
      </c>
    </row>
    <row r="129" customFormat="false" ht="15" hidden="false" customHeight="false" outlineLevel="0" collapsed="false">
      <c r="A129" s="12" t="s">
        <v>760</v>
      </c>
      <c r="B129" s="12" t="s">
        <v>761</v>
      </c>
      <c r="C129" s="12" t="s">
        <v>762</v>
      </c>
      <c r="D129" s="12" t="s">
        <v>158</v>
      </c>
      <c r="E129" s="12" t="s">
        <v>91</v>
      </c>
      <c r="F129" s="12" t="s">
        <v>92</v>
      </c>
      <c r="G129" s="13" t="n">
        <v>4755582</v>
      </c>
      <c r="H129" s="13" t="n">
        <v>55898172</v>
      </c>
      <c r="I129" s="13" t="n">
        <v>755356711</v>
      </c>
      <c r="J129" s="12" t="n">
        <v>5</v>
      </c>
      <c r="K129" s="13" t="n">
        <v>555547</v>
      </c>
      <c r="L129" s="12" t="n">
        <v>6.6</v>
      </c>
      <c r="M129" s="14" t="n">
        <f aca="false">IF(G129="","",PERCENTRANK($G$2:$G$354,G129))</f>
        <v>0.706</v>
      </c>
      <c r="N129" s="14" t="n">
        <f aca="false">IF(I129="","",PERCENTRANK($I$2:$I$354,I129))</f>
        <v>0.483</v>
      </c>
      <c r="O129" s="14" t="n">
        <f aca="false">IF(K129="","",PERCENTRANK($K$2:$K$354,K129))</f>
        <v>0.634</v>
      </c>
      <c r="P129" s="12" t="n">
        <f aca="false">COUNT(M129:O129)</f>
        <v>3</v>
      </c>
      <c r="W129" s="12" t="n">
        <f aca="false">COUNTA(Q129:V129)</f>
        <v>0</v>
      </c>
      <c r="X129" s="14" t="n">
        <f aca="false">IF(P129=0,"",MIN(1,AVERAGE(M129:O129)+Critérios!$B$5*W129))</f>
        <v>0.607666666666667</v>
      </c>
      <c r="Y129" s="12" t="str">
        <f aca="false">IF(X129="","",IF(X129&gt;=Critérios!$B$7,"A",IF(X129&gt;=Critérios!$B$8,"B","C")))</f>
        <v>B</v>
      </c>
      <c r="Z129" s="12" t="n">
        <f aca="false">IF(X129="","",RANK(X129,$X$2:$X$354))</f>
        <v>128</v>
      </c>
      <c r="AA129" s="12" t="str">
        <f aca="false">IF(X129="","Sairia — sem métrica",IF(PERCENTRANK($X$2:$X$354,X129)&lt;Critérios!$B$6,"Sairia — terço inferior","Fica"))</f>
        <v>Fica</v>
      </c>
      <c r="AB129" s="12" t="s">
        <v>105</v>
      </c>
      <c r="AD129" s="15" t="s">
        <v>95</v>
      </c>
      <c r="AE129" s="16"/>
      <c r="AF129" s="12" t="s">
        <v>578</v>
      </c>
      <c r="AG129" s="12" t="s">
        <v>763</v>
      </c>
      <c r="AH129" s="12" t="n">
        <f aca="false">COUNT(G129,I129,K129)+COUNTA(Q129:V129)</f>
        <v>3</v>
      </c>
      <c r="AI129" s="12" t="str">
        <f aca="false">IF(AH129&gt;=3,"Sim","Não")</f>
        <v>Sim</v>
      </c>
      <c r="AJ129" s="12" t="str">
        <f aca="false">IF(AND(Z129&lt;&gt;"",Z129&lt;=Critérios!$B$9),"Sim","Não")</f>
        <v>Não</v>
      </c>
    </row>
    <row r="130" customFormat="false" ht="15" hidden="false" customHeight="false" outlineLevel="0" collapsed="false">
      <c r="A130" s="12" t="s">
        <v>764</v>
      </c>
      <c r="B130" s="12" t="s">
        <v>765</v>
      </c>
      <c r="C130" s="12" t="s">
        <v>766</v>
      </c>
      <c r="D130" s="12" t="s">
        <v>90</v>
      </c>
      <c r="E130" s="12" t="s">
        <v>91</v>
      </c>
      <c r="F130" s="12" t="s">
        <v>169</v>
      </c>
      <c r="G130" s="17"/>
      <c r="H130" s="17"/>
      <c r="I130" s="17"/>
      <c r="K130" s="13" t="n">
        <v>470278</v>
      </c>
      <c r="L130" s="12" t="n">
        <v>7.8</v>
      </c>
      <c r="M130" s="14" t="str">
        <f aca="false">IF(G130="","",PERCENTRANK($G$2:$G$354,G130))</f>
        <v/>
      </c>
      <c r="N130" s="14" t="str">
        <f aca="false">IF(I130="","",PERCENTRANK($I$2:$I$354,I130))</f>
        <v/>
      </c>
      <c r="O130" s="14" t="n">
        <f aca="false">IF(K130="","",PERCENTRANK($K$2:$K$354,K130))</f>
        <v>0.545</v>
      </c>
      <c r="P130" s="12" t="n">
        <f aca="false">COUNT(M130:O130)</f>
        <v>1</v>
      </c>
      <c r="Q130" s="12" t="s">
        <v>767</v>
      </c>
      <c r="R130" s="12" t="s">
        <v>768</v>
      </c>
      <c r="W130" s="12" t="n">
        <f aca="false">COUNTA(Q130:V130)</f>
        <v>2</v>
      </c>
      <c r="X130" s="14" t="n">
        <f aca="false">IF(P130=0,"",MIN(1,AVERAGE(M130:O130)+Critérios!$B$5*W130))</f>
        <v>0.605</v>
      </c>
      <c r="Y130" s="12" t="str">
        <f aca="false">IF(X130="","",IF(X130&gt;=Critérios!$B$7,"A",IF(X130&gt;=Critérios!$B$8,"B","C")))</f>
        <v>B</v>
      </c>
      <c r="Z130" s="12" t="n">
        <f aca="false">IF(X130="","",RANK(X130,$X$2:$X$354))</f>
        <v>129</v>
      </c>
      <c r="AA130" s="12" t="str">
        <f aca="false">IF(X130="","Sairia — sem métrica",IF(PERCENTRANK($X$2:$X$354,X130)&lt;Critérios!$B$6,"Sairia — terço inferior","Fica"))</f>
        <v>Fica</v>
      </c>
      <c r="AB130" s="12" t="s">
        <v>105</v>
      </c>
      <c r="AD130" s="15" t="s">
        <v>95</v>
      </c>
      <c r="AE130" s="16"/>
      <c r="AG130" s="12" t="s">
        <v>769</v>
      </c>
      <c r="AH130" s="12" t="n">
        <f aca="false">COUNT(G130,I130,K130)+COUNTA(Q130:V130)</f>
        <v>3</v>
      </c>
      <c r="AI130" s="12" t="str">
        <f aca="false">IF(AH130&gt;=3,"Sim","Não")</f>
        <v>Sim</v>
      </c>
      <c r="AJ130" s="12" t="str">
        <f aca="false">IF(AND(Z130&lt;&gt;"",Z130&lt;=Critérios!$B$9),"Sim","Não")</f>
        <v>Não</v>
      </c>
    </row>
    <row r="131" customFormat="false" ht="15" hidden="false" customHeight="false" outlineLevel="0" collapsed="false">
      <c r="A131" s="12" t="s">
        <v>770</v>
      </c>
      <c r="B131" s="12" t="s">
        <v>771</v>
      </c>
      <c r="C131" s="12" t="s">
        <v>772</v>
      </c>
      <c r="D131" s="12" t="s">
        <v>202</v>
      </c>
      <c r="E131" s="12" t="s">
        <v>91</v>
      </c>
      <c r="F131" s="12" t="s">
        <v>92</v>
      </c>
      <c r="G131" s="13" t="n">
        <v>2551127</v>
      </c>
      <c r="H131" s="13" t="n">
        <v>35038907</v>
      </c>
      <c r="I131" s="13" t="n">
        <v>958366855</v>
      </c>
      <c r="J131" s="12" t="n">
        <v>4</v>
      </c>
      <c r="K131" s="13" t="n">
        <v>763083</v>
      </c>
      <c r="L131" s="12" t="n">
        <v>7.8</v>
      </c>
      <c r="M131" s="14" t="n">
        <f aca="false">IF(G131="","",PERCENTRANK($G$2:$G$354,G131))</f>
        <v>0.35</v>
      </c>
      <c r="N131" s="14" t="n">
        <f aca="false">IF(I131="","",PERCENTRANK($I$2:$I$354,I131))</f>
        <v>0.695</v>
      </c>
      <c r="O131" s="14" t="n">
        <f aca="false">IF(K131="","",PERCENTRANK($K$2:$K$354,K131))</f>
        <v>0.764</v>
      </c>
      <c r="P131" s="12" t="n">
        <f aca="false">COUNT(M131:O131)</f>
        <v>3</v>
      </c>
      <c r="W131" s="12" t="n">
        <f aca="false">COUNTA(Q131:V131)</f>
        <v>0</v>
      </c>
      <c r="X131" s="14" t="n">
        <f aca="false">IF(P131=0,"",MIN(1,AVERAGE(M131:O131)+Critérios!$B$5*W131))</f>
        <v>0.603</v>
      </c>
      <c r="Y131" s="12" t="str">
        <f aca="false">IF(X131="","",IF(X131&gt;=Critérios!$B$7,"A",IF(X131&gt;=Critérios!$B$8,"B","C")))</f>
        <v>B</v>
      </c>
      <c r="Z131" s="12" t="n">
        <f aca="false">IF(X131="","",RANK(X131,$X$2:$X$354))</f>
        <v>130</v>
      </c>
      <c r="AA131" s="12" t="str">
        <f aca="false">IF(X131="","Sairia — sem métrica",IF(PERCENTRANK($X$2:$X$354,X131)&lt;Critérios!$B$6,"Sairia — terço inferior","Fica"))</f>
        <v>Fica</v>
      </c>
      <c r="AB131" s="12" t="s">
        <v>105</v>
      </c>
      <c r="AD131" s="15" t="s">
        <v>95</v>
      </c>
      <c r="AE131" s="16"/>
      <c r="AF131" s="12" t="s">
        <v>203</v>
      </c>
      <c r="AG131" s="12" t="s">
        <v>773</v>
      </c>
      <c r="AH131" s="12" t="n">
        <f aca="false">COUNT(G131,I131,K131)+COUNTA(Q131:V131)</f>
        <v>3</v>
      </c>
      <c r="AI131" s="12" t="str">
        <f aca="false">IF(AH131&gt;=3,"Sim","Não")</f>
        <v>Sim</v>
      </c>
      <c r="AJ131" s="12" t="str">
        <f aca="false">IF(AND(Z131&lt;&gt;"",Z131&lt;=Critérios!$B$9),"Sim","Não")</f>
        <v>Não</v>
      </c>
    </row>
    <row r="132" customFormat="false" ht="15" hidden="false" customHeight="false" outlineLevel="0" collapsed="false">
      <c r="A132" s="12" t="s">
        <v>774</v>
      </c>
      <c r="B132" s="12" t="s">
        <v>775</v>
      </c>
      <c r="C132" s="12" t="s">
        <v>776</v>
      </c>
      <c r="D132" s="12" t="s">
        <v>251</v>
      </c>
      <c r="E132" s="12" t="s">
        <v>91</v>
      </c>
      <c r="F132" s="12" t="s">
        <v>169</v>
      </c>
      <c r="G132" s="17"/>
      <c r="H132" s="17"/>
      <c r="I132" s="17"/>
      <c r="K132" s="13" t="n">
        <v>468811</v>
      </c>
      <c r="L132" s="12" t="n">
        <v>7.2</v>
      </c>
      <c r="M132" s="14" t="str">
        <f aca="false">IF(G132="","",PERCENTRANK($G$2:$G$354,G132))</f>
        <v/>
      </c>
      <c r="N132" s="14" t="str">
        <f aca="false">IF(I132="","",PERCENTRANK($I$2:$I$354,I132))</f>
        <v/>
      </c>
      <c r="O132" s="14" t="n">
        <f aca="false">IF(K132="","",PERCENTRANK($K$2:$K$354,K132))</f>
        <v>0.543</v>
      </c>
      <c r="P132" s="12" t="n">
        <f aca="false">COUNT(M132:O132)</f>
        <v>1</v>
      </c>
      <c r="Q132" s="12" t="s">
        <v>777</v>
      </c>
      <c r="R132" s="12" t="s">
        <v>778</v>
      </c>
      <c r="W132" s="12" t="n">
        <f aca="false">COUNTA(Q132:V132)</f>
        <v>2</v>
      </c>
      <c r="X132" s="14" t="n">
        <f aca="false">IF(P132=0,"",MIN(1,AVERAGE(M132:O132)+Critérios!$B$5*W132))</f>
        <v>0.603</v>
      </c>
      <c r="Y132" s="12" t="str">
        <f aca="false">IF(X132="","",IF(X132&gt;=Critérios!$B$7,"A",IF(X132&gt;=Critérios!$B$8,"B","C")))</f>
        <v>B</v>
      </c>
      <c r="Z132" s="12" t="n">
        <f aca="false">IF(X132="","",RANK(X132,$X$2:$X$354))</f>
        <v>130</v>
      </c>
      <c r="AA132" s="12" t="str">
        <f aca="false">IF(X132="","Sairia — sem métrica",IF(PERCENTRANK($X$2:$X$354,X132)&lt;Critérios!$B$6,"Sairia — terço inferior","Fica"))</f>
        <v>Fica</v>
      </c>
      <c r="AB132" s="12" t="s">
        <v>105</v>
      </c>
      <c r="AD132" s="15" t="s">
        <v>95</v>
      </c>
      <c r="AE132" s="16"/>
      <c r="AG132" s="12" t="s">
        <v>779</v>
      </c>
      <c r="AH132" s="12" t="n">
        <f aca="false">COUNT(G132,I132,K132)+COUNTA(Q132:V132)</f>
        <v>3</v>
      </c>
      <c r="AI132" s="12" t="str">
        <f aca="false">IF(AH132&gt;=3,"Sim","Não")</f>
        <v>Sim</v>
      </c>
      <c r="AJ132" s="12" t="str">
        <f aca="false">IF(AND(Z132&lt;&gt;"",Z132&lt;=Critérios!$B$9),"Sim","Não")</f>
        <v>Não</v>
      </c>
    </row>
    <row r="133" customFormat="false" ht="15" hidden="false" customHeight="false" outlineLevel="0" collapsed="false">
      <c r="A133" s="12" t="s">
        <v>780</v>
      </c>
      <c r="B133" s="12" t="s">
        <v>781</v>
      </c>
      <c r="C133" s="12" t="s">
        <v>782</v>
      </c>
      <c r="D133" s="12" t="s">
        <v>118</v>
      </c>
      <c r="E133" s="12" t="s">
        <v>91</v>
      </c>
      <c r="F133" s="12" t="s">
        <v>92</v>
      </c>
      <c r="G133" s="13" t="n">
        <v>6862489</v>
      </c>
      <c r="H133" s="13" t="n">
        <v>121474449</v>
      </c>
      <c r="I133" s="13" t="n">
        <v>940628210</v>
      </c>
      <c r="J133" s="12" t="n">
        <v>5</v>
      </c>
      <c r="K133" s="13" t="n">
        <v>109777</v>
      </c>
      <c r="L133" s="12" t="n">
        <v>6.5</v>
      </c>
      <c r="M133" s="14" t="n">
        <f aca="false">IF(G133="","",PERCENTRANK($G$2:$G$354,G133))</f>
        <v>0.846</v>
      </c>
      <c r="N133" s="14" t="n">
        <f aca="false">IF(I133="","",PERCENTRANK($I$2:$I$354,I133))</f>
        <v>0.686</v>
      </c>
      <c r="O133" s="14" t="n">
        <f aca="false">IF(K133="","",PERCENTRANK($K$2:$K$354,K133))</f>
        <v>0.0767</v>
      </c>
      <c r="P133" s="12" t="n">
        <f aca="false">COUNT(M133:O133)</f>
        <v>3</v>
      </c>
      <c r="Q133" s="12" t="s">
        <v>783</v>
      </c>
      <c r="S133" s="12" t="s">
        <v>784</v>
      </c>
      <c r="W133" s="12" t="n">
        <f aca="false">COUNTA(Q133:V133)</f>
        <v>2</v>
      </c>
      <c r="X133" s="14" t="n">
        <f aca="false">IF(P133=0,"",MIN(1,AVERAGE(M133:O133)+Critérios!$B$5*W133))</f>
        <v>0.596233333333333</v>
      </c>
      <c r="Y133" s="12" t="str">
        <f aca="false">IF(X133="","",IF(X133&gt;=Critérios!$B$7,"A",IF(X133&gt;=Critérios!$B$8,"B","C")))</f>
        <v>B</v>
      </c>
      <c r="Z133" s="12" t="n">
        <f aca="false">IF(X133="","",RANK(X133,$X$2:$X$354))</f>
        <v>132</v>
      </c>
      <c r="AA133" s="12" t="str">
        <f aca="false">IF(X133="","Sairia — sem métrica",IF(PERCENTRANK($X$2:$X$354,X133)&lt;Critérios!$B$6,"Sairia — terço inferior","Fica"))</f>
        <v>Fica</v>
      </c>
      <c r="AB133" s="12" t="s">
        <v>94</v>
      </c>
      <c r="AD133" s="15" t="s">
        <v>95</v>
      </c>
      <c r="AE133" s="16"/>
      <c r="AF133" s="12" t="s">
        <v>220</v>
      </c>
      <c r="AG133" s="12" t="s">
        <v>785</v>
      </c>
      <c r="AH133" s="12" t="n">
        <f aca="false">COUNT(G133,I133,K133)+COUNTA(Q133:V133)</f>
        <v>5</v>
      </c>
      <c r="AI133" s="12" t="str">
        <f aca="false">IF(AH133&gt;=3,"Sim","Não")</f>
        <v>Sim</v>
      </c>
      <c r="AJ133" s="12" t="str">
        <f aca="false">IF(AND(Z133&lt;&gt;"",Z133&lt;=Critérios!$B$9),"Sim","Não")</f>
        <v>Não</v>
      </c>
    </row>
    <row r="134" customFormat="false" ht="15" hidden="false" customHeight="false" outlineLevel="0" collapsed="false">
      <c r="A134" s="12" t="s">
        <v>786</v>
      </c>
      <c r="B134" s="12" t="s">
        <v>787</v>
      </c>
      <c r="C134" s="12" t="s">
        <v>788</v>
      </c>
      <c r="D134" s="12" t="s">
        <v>152</v>
      </c>
      <c r="E134" s="12" t="s">
        <v>91</v>
      </c>
      <c r="F134" s="12" t="s">
        <v>92</v>
      </c>
      <c r="G134" s="13" t="n">
        <v>4293723</v>
      </c>
      <c r="H134" s="13" t="n">
        <v>27808325</v>
      </c>
      <c r="I134" s="13" t="n">
        <v>631442092</v>
      </c>
      <c r="J134" s="12" t="n">
        <v>4</v>
      </c>
      <c r="K134" s="13" t="n">
        <v>920060</v>
      </c>
      <c r="L134" s="12" t="n">
        <v>8</v>
      </c>
      <c r="M134" s="14" t="n">
        <f aca="false">IF(G134="","",PERCENTRANK($G$2:$G$354,G134))</f>
        <v>0.614</v>
      </c>
      <c r="N134" s="14" t="n">
        <f aca="false">IF(I134="","",PERCENTRANK($I$2:$I$354,I134))</f>
        <v>0.318</v>
      </c>
      <c r="O134" s="14" t="n">
        <f aca="false">IF(K134="","",PERCENTRANK($K$2:$K$354,K134))</f>
        <v>0.844</v>
      </c>
      <c r="P134" s="12" t="n">
        <f aca="false">COUNT(M134:O134)</f>
        <v>3</v>
      </c>
      <c r="W134" s="12" t="n">
        <f aca="false">COUNTA(Q134:V134)</f>
        <v>0</v>
      </c>
      <c r="X134" s="14" t="n">
        <f aca="false">IF(P134=0,"",MIN(1,AVERAGE(M134:O134)+Critérios!$B$5*W134))</f>
        <v>0.592</v>
      </c>
      <c r="Y134" s="12" t="str">
        <f aca="false">IF(X134="","",IF(X134&gt;=Critérios!$B$7,"A",IF(X134&gt;=Critérios!$B$8,"B","C")))</f>
        <v>B</v>
      </c>
      <c r="Z134" s="12" t="n">
        <f aca="false">IF(X134="","",RANK(X134,$X$2:$X$354))</f>
        <v>133</v>
      </c>
      <c r="AA134" s="12" t="str">
        <f aca="false">IF(X134="","Sairia — sem métrica",IF(PERCENTRANK($X$2:$X$354,X134)&lt;Critérios!$B$6,"Sairia — terço inferior","Fica"))</f>
        <v>Fica</v>
      </c>
      <c r="AB134" s="12" t="s">
        <v>94</v>
      </c>
      <c r="AD134" s="15" t="s">
        <v>95</v>
      </c>
      <c r="AE134" s="16"/>
      <c r="AF134" s="12" t="s">
        <v>429</v>
      </c>
      <c r="AG134" s="12" t="s">
        <v>789</v>
      </c>
      <c r="AH134" s="12" t="n">
        <f aca="false">COUNT(G134,I134,K134)+COUNTA(Q134:V134)</f>
        <v>3</v>
      </c>
      <c r="AI134" s="12" t="str">
        <f aca="false">IF(AH134&gt;=3,"Sim","Não")</f>
        <v>Sim</v>
      </c>
      <c r="AJ134" s="12" t="str">
        <f aca="false">IF(AND(Z134&lt;&gt;"",Z134&lt;=Critérios!$B$9),"Sim","Não")</f>
        <v>Não</v>
      </c>
    </row>
    <row r="135" customFormat="false" ht="15" hidden="false" customHeight="false" outlineLevel="0" collapsed="false">
      <c r="A135" s="12" t="s">
        <v>790</v>
      </c>
      <c r="B135" s="12" t="s">
        <v>791</v>
      </c>
      <c r="C135" s="12" t="s">
        <v>792</v>
      </c>
      <c r="D135" s="12" t="s">
        <v>158</v>
      </c>
      <c r="E135" s="12" t="s">
        <v>91</v>
      </c>
      <c r="F135" s="12" t="s">
        <v>92</v>
      </c>
      <c r="G135" s="13" t="n">
        <v>5755409</v>
      </c>
      <c r="H135" s="13" t="n">
        <v>73643412</v>
      </c>
      <c r="I135" s="13" t="n">
        <v>758410378</v>
      </c>
      <c r="J135" s="12" t="n">
        <v>4</v>
      </c>
      <c r="K135" s="13" t="n">
        <v>428787</v>
      </c>
      <c r="L135" s="12" t="n">
        <v>6.9</v>
      </c>
      <c r="M135" s="14" t="n">
        <f aca="false">IF(G135="","",PERCENTRANK($G$2:$G$354,G135))</f>
        <v>0.794</v>
      </c>
      <c r="N135" s="14" t="n">
        <f aca="false">IF(I135="","",PERCENTRANK($I$2:$I$354,I135))</f>
        <v>0.492</v>
      </c>
      <c r="O135" s="14" t="n">
        <f aca="false">IF(K135="","",PERCENTRANK($K$2:$K$354,K135))</f>
        <v>0.489</v>
      </c>
      <c r="P135" s="12" t="n">
        <f aca="false">COUNT(M135:O135)</f>
        <v>3</v>
      </c>
      <c r="W135" s="12" t="n">
        <f aca="false">COUNTA(Q135:V135)</f>
        <v>0</v>
      </c>
      <c r="X135" s="14" t="n">
        <f aca="false">IF(P135=0,"",MIN(1,AVERAGE(M135:O135)+Critérios!$B$5*W135))</f>
        <v>0.591666666666667</v>
      </c>
      <c r="Y135" s="12" t="str">
        <f aca="false">IF(X135="","",IF(X135&gt;=Critérios!$B$7,"A",IF(X135&gt;=Critérios!$B$8,"B","C")))</f>
        <v>B</v>
      </c>
      <c r="Z135" s="12" t="n">
        <f aca="false">IF(X135="","",RANK(X135,$X$2:$X$354))</f>
        <v>134</v>
      </c>
      <c r="AA135" s="12" t="str">
        <f aca="false">IF(X135="","Sairia — sem métrica",IF(PERCENTRANK($X$2:$X$354,X135)&lt;Critérios!$B$6,"Sairia — terço inferior","Fica"))</f>
        <v>Fica</v>
      </c>
      <c r="AB135" s="12" t="s">
        <v>105</v>
      </c>
      <c r="AD135" s="15" t="s">
        <v>95</v>
      </c>
      <c r="AE135" s="16"/>
      <c r="AF135" s="12" t="s">
        <v>578</v>
      </c>
      <c r="AG135" s="12" t="s">
        <v>793</v>
      </c>
      <c r="AH135" s="12" t="n">
        <f aca="false">COUNT(G135,I135,K135)+COUNTA(Q135:V135)</f>
        <v>3</v>
      </c>
      <c r="AI135" s="12" t="str">
        <f aca="false">IF(AH135&gt;=3,"Sim","Não")</f>
        <v>Sim</v>
      </c>
      <c r="AJ135" s="12" t="str">
        <f aca="false">IF(AND(Z135&lt;&gt;"",Z135&lt;=Critérios!$B$9),"Sim","Não")</f>
        <v>Não</v>
      </c>
    </row>
    <row r="136" customFormat="false" ht="15" hidden="false" customHeight="false" outlineLevel="0" collapsed="false">
      <c r="A136" s="12" t="s">
        <v>794</v>
      </c>
      <c r="B136" s="12" t="s">
        <v>795</v>
      </c>
      <c r="C136" s="12" t="s">
        <v>796</v>
      </c>
      <c r="D136" s="12" t="s">
        <v>273</v>
      </c>
      <c r="E136" s="12" t="s">
        <v>91</v>
      </c>
      <c r="F136" s="12" t="s">
        <v>92</v>
      </c>
      <c r="G136" s="13" t="n">
        <v>2197687</v>
      </c>
      <c r="H136" s="13" t="n">
        <v>13849375</v>
      </c>
      <c r="I136" s="17"/>
      <c r="K136" s="13" t="n">
        <v>1065969</v>
      </c>
      <c r="L136" s="12" t="n">
        <v>8.2</v>
      </c>
      <c r="M136" s="14" t="n">
        <f aca="false">IF(G136="","",PERCENTRANK($G$2:$G$354,G136))</f>
        <v>0.271</v>
      </c>
      <c r="N136" s="14" t="str">
        <f aca="false">IF(I136="","",PERCENTRANK($I$2:$I$354,I136))</f>
        <v/>
      </c>
      <c r="O136" s="14" t="n">
        <f aca="false">IF(K136="","",PERCENTRANK($K$2:$K$354,K136))</f>
        <v>0.909</v>
      </c>
      <c r="P136" s="12" t="n">
        <f aca="false">COUNT(M136:O136)</f>
        <v>2</v>
      </c>
      <c r="W136" s="12" t="n">
        <f aca="false">COUNTA(Q136:V136)</f>
        <v>0</v>
      </c>
      <c r="X136" s="14" t="n">
        <f aca="false">IF(P136=0,"",MIN(1,AVERAGE(M136:O136)+Critérios!$B$5*W136))</f>
        <v>0.59</v>
      </c>
      <c r="Y136" s="12" t="str">
        <f aca="false">IF(X136="","",IF(X136&gt;=Critérios!$B$7,"A",IF(X136&gt;=Critérios!$B$8,"B","C")))</f>
        <v>B</v>
      </c>
      <c r="Z136" s="12" t="n">
        <f aca="false">IF(X136="","",RANK(X136,$X$2:$X$354))</f>
        <v>135</v>
      </c>
      <c r="AA136" s="12" t="str">
        <f aca="false">IF(X136="","Sairia — sem métrica",IF(PERCENTRANK($X$2:$X$354,X136)&lt;Critérios!$B$6,"Sairia — terço inferior","Fica"))</f>
        <v>Fica</v>
      </c>
      <c r="AB136" s="12" t="s">
        <v>105</v>
      </c>
      <c r="AC136" s="12" t="s">
        <v>130</v>
      </c>
      <c r="AD136" s="15" t="s">
        <v>95</v>
      </c>
      <c r="AE136" s="16"/>
      <c r="AF136" s="12" t="s">
        <v>797</v>
      </c>
      <c r="AG136" s="12" t="s">
        <v>798</v>
      </c>
      <c r="AH136" s="12" t="n">
        <f aca="false">COUNT(G136,I136,K136)+COUNTA(Q136:V136)</f>
        <v>2</v>
      </c>
      <c r="AI136" s="12" t="str">
        <f aca="false">IF(AH136&gt;=3,"Sim","Não")</f>
        <v>Não</v>
      </c>
      <c r="AJ136" s="12" t="str">
        <f aca="false">IF(AND(Z136&lt;&gt;"",Z136&lt;=Critérios!$B$9),"Sim","Não")</f>
        <v>Não</v>
      </c>
    </row>
    <row r="137" customFormat="false" ht="15" hidden="false" customHeight="false" outlineLevel="0" collapsed="false">
      <c r="A137" s="12" t="s">
        <v>799</v>
      </c>
      <c r="B137" s="12" t="s">
        <v>800</v>
      </c>
      <c r="C137" s="12" t="s">
        <v>801</v>
      </c>
      <c r="D137" s="12" t="s">
        <v>500</v>
      </c>
      <c r="E137" s="12" t="s">
        <v>91</v>
      </c>
      <c r="F137" s="12" t="s">
        <v>92</v>
      </c>
      <c r="G137" s="13" t="n">
        <v>4663464</v>
      </c>
      <c r="H137" s="13" t="n">
        <v>37531773</v>
      </c>
      <c r="I137" s="13" t="n">
        <v>760006945</v>
      </c>
      <c r="J137" s="12" t="n">
        <v>2</v>
      </c>
      <c r="K137" s="13" t="n">
        <v>491250</v>
      </c>
      <c r="L137" s="12" t="n">
        <v>6.7</v>
      </c>
      <c r="M137" s="14" t="n">
        <f aca="false">IF(G137="","",PERCENTRANK($G$2:$G$354,G137))</f>
        <v>0.69</v>
      </c>
      <c r="N137" s="14" t="n">
        <f aca="false">IF(I137="","",PERCENTRANK($I$2:$I$354,I137))</f>
        <v>0.5</v>
      </c>
      <c r="O137" s="14" t="n">
        <f aca="false">IF(K137="","",PERCENTRANK($K$2:$K$354,K137))</f>
        <v>0.568</v>
      </c>
      <c r="P137" s="12" t="n">
        <f aca="false">COUNT(M137:O137)</f>
        <v>3</v>
      </c>
      <c r="W137" s="12" t="n">
        <f aca="false">COUNTA(Q137:V137)</f>
        <v>0</v>
      </c>
      <c r="X137" s="14" t="n">
        <f aca="false">IF(P137=0,"",MIN(1,AVERAGE(M137:O137)+Critérios!$B$5*W137))</f>
        <v>0.586</v>
      </c>
      <c r="Y137" s="12" t="str">
        <f aca="false">IF(X137="","",IF(X137&gt;=Critérios!$B$7,"A",IF(X137&gt;=Critérios!$B$8,"B","C")))</f>
        <v>B</v>
      </c>
      <c r="Z137" s="12" t="n">
        <f aca="false">IF(X137="","",RANK(X137,$X$2:$X$354))</f>
        <v>137</v>
      </c>
      <c r="AA137" s="12" t="str">
        <f aca="false">IF(X137="","Sairia — sem métrica",IF(PERCENTRANK($X$2:$X$354,X137)&lt;Critérios!$B$6,"Sairia — terço inferior","Fica"))</f>
        <v>Fica</v>
      </c>
      <c r="AB137" s="12" t="s">
        <v>105</v>
      </c>
      <c r="AD137" s="15" t="s">
        <v>95</v>
      </c>
      <c r="AE137" s="16"/>
      <c r="AF137" s="12" t="s">
        <v>501</v>
      </c>
      <c r="AG137" s="12" t="s">
        <v>802</v>
      </c>
      <c r="AH137" s="12" t="n">
        <f aca="false">COUNT(G137,I137,K137)+COUNTA(Q137:V137)</f>
        <v>3</v>
      </c>
      <c r="AI137" s="12" t="str">
        <f aca="false">IF(AH137&gt;=3,"Sim","Não")</f>
        <v>Sim</v>
      </c>
      <c r="AJ137" s="12" t="str">
        <f aca="false">IF(AND(Z137&lt;&gt;"",Z137&lt;=Critérios!$B$9),"Sim","Não")</f>
        <v>Não</v>
      </c>
    </row>
    <row r="138" customFormat="false" ht="15" hidden="false" customHeight="false" outlineLevel="0" collapsed="false">
      <c r="A138" s="12" t="s">
        <v>803</v>
      </c>
      <c r="B138" s="12" t="s">
        <v>804</v>
      </c>
      <c r="C138" s="12" t="s">
        <v>805</v>
      </c>
      <c r="D138" s="12" t="s">
        <v>505</v>
      </c>
      <c r="E138" s="12" t="s">
        <v>91</v>
      </c>
      <c r="F138" s="12" t="s">
        <v>169</v>
      </c>
      <c r="G138" s="17"/>
      <c r="H138" s="17"/>
      <c r="I138" s="17"/>
      <c r="K138" s="13" t="n">
        <v>451856</v>
      </c>
      <c r="L138" s="12" t="n">
        <v>7.6</v>
      </c>
      <c r="M138" s="14" t="str">
        <f aca="false">IF(G138="","",PERCENTRANK($G$2:$G$354,G138))</f>
        <v/>
      </c>
      <c r="N138" s="14" t="str">
        <f aca="false">IF(I138="","",PERCENTRANK($I$2:$I$354,I138))</f>
        <v/>
      </c>
      <c r="O138" s="14" t="n">
        <f aca="false">IF(K138="","",PERCENTRANK($K$2:$K$354,K138))</f>
        <v>0.526</v>
      </c>
      <c r="P138" s="12" t="n">
        <f aca="false">COUNT(M138:O138)</f>
        <v>1</v>
      </c>
      <c r="Q138" s="12" t="s">
        <v>806</v>
      </c>
      <c r="R138" s="12" t="s">
        <v>807</v>
      </c>
      <c r="W138" s="12" t="n">
        <f aca="false">COUNTA(Q138:V138)</f>
        <v>2</v>
      </c>
      <c r="X138" s="14" t="n">
        <f aca="false">IF(P138=0,"",MIN(1,AVERAGE(M138:O138)+Critérios!$B$5*W138))</f>
        <v>0.586</v>
      </c>
      <c r="Y138" s="12" t="str">
        <f aca="false">IF(X138="","",IF(X138&gt;=Critérios!$B$7,"A",IF(X138&gt;=Critérios!$B$8,"B","C")))</f>
        <v>B</v>
      </c>
      <c r="Z138" s="12" t="n">
        <f aca="false">IF(X138="","",RANK(X138,$X$2:$X$354))</f>
        <v>136</v>
      </c>
      <c r="AA138" s="12" t="str">
        <f aca="false">IF(X138="","Sairia — sem métrica",IF(PERCENTRANK($X$2:$X$354,X138)&lt;Critérios!$B$6,"Sairia — terço inferior","Fica"))</f>
        <v>Fica</v>
      </c>
      <c r="AB138" s="12" t="s">
        <v>105</v>
      </c>
      <c r="AD138" s="15" t="s">
        <v>95</v>
      </c>
      <c r="AE138" s="16"/>
      <c r="AG138" s="12" t="s">
        <v>808</v>
      </c>
      <c r="AH138" s="12" t="n">
        <f aca="false">COUNT(G138,I138,K138)+COUNTA(Q138:V138)</f>
        <v>3</v>
      </c>
      <c r="AI138" s="12" t="str">
        <f aca="false">IF(AH138&gt;=3,"Sim","Não")</f>
        <v>Sim</v>
      </c>
      <c r="AJ138" s="12" t="str">
        <f aca="false">IF(AND(Z138&lt;&gt;"",Z138&lt;=Critérios!$B$9),"Sim","Não")</f>
        <v>Não</v>
      </c>
    </row>
    <row r="139" customFormat="false" ht="15" hidden="false" customHeight="false" outlineLevel="0" collapsed="false">
      <c r="A139" s="12" t="s">
        <v>809</v>
      </c>
      <c r="B139" s="12" t="s">
        <v>810</v>
      </c>
      <c r="C139" s="12" t="s">
        <v>811</v>
      </c>
      <c r="D139" s="12" t="s">
        <v>183</v>
      </c>
      <c r="E139" s="12" t="s">
        <v>91</v>
      </c>
      <c r="F139" s="12" t="s">
        <v>92</v>
      </c>
      <c r="G139" s="13" t="n">
        <v>5558321</v>
      </c>
      <c r="H139" s="13" t="n">
        <v>90448267</v>
      </c>
      <c r="I139" s="13" t="n">
        <v>2068223624</v>
      </c>
      <c r="J139" s="12" t="n">
        <v>1</v>
      </c>
      <c r="K139" s="13" t="n">
        <v>349</v>
      </c>
      <c r="L139" s="12" t="n">
        <v>5.8</v>
      </c>
      <c r="M139" s="14" t="n">
        <f aca="false">IF(G139="","",PERCENTRANK($G$2:$G$354,G139))</f>
        <v>0.775</v>
      </c>
      <c r="N139" s="14" t="n">
        <f aca="false">IF(I139="","",PERCENTRANK($I$2:$I$354,I139))</f>
        <v>0.979</v>
      </c>
      <c r="O139" s="14" t="n">
        <f aca="false">IF(K139="","",PERCENTRANK($K$2:$K$354,K139))</f>
        <v>0.00284</v>
      </c>
      <c r="P139" s="12" t="n">
        <f aca="false">COUNT(M139:O139)</f>
        <v>3</v>
      </c>
      <c r="W139" s="12" t="n">
        <f aca="false">COUNTA(Q139:V139)</f>
        <v>0</v>
      </c>
      <c r="X139" s="14" t="n">
        <f aca="false">IF(P139=0,"",MIN(1,AVERAGE(M139:O139)+Critérios!$B$5*W139))</f>
        <v>0.585613333333333</v>
      </c>
      <c r="Y139" s="12" t="str">
        <f aca="false">IF(X139="","",IF(X139&gt;=Critérios!$B$7,"A",IF(X139&gt;=Critérios!$B$8,"B","C")))</f>
        <v>B</v>
      </c>
      <c r="Z139" s="12" t="n">
        <f aca="false">IF(X139="","",RANK(X139,$X$2:$X$354))</f>
        <v>138</v>
      </c>
      <c r="AA139" s="12" t="str">
        <f aca="false">IF(X139="","Sairia — sem métrica",IF(PERCENTRANK($X$2:$X$354,X139)&lt;Critérios!$B$6,"Sairia — terço inferior","Fica"))</f>
        <v>Fica</v>
      </c>
      <c r="AB139" s="12" t="s">
        <v>105</v>
      </c>
      <c r="AD139" s="15" t="s">
        <v>95</v>
      </c>
      <c r="AE139" s="16"/>
      <c r="AF139" s="12" t="s">
        <v>247</v>
      </c>
      <c r="AG139" s="12" t="s">
        <v>812</v>
      </c>
      <c r="AH139" s="12" t="n">
        <f aca="false">COUNT(G139,I139,K139)+COUNTA(Q139:V139)</f>
        <v>3</v>
      </c>
      <c r="AI139" s="12" t="str">
        <f aca="false">IF(AH139&gt;=3,"Sim","Não")</f>
        <v>Sim</v>
      </c>
      <c r="AJ139" s="12" t="str">
        <f aca="false">IF(AND(Z139&lt;&gt;"",Z139&lt;=Critérios!$B$9),"Sim","Não")</f>
        <v>Não</v>
      </c>
    </row>
    <row r="140" customFormat="false" ht="15" hidden="false" customHeight="false" outlineLevel="0" collapsed="false">
      <c r="A140" s="12" t="s">
        <v>813</v>
      </c>
      <c r="B140" s="12" t="s">
        <v>814</v>
      </c>
      <c r="C140" s="12" t="s">
        <v>815</v>
      </c>
      <c r="D140" s="12" t="s">
        <v>251</v>
      </c>
      <c r="E140" s="12" t="s">
        <v>91</v>
      </c>
      <c r="F140" s="12" t="s">
        <v>92</v>
      </c>
      <c r="G140" s="13" t="n">
        <v>7816117</v>
      </c>
      <c r="H140" s="13" t="n">
        <v>151384146</v>
      </c>
      <c r="I140" s="13" t="n">
        <v>972021410</v>
      </c>
      <c r="J140" s="12" t="n">
        <v>4</v>
      </c>
      <c r="K140" s="13" t="n">
        <v>85210</v>
      </c>
      <c r="L140" s="12" t="n">
        <v>6.2</v>
      </c>
      <c r="M140" s="14" t="n">
        <f aca="false">IF(G140="","",PERCENTRANK($G$2:$G$354,G140))</f>
        <v>0.886</v>
      </c>
      <c r="N140" s="14" t="n">
        <f aca="false">IF(I140="","",PERCENTRANK($I$2:$I$354,I140))</f>
        <v>0.733</v>
      </c>
      <c r="O140" s="14" t="n">
        <f aca="false">IF(K140="","",PERCENTRANK($K$2:$K$354,K140))</f>
        <v>0.0455</v>
      </c>
      <c r="P140" s="12" t="n">
        <f aca="false">COUNT(M140:O140)</f>
        <v>3</v>
      </c>
      <c r="Q140" s="12" t="s">
        <v>816</v>
      </c>
      <c r="W140" s="12" t="n">
        <f aca="false">COUNTA(Q140:V140)</f>
        <v>1</v>
      </c>
      <c r="X140" s="14" t="n">
        <f aca="false">IF(P140=0,"",MIN(1,AVERAGE(M140:O140)+Critérios!$B$5*W140))</f>
        <v>0.584833333333333</v>
      </c>
      <c r="Y140" s="12" t="str">
        <f aca="false">IF(X140="","",IF(X140&gt;=Critérios!$B$7,"A",IF(X140&gt;=Critérios!$B$8,"B","C")))</f>
        <v>B</v>
      </c>
      <c r="Z140" s="12" t="n">
        <f aca="false">IF(X140="","",RANK(X140,$X$2:$X$354))</f>
        <v>139</v>
      </c>
      <c r="AA140" s="12" t="str">
        <f aca="false">IF(X140="","Sairia — sem métrica",IF(PERCENTRANK($X$2:$X$354,X140)&lt;Critérios!$B$6,"Sairia — terço inferior","Fica"))</f>
        <v>Fica</v>
      </c>
      <c r="AB140" s="12" t="s">
        <v>105</v>
      </c>
      <c r="AD140" s="15" t="s">
        <v>95</v>
      </c>
      <c r="AE140" s="16"/>
      <c r="AF140" s="12" t="s">
        <v>253</v>
      </c>
      <c r="AG140" s="12" t="s">
        <v>817</v>
      </c>
      <c r="AH140" s="12" t="n">
        <f aca="false">COUNT(G140,I140,K140)+COUNTA(Q140:V140)</f>
        <v>4</v>
      </c>
      <c r="AI140" s="12" t="str">
        <f aca="false">IF(AH140&gt;=3,"Sim","Não")</f>
        <v>Sim</v>
      </c>
      <c r="AJ140" s="12" t="str">
        <f aca="false">IF(AND(Z140&lt;&gt;"",Z140&lt;=Critérios!$B$9),"Sim","Não")</f>
        <v>Não</v>
      </c>
    </row>
    <row r="141" customFormat="false" ht="15" hidden="false" customHeight="false" outlineLevel="0" collapsed="false">
      <c r="A141" s="12" t="s">
        <v>818</v>
      </c>
      <c r="B141" s="12" t="s">
        <v>819</v>
      </c>
      <c r="C141" s="12" t="s">
        <v>820</v>
      </c>
      <c r="D141" s="12" t="s">
        <v>127</v>
      </c>
      <c r="E141" s="12" t="s">
        <v>91</v>
      </c>
      <c r="F141" s="12" t="s">
        <v>92</v>
      </c>
      <c r="G141" s="13" t="n">
        <v>2356047</v>
      </c>
      <c r="H141" s="13" t="n">
        <v>18020685</v>
      </c>
      <c r="I141" s="13" t="n">
        <v>849997605</v>
      </c>
      <c r="J141" s="12" t="n">
        <v>2</v>
      </c>
      <c r="K141" s="13" t="n">
        <v>936160</v>
      </c>
      <c r="L141" s="12" t="n">
        <v>7.7</v>
      </c>
      <c r="M141" s="14" t="n">
        <f aca="false">IF(G141="","",PERCENTRANK($G$2:$G$354,G141))</f>
        <v>0.291</v>
      </c>
      <c r="N141" s="14" t="n">
        <f aca="false">IF(I141="","",PERCENTRANK($I$2:$I$354,I141))</f>
        <v>0.593</v>
      </c>
      <c r="O141" s="14" t="n">
        <f aca="false">IF(K141="","",PERCENTRANK($K$2:$K$354,K141))</f>
        <v>0.855</v>
      </c>
      <c r="P141" s="12" t="n">
        <f aca="false">COUNT(M141:O141)</f>
        <v>3</v>
      </c>
      <c r="W141" s="12" t="n">
        <f aca="false">COUNTA(Q141:V141)</f>
        <v>0</v>
      </c>
      <c r="X141" s="14" t="n">
        <f aca="false">IF(P141=0,"",MIN(1,AVERAGE(M141:O141)+Critérios!$B$5*W141))</f>
        <v>0.579666666666667</v>
      </c>
      <c r="Y141" s="12" t="str">
        <f aca="false">IF(X141="","",IF(X141&gt;=Critérios!$B$7,"A",IF(X141&gt;=Critérios!$B$8,"B","C")))</f>
        <v>B</v>
      </c>
      <c r="Z141" s="12" t="n">
        <f aca="false">IF(X141="","",RANK(X141,$X$2:$X$354))</f>
        <v>140</v>
      </c>
      <c r="AA141" s="12" t="str">
        <f aca="false">IF(X141="","Sairia — sem métrica",IF(PERCENTRANK($X$2:$X$354,X141)&lt;Critérios!$B$6,"Sairia — terço inferior","Fica"))</f>
        <v>Fica</v>
      </c>
      <c r="AB141" s="12" t="s">
        <v>105</v>
      </c>
      <c r="AD141" s="15" t="s">
        <v>95</v>
      </c>
      <c r="AE141" s="16"/>
      <c r="AF141" s="12" t="s">
        <v>495</v>
      </c>
      <c r="AG141" s="12" t="s">
        <v>821</v>
      </c>
      <c r="AH141" s="12" t="n">
        <f aca="false">COUNT(G141,I141,K141)+COUNTA(Q141:V141)</f>
        <v>3</v>
      </c>
      <c r="AI141" s="12" t="str">
        <f aca="false">IF(AH141&gt;=3,"Sim","Não")</f>
        <v>Sim</v>
      </c>
      <c r="AJ141" s="12" t="str">
        <f aca="false">IF(AND(Z141&lt;&gt;"",Z141&lt;=Critérios!$B$9),"Sim","Não")</f>
        <v>Não</v>
      </c>
    </row>
    <row r="142" customFormat="false" ht="15" hidden="false" customHeight="false" outlineLevel="0" collapsed="false">
      <c r="A142" s="12" t="s">
        <v>822</v>
      </c>
      <c r="B142" s="12" t="s">
        <v>140</v>
      </c>
      <c r="C142" s="12" t="s">
        <v>140</v>
      </c>
      <c r="D142" s="12" t="s">
        <v>134</v>
      </c>
      <c r="E142" s="12" t="s">
        <v>91</v>
      </c>
      <c r="F142" s="12" t="s">
        <v>92</v>
      </c>
      <c r="G142" s="13" t="n">
        <v>5056558</v>
      </c>
      <c r="H142" s="13" t="n">
        <v>42950999</v>
      </c>
      <c r="I142" s="13" t="n">
        <v>769679473</v>
      </c>
      <c r="J142" s="12" t="n">
        <v>5</v>
      </c>
      <c r="K142" s="13" t="n">
        <v>428060</v>
      </c>
      <c r="L142" s="12" t="n">
        <v>5.9</v>
      </c>
      <c r="M142" s="14" t="n">
        <f aca="false">IF(G142="","",PERCENTRANK($G$2:$G$354,G142))</f>
        <v>0.732</v>
      </c>
      <c r="N142" s="14" t="n">
        <f aca="false">IF(I142="","",PERCENTRANK($I$2:$I$354,I142))</f>
        <v>0.508</v>
      </c>
      <c r="O142" s="14" t="n">
        <f aca="false">IF(K142="","",PERCENTRANK($K$2:$K$354,K142))</f>
        <v>0.486</v>
      </c>
      <c r="P142" s="12" t="n">
        <f aca="false">COUNT(M142:O142)</f>
        <v>3</v>
      </c>
      <c r="W142" s="12" t="n">
        <f aca="false">COUNTA(Q142:V142)</f>
        <v>0</v>
      </c>
      <c r="X142" s="14" t="n">
        <f aca="false">IF(P142=0,"",MIN(1,AVERAGE(M142:O142)+Critérios!$B$5*W142))</f>
        <v>0.575333333333333</v>
      </c>
      <c r="Y142" s="12" t="str">
        <f aca="false">IF(X142="","",IF(X142&gt;=Critérios!$B$7,"A",IF(X142&gt;=Critérios!$B$8,"B","C")))</f>
        <v>B</v>
      </c>
      <c r="Z142" s="12" t="n">
        <f aca="false">IF(X142="","",RANK(X142,$X$2:$X$354))</f>
        <v>141</v>
      </c>
      <c r="AA142" s="12" t="str">
        <f aca="false">IF(X142="","Sairia — sem métrica",IF(PERCENTRANK($X$2:$X$354,X142)&lt;Critérios!$B$6,"Sairia — terço inferior","Fica"))</f>
        <v>Fica</v>
      </c>
      <c r="AB142" s="12" t="s">
        <v>105</v>
      </c>
      <c r="AD142" s="15" t="s">
        <v>95</v>
      </c>
      <c r="AE142" s="16"/>
      <c r="AF142" s="12" t="s">
        <v>524</v>
      </c>
      <c r="AG142" s="12" t="s">
        <v>823</v>
      </c>
      <c r="AH142" s="12" t="n">
        <f aca="false">COUNT(G142,I142,K142)+COUNTA(Q142:V142)</f>
        <v>3</v>
      </c>
      <c r="AI142" s="12" t="str">
        <f aca="false">IF(AH142&gt;=3,"Sim","Não")</f>
        <v>Sim</v>
      </c>
      <c r="AJ142" s="12" t="str">
        <f aca="false">IF(AND(Z142&lt;&gt;"",Z142&lt;=Critérios!$B$9),"Sim","Não")</f>
        <v>Não</v>
      </c>
    </row>
    <row r="143" customFormat="false" ht="15" hidden="false" customHeight="false" outlineLevel="0" collapsed="false">
      <c r="A143" s="12" t="s">
        <v>824</v>
      </c>
      <c r="B143" s="12" t="s">
        <v>825</v>
      </c>
      <c r="C143" s="12" t="s">
        <v>826</v>
      </c>
      <c r="D143" s="12" t="s">
        <v>202</v>
      </c>
      <c r="E143" s="12" t="s">
        <v>91</v>
      </c>
      <c r="F143" s="12" t="s">
        <v>92</v>
      </c>
      <c r="G143" s="13" t="n">
        <v>4521808</v>
      </c>
      <c r="H143" s="13" t="n">
        <v>49148215</v>
      </c>
      <c r="I143" s="13" t="n">
        <v>788679850</v>
      </c>
      <c r="J143" s="12" t="n">
        <v>6</v>
      </c>
      <c r="K143" s="13" t="n">
        <v>445479</v>
      </c>
      <c r="L143" s="12" t="n">
        <v>7</v>
      </c>
      <c r="M143" s="14" t="n">
        <f aca="false">IF(G143="","",PERCENTRANK($G$2:$G$354,G143))</f>
        <v>0.667</v>
      </c>
      <c r="N143" s="14" t="n">
        <f aca="false">IF(I143="","",PERCENTRANK($I$2:$I$354,I143))</f>
        <v>0.542</v>
      </c>
      <c r="O143" s="14" t="n">
        <f aca="false">IF(K143="","",PERCENTRANK($K$2:$K$354,K143))</f>
        <v>0.511</v>
      </c>
      <c r="P143" s="12" t="n">
        <f aca="false">COUNT(M143:O143)</f>
        <v>3</v>
      </c>
      <c r="W143" s="12" t="n">
        <f aca="false">COUNTA(Q143:V143)</f>
        <v>0</v>
      </c>
      <c r="X143" s="14" t="n">
        <f aca="false">IF(P143=0,"",MIN(1,AVERAGE(M143:O143)+Critérios!$B$5*W143))</f>
        <v>0.573333333333333</v>
      </c>
      <c r="Y143" s="12" t="str">
        <f aca="false">IF(X143="","",IF(X143&gt;=Critérios!$B$7,"A",IF(X143&gt;=Critérios!$B$8,"B","C")))</f>
        <v>B</v>
      </c>
      <c r="Z143" s="12" t="n">
        <f aca="false">IF(X143="","",RANK(X143,$X$2:$X$354))</f>
        <v>142</v>
      </c>
      <c r="AA143" s="12" t="str">
        <f aca="false">IF(X143="","Sairia — sem métrica",IF(PERCENTRANK($X$2:$X$354,X143)&lt;Critérios!$B$6,"Sairia — terço inferior","Fica"))</f>
        <v>Fica</v>
      </c>
      <c r="AB143" s="12" t="s">
        <v>94</v>
      </c>
      <c r="AD143" s="15" t="s">
        <v>95</v>
      </c>
      <c r="AE143" s="16"/>
      <c r="AF143" s="12" t="s">
        <v>203</v>
      </c>
      <c r="AG143" s="12" t="s">
        <v>827</v>
      </c>
      <c r="AH143" s="12" t="n">
        <f aca="false">COUNT(G143,I143,K143)+COUNTA(Q143:V143)</f>
        <v>3</v>
      </c>
      <c r="AI143" s="12" t="str">
        <f aca="false">IF(AH143&gt;=3,"Sim","Não")</f>
        <v>Sim</v>
      </c>
      <c r="AJ143" s="12" t="str">
        <f aca="false">IF(AND(Z143&lt;&gt;"",Z143&lt;=Critérios!$B$9),"Sim","Não")</f>
        <v>Não</v>
      </c>
    </row>
    <row r="144" customFormat="false" ht="15" hidden="false" customHeight="false" outlineLevel="0" collapsed="false">
      <c r="A144" s="12" t="s">
        <v>828</v>
      </c>
      <c r="B144" s="12" t="s">
        <v>829</v>
      </c>
      <c r="C144" s="12" t="s">
        <v>830</v>
      </c>
      <c r="D144" s="12" t="s">
        <v>111</v>
      </c>
      <c r="E144" s="12" t="s">
        <v>91</v>
      </c>
      <c r="F144" s="12" t="s">
        <v>92</v>
      </c>
      <c r="G144" s="13" t="n">
        <v>3257029</v>
      </c>
      <c r="H144" s="13" t="n">
        <v>50051271</v>
      </c>
      <c r="I144" s="17"/>
      <c r="K144" s="13" t="n">
        <v>508950</v>
      </c>
      <c r="L144" s="12" t="n">
        <v>7</v>
      </c>
      <c r="M144" s="14" t="n">
        <f aca="false">IF(G144="","",PERCENTRANK($G$2:$G$354,G144))</f>
        <v>0.49</v>
      </c>
      <c r="N144" s="14" t="str">
        <f aca="false">IF(I144="","",PERCENTRANK($I$2:$I$354,I144))</f>
        <v/>
      </c>
      <c r="O144" s="14" t="n">
        <f aca="false">IF(K144="","",PERCENTRANK($K$2:$K$354,K144))</f>
        <v>0.588</v>
      </c>
      <c r="P144" s="12" t="n">
        <f aca="false">COUNT(M144:O144)</f>
        <v>2</v>
      </c>
      <c r="Q144" s="12" t="s">
        <v>831</v>
      </c>
      <c r="W144" s="12" t="n">
        <f aca="false">COUNTA(Q144:V144)</f>
        <v>1</v>
      </c>
      <c r="X144" s="14" t="n">
        <f aca="false">IF(P144=0,"",MIN(1,AVERAGE(M144:O144)+Critérios!$B$5*W144))</f>
        <v>0.569</v>
      </c>
      <c r="Y144" s="12" t="str">
        <f aca="false">IF(X144="","",IF(X144&gt;=Critérios!$B$7,"A",IF(X144&gt;=Critérios!$B$8,"B","C")))</f>
        <v>B</v>
      </c>
      <c r="Z144" s="12" t="n">
        <f aca="false">IF(X144="","",RANK(X144,$X$2:$X$354))</f>
        <v>143</v>
      </c>
      <c r="AA144" s="12" t="str">
        <f aca="false">IF(X144="","Sairia — sem métrica",IF(PERCENTRANK($X$2:$X$354,X144)&lt;Critérios!$B$6,"Sairia — terço inferior","Fica"))</f>
        <v>Fica</v>
      </c>
      <c r="AB144" s="12" t="s">
        <v>105</v>
      </c>
      <c r="AD144" s="15" t="s">
        <v>95</v>
      </c>
      <c r="AE144" s="16"/>
      <c r="AF144" s="12" t="s">
        <v>832</v>
      </c>
      <c r="AG144" s="12" t="s">
        <v>833</v>
      </c>
      <c r="AH144" s="12" t="n">
        <f aca="false">COUNT(G144,I144,K144)+COUNTA(Q144:V144)</f>
        <v>3</v>
      </c>
      <c r="AI144" s="12" t="str">
        <f aca="false">IF(AH144&gt;=3,"Sim","Não")</f>
        <v>Sim</v>
      </c>
      <c r="AJ144" s="12" t="str">
        <f aca="false">IF(AND(Z144&lt;&gt;"",Z144&lt;=Critérios!$B$9),"Sim","Não")</f>
        <v>Não</v>
      </c>
    </row>
    <row r="145" customFormat="false" ht="15" hidden="false" customHeight="false" outlineLevel="0" collapsed="false">
      <c r="A145" s="12" t="s">
        <v>834</v>
      </c>
      <c r="B145" s="12" t="s">
        <v>835</v>
      </c>
      <c r="C145" s="12" t="s">
        <v>836</v>
      </c>
      <c r="D145" s="12" t="s">
        <v>90</v>
      </c>
      <c r="E145" s="12" t="s">
        <v>91</v>
      </c>
      <c r="F145" s="12" t="s">
        <v>92</v>
      </c>
      <c r="G145" s="13" t="n">
        <v>2129669</v>
      </c>
      <c r="H145" s="13" t="n">
        <v>41213887</v>
      </c>
      <c r="I145" s="13" t="n">
        <v>1077144248</v>
      </c>
      <c r="J145" s="12" t="n">
        <v>7</v>
      </c>
      <c r="K145" s="13" t="n">
        <v>552489</v>
      </c>
      <c r="L145" s="12" t="n">
        <v>6.3</v>
      </c>
      <c r="M145" s="14" t="n">
        <f aca="false">IF(G145="","",PERCENTRANK($G$2:$G$354,G145))</f>
        <v>0.258</v>
      </c>
      <c r="N145" s="14" t="n">
        <f aca="false">IF(I145="","",PERCENTRANK($I$2:$I$354,I145))</f>
        <v>0.818</v>
      </c>
      <c r="O145" s="14" t="n">
        <f aca="false">IF(K145="","",PERCENTRANK($K$2:$K$354,K145))</f>
        <v>0.628</v>
      </c>
      <c r="P145" s="12" t="n">
        <f aca="false">COUNT(M145:O145)</f>
        <v>3</v>
      </c>
      <c r="W145" s="12" t="n">
        <f aca="false">COUNTA(Q145:V145)</f>
        <v>0</v>
      </c>
      <c r="X145" s="14" t="n">
        <f aca="false">IF(P145=0,"",MIN(1,AVERAGE(M145:O145)+Critérios!$B$5*W145))</f>
        <v>0.568</v>
      </c>
      <c r="Y145" s="12" t="str">
        <f aca="false">IF(X145="","",IF(X145&gt;=Critérios!$B$7,"A",IF(X145&gt;=Critérios!$B$8,"B","C")))</f>
        <v>B</v>
      </c>
      <c r="Z145" s="12" t="n">
        <f aca="false">IF(X145="","",RANK(X145,$X$2:$X$354))</f>
        <v>144</v>
      </c>
      <c r="AA145" s="12" t="str">
        <f aca="false">IF(X145="","Sairia — sem métrica",IF(PERCENTRANK($X$2:$X$354,X145)&lt;Critérios!$B$6,"Sairia — terço inferior","Fica"))</f>
        <v>Fica</v>
      </c>
      <c r="AB145" s="12" t="s">
        <v>105</v>
      </c>
      <c r="AD145" s="15" t="s">
        <v>95</v>
      </c>
      <c r="AE145" s="16"/>
      <c r="AF145" s="12" t="s">
        <v>837</v>
      </c>
      <c r="AG145" s="12" t="s">
        <v>838</v>
      </c>
      <c r="AH145" s="12" t="n">
        <f aca="false">COUNT(G145,I145,K145)+COUNTA(Q145:V145)</f>
        <v>3</v>
      </c>
      <c r="AI145" s="12" t="str">
        <f aca="false">IF(AH145&gt;=3,"Sim","Não")</f>
        <v>Sim</v>
      </c>
      <c r="AJ145" s="12" t="str">
        <f aca="false">IF(AND(Z145&lt;&gt;"",Z145&lt;=Critérios!$B$9),"Sim","Não")</f>
        <v>Não</v>
      </c>
    </row>
    <row r="146" customFormat="false" ht="15" hidden="false" customHeight="false" outlineLevel="0" collapsed="false">
      <c r="A146" s="12" t="s">
        <v>839</v>
      </c>
      <c r="B146" s="12" t="s">
        <v>840</v>
      </c>
      <c r="C146" s="12" t="s">
        <v>841</v>
      </c>
      <c r="D146" s="12" t="s">
        <v>505</v>
      </c>
      <c r="E146" s="12" t="s">
        <v>91</v>
      </c>
      <c r="F146" s="12" t="s">
        <v>92</v>
      </c>
      <c r="G146" s="13" t="n">
        <v>5400000</v>
      </c>
      <c r="H146" s="13" t="n">
        <v>111141328</v>
      </c>
      <c r="I146" s="13" t="n">
        <v>961287780</v>
      </c>
      <c r="J146" s="12" t="n">
        <v>5</v>
      </c>
      <c r="K146" s="13" t="n">
        <v>168850</v>
      </c>
      <c r="L146" s="12" t="n">
        <v>5.6</v>
      </c>
      <c r="M146" s="14" t="n">
        <f aca="false">IF(G146="","",PERCENTRANK($G$2:$G$354,G146))</f>
        <v>0.765</v>
      </c>
      <c r="N146" s="14" t="n">
        <f aca="false">IF(I146="","",PERCENTRANK($I$2:$I$354,I146))</f>
        <v>0.712</v>
      </c>
      <c r="O146" s="14" t="n">
        <f aca="false">IF(K146="","",PERCENTRANK($K$2:$K$354,K146))</f>
        <v>0.134</v>
      </c>
      <c r="P146" s="12" t="n">
        <f aca="false">COUNT(M146:O146)</f>
        <v>3</v>
      </c>
      <c r="Q146" s="12" t="s">
        <v>842</v>
      </c>
      <c r="W146" s="12" t="n">
        <f aca="false">COUNTA(Q146:V146)</f>
        <v>1</v>
      </c>
      <c r="X146" s="14" t="n">
        <f aca="false">IF(P146=0,"",MIN(1,AVERAGE(M146:O146)+Critérios!$B$5*W146))</f>
        <v>0.567</v>
      </c>
      <c r="Y146" s="12" t="str">
        <f aca="false">IF(X146="","",IF(X146&gt;=Critérios!$B$7,"A",IF(X146&gt;=Critérios!$B$8,"B","C")))</f>
        <v>B</v>
      </c>
      <c r="Z146" s="12" t="n">
        <f aca="false">IF(X146="","",RANK(X146,$X$2:$X$354))</f>
        <v>145</v>
      </c>
      <c r="AA146" s="12" t="str">
        <f aca="false">IF(X146="","Sairia — sem métrica",IF(PERCENTRANK($X$2:$X$354,X146)&lt;Critérios!$B$6,"Sairia — terço inferior","Fica"))</f>
        <v>Fica</v>
      </c>
      <c r="AB146" s="12" t="s">
        <v>105</v>
      </c>
      <c r="AD146" s="15" t="s">
        <v>95</v>
      </c>
      <c r="AE146" s="16"/>
      <c r="AF146" s="12" t="s">
        <v>507</v>
      </c>
      <c r="AG146" s="12" t="s">
        <v>843</v>
      </c>
      <c r="AH146" s="12" t="n">
        <f aca="false">COUNT(G146,I146,K146)+COUNTA(Q146:V146)</f>
        <v>4</v>
      </c>
      <c r="AI146" s="12" t="str">
        <f aca="false">IF(AH146&gt;=3,"Sim","Não")</f>
        <v>Sim</v>
      </c>
      <c r="AJ146" s="12" t="str">
        <f aca="false">IF(AND(Z146&lt;&gt;"",Z146&lt;=Critérios!$B$9),"Sim","Não")</f>
        <v>Não</v>
      </c>
    </row>
    <row r="147" customFormat="false" ht="15" hidden="false" customHeight="false" outlineLevel="0" collapsed="false">
      <c r="A147" s="12" t="s">
        <v>844</v>
      </c>
      <c r="B147" s="12" t="s">
        <v>845</v>
      </c>
      <c r="C147" s="12" t="s">
        <v>846</v>
      </c>
      <c r="D147" s="12" t="s">
        <v>146</v>
      </c>
      <c r="E147" s="12" t="s">
        <v>91</v>
      </c>
      <c r="F147" s="12" t="s">
        <v>92</v>
      </c>
      <c r="G147" s="13" t="n">
        <v>4688200</v>
      </c>
      <c r="H147" s="13" t="n">
        <v>35687000</v>
      </c>
      <c r="I147" s="13" t="n">
        <v>813367380</v>
      </c>
      <c r="J147" s="12" t="n">
        <v>4</v>
      </c>
      <c r="K147" s="13" t="n">
        <v>366257</v>
      </c>
      <c r="L147" s="12" t="n">
        <v>6.1</v>
      </c>
      <c r="M147" s="14" t="n">
        <f aca="false">IF(G147="","",PERCENTRANK($G$2:$G$354,G147))</f>
        <v>0.696</v>
      </c>
      <c r="N147" s="14" t="n">
        <f aca="false">IF(I147="","",PERCENTRANK($I$2:$I$354,I147))</f>
        <v>0.559</v>
      </c>
      <c r="O147" s="14" t="n">
        <f aca="false">IF(K147="","",PERCENTRANK($K$2:$K$354,K147))</f>
        <v>0.435</v>
      </c>
      <c r="P147" s="12" t="n">
        <f aca="false">COUNT(M147:O147)</f>
        <v>3</v>
      </c>
      <c r="W147" s="12" t="n">
        <f aca="false">COUNTA(Q147:V147)</f>
        <v>0</v>
      </c>
      <c r="X147" s="14" t="n">
        <f aca="false">IF(P147=0,"",MIN(1,AVERAGE(M147:O147)+Critérios!$B$5*W147))</f>
        <v>0.563333333333333</v>
      </c>
      <c r="Y147" s="12" t="str">
        <f aca="false">IF(X147="","",IF(X147&gt;=Critérios!$B$7,"A",IF(X147&gt;=Critérios!$B$8,"B","C")))</f>
        <v>B</v>
      </c>
      <c r="Z147" s="12" t="n">
        <f aca="false">IF(X147="","",RANK(X147,$X$2:$X$354))</f>
        <v>146</v>
      </c>
      <c r="AA147" s="12" t="str">
        <f aca="false">IF(X147="","Sairia — sem métrica",IF(PERCENTRANK($X$2:$X$354,X147)&lt;Critérios!$B$6,"Sairia — terço inferior","Fica"))</f>
        <v>Fica</v>
      </c>
      <c r="AB147" s="12" t="s">
        <v>105</v>
      </c>
      <c r="AD147" s="15" t="s">
        <v>95</v>
      </c>
      <c r="AE147" s="16"/>
      <c r="AF147" s="12" t="s">
        <v>434</v>
      </c>
      <c r="AG147" s="12" t="s">
        <v>847</v>
      </c>
      <c r="AH147" s="12" t="n">
        <f aca="false">COUNT(G147,I147,K147)+COUNTA(Q147:V147)</f>
        <v>3</v>
      </c>
      <c r="AI147" s="12" t="str">
        <f aca="false">IF(AH147&gt;=3,"Sim","Não")</f>
        <v>Sim</v>
      </c>
      <c r="AJ147" s="12" t="str">
        <f aca="false">IF(AND(Z147&lt;&gt;"",Z147&lt;=Critérios!$B$9),"Sim","Não")</f>
        <v>Não</v>
      </c>
    </row>
    <row r="148" customFormat="false" ht="15" hidden="false" customHeight="false" outlineLevel="0" collapsed="false">
      <c r="A148" s="12" t="s">
        <v>848</v>
      </c>
      <c r="B148" s="12" t="s">
        <v>849</v>
      </c>
      <c r="C148" s="12" t="s">
        <v>850</v>
      </c>
      <c r="D148" s="12" t="s">
        <v>158</v>
      </c>
      <c r="E148" s="12" t="s">
        <v>91</v>
      </c>
      <c r="F148" s="12" t="s">
        <v>92</v>
      </c>
      <c r="G148" s="13" t="n">
        <v>4100615</v>
      </c>
      <c r="H148" s="13" t="n">
        <v>55227321</v>
      </c>
      <c r="I148" s="13" t="n">
        <v>708982323</v>
      </c>
      <c r="J148" s="12" t="n">
        <v>9</v>
      </c>
      <c r="K148" s="13" t="n">
        <v>610887</v>
      </c>
      <c r="L148" s="12" t="n">
        <v>6.6</v>
      </c>
      <c r="M148" s="14" t="n">
        <f aca="false">IF(G148="","",PERCENTRANK($G$2:$G$354,G148))</f>
        <v>0.582</v>
      </c>
      <c r="N148" s="14" t="n">
        <f aca="false">IF(I148="","",PERCENTRANK($I$2:$I$354,I148))</f>
        <v>0.407</v>
      </c>
      <c r="O148" s="14" t="n">
        <f aca="false">IF(K148="","",PERCENTRANK($K$2:$K$354,K148))</f>
        <v>0.676</v>
      </c>
      <c r="P148" s="12" t="n">
        <f aca="false">COUNT(M148:O148)</f>
        <v>3</v>
      </c>
      <c r="W148" s="12" t="n">
        <f aca="false">COUNTA(Q148:V148)</f>
        <v>0</v>
      </c>
      <c r="X148" s="14" t="n">
        <f aca="false">IF(P148=0,"",MIN(1,AVERAGE(M148:O148)+Critérios!$B$5*W148))</f>
        <v>0.555</v>
      </c>
      <c r="Y148" s="12" t="str">
        <f aca="false">IF(X148="","",IF(X148&gt;=Critérios!$B$7,"A",IF(X148&gt;=Critérios!$B$8,"B","C")))</f>
        <v>B</v>
      </c>
      <c r="Z148" s="12" t="n">
        <f aca="false">IF(X148="","",RANK(X148,$X$2:$X$354))</f>
        <v>147</v>
      </c>
      <c r="AA148" s="12" t="str">
        <f aca="false">IF(X148="","Sairia — sem métrica",IF(PERCENTRANK($X$2:$X$354,X148)&lt;Critérios!$B$6,"Sairia — terço inferior","Fica"))</f>
        <v>Fica</v>
      </c>
      <c r="AB148" s="12" t="s">
        <v>105</v>
      </c>
      <c r="AD148" s="15" t="s">
        <v>95</v>
      </c>
      <c r="AE148" s="16"/>
      <c r="AF148" s="12" t="s">
        <v>578</v>
      </c>
      <c r="AG148" s="12" t="s">
        <v>851</v>
      </c>
      <c r="AH148" s="12" t="n">
        <f aca="false">COUNT(G148,I148,K148)+COUNTA(Q148:V148)</f>
        <v>3</v>
      </c>
      <c r="AI148" s="12" t="str">
        <f aca="false">IF(AH148&gt;=3,"Sim","Não")</f>
        <v>Sim</v>
      </c>
      <c r="AJ148" s="12" t="str">
        <f aca="false">IF(AND(Z148&lt;&gt;"",Z148&lt;=Critérios!$B$9),"Sim","Não")</f>
        <v>Não</v>
      </c>
    </row>
    <row r="149" customFormat="false" ht="15" hidden="false" customHeight="false" outlineLevel="0" collapsed="false">
      <c r="A149" s="12" t="s">
        <v>852</v>
      </c>
      <c r="B149" s="12" t="s">
        <v>853</v>
      </c>
      <c r="C149" s="12" t="s">
        <v>854</v>
      </c>
      <c r="D149" s="12" t="s">
        <v>358</v>
      </c>
      <c r="E149" s="12" t="s">
        <v>91</v>
      </c>
      <c r="F149" s="12" t="s">
        <v>92</v>
      </c>
      <c r="G149" s="13" t="n">
        <v>3227105</v>
      </c>
      <c r="H149" s="13" t="n">
        <v>28358980</v>
      </c>
      <c r="I149" s="13" t="n">
        <v>623933331</v>
      </c>
      <c r="J149" s="12" t="n">
        <v>7</v>
      </c>
      <c r="K149" s="13" t="n">
        <v>960989</v>
      </c>
      <c r="L149" s="12" t="n">
        <v>6.9</v>
      </c>
      <c r="M149" s="14" t="n">
        <f aca="false">IF(G149="","",PERCENTRANK($G$2:$G$354,G149))</f>
        <v>0.487</v>
      </c>
      <c r="N149" s="14" t="n">
        <f aca="false">IF(I149="","",PERCENTRANK($I$2:$I$354,I149))</f>
        <v>0.301</v>
      </c>
      <c r="O149" s="14" t="n">
        <f aca="false">IF(K149="","",PERCENTRANK($K$2:$K$354,K149))</f>
        <v>0.872</v>
      </c>
      <c r="P149" s="12" t="n">
        <f aca="false">COUNT(M149:O149)</f>
        <v>3</v>
      </c>
      <c r="W149" s="12" t="n">
        <f aca="false">COUNTA(Q149:V149)</f>
        <v>0</v>
      </c>
      <c r="X149" s="14" t="n">
        <f aca="false">IF(P149=0,"",MIN(1,AVERAGE(M149:O149)+Critérios!$B$5*W149))</f>
        <v>0.553333333333333</v>
      </c>
      <c r="Y149" s="12" t="str">
        <f aca="false">IF(X149="","",IF(X149&gt;=Critérios!$B$7,"A",IF(X149&gt;=Critérios!$B$8,"B","C")))</f>
        <v>B</v>
      </c>
      <c r="Z149" s="12" t="n">
        <f aca="false">IF(X149="","",RANK(X149,$X$2:$X$354))</f>
        <v>148</v>
      </c>
      <c r="AA149" s="12" t="str">
        <f aca="false">IF(X149="","Sairia — sem métrica",IF(PERCENTRANK($X$2:$X$354,X149)&lt;Critérios!$B$6,"Sairia — terço inferior","Fica"))</f>
        <v>Fica</v>
      </c>
      <c r="AB149" s="12" t="s">
        <v>105</v>
      </c>
      <c r="AD149" s="15" t="s">
        <v>95</v>
      </c>
      <c r="AE149" s="16"/>
      <c r="AF149" s="12" t="s">
        <v>359</v>
      </c>
      <c r="AG149" s="12" t="s">
        <v>855</v>
      </c>
      <c r="AH149" s="12" t="n">
        <f aca="false">COUNT(G149,I149,K149)+COUNTA(Q149:V149)</f>
        <v>3</v>
      </c>
      <c r="AI149" s="12" t="str">
        <f aca="false">IF(AH149&gt;=3,"Sim","Não")</f>
        <v>Sim</v>
      </c>
      <c r="AJ149" s="12" t="str">
        <f aca="false">IF(AND(Z149&lt;&gt;"",Z149&lt;=Critérios!$B$9),"Sim","Não")</f>
        <v>Não</v>
      </c>
    </row>
    <row r="150" customFormat="false" ht="15" hidden="false" customHeight="false" outlineLevel="0" collapsed="false">
      <c r="A150" s="12" t="s">
        <v>856</v>
      </c>
      <c r="B150" s="12" t="s">
        <v>857</v>
      </c>
      <c r="C150" s="12" t="s">
        <v>858</v>
      </c>
      <c r="D150" s="12" t="s">
        <v>118</v>
      </c>
      <c r="E150" s="12" t="s">
        <v>91</v>
      </c>
      <c r="F150" s="12" t="s">
        <v>92</v>
      </c>
      <c r="G150" s="13" t="n">
        <v>3909763</v>
      </c>
      <c r="H150" s="13" t="n">
        <v>76850893</v>
      </c>
      <c r="I150" s="13" t="n">
        <v>1001978080</v>
      </c>
      <c r="J150" s="12" t="n">
        <v>3</v>
      </c>
      <c r="K150" s="13" t="n">
        <v>252322</v>
      </c>
      <c r="L150" s="12" t="n">
        <v>5.6</v>
      </c>
      <c r="M150" s="14" t="n">
        <f aca="false">IF(G150="","",PERCENTRANK($G$2:$G$354,G150))</f>
        <v>0.552</v>
      </c>
      <c r="N150" s="14" t="n">
        <f aca="false">IF(I150="","",PERCENTRANK($I$2:$I$354,I150))</f>
        <v>0.75</v>
      </c>
      <c r="O150" s="14" t="n">
        <f aca="false">IF(K150="","",PERCENTRANK($K$2:$K$354,K150))</f>
        <v>0.259</v>
      </c>
      <c r="P150" s="12" t="n">
        <f aca="false">COUNT(M150:O150)</f>
        <v>3</v>
      </c>
      <c r="Q150" s="12" t="s">
        <v>859</v>
      </c>
      <c r="W150" s="12" t="n">
        <f aca="false">COUNTA(Q150:V150)</f>
        <v>1</v>
      </c>
      <c r="X150" s="14" t="n">
        <f aca="false">IF(P150=0,"",MIN(1,AVERAGE(M150:O150)+Critérios!$B$5*W150))</f>
        <v>0.550333333333333</v>
      </c>
      <c r="Y150" s="12" t="str">
        <f aca="false">IF(X150="","",IF(X150&gt;=Critérios!$B$7,"A",IF(X150&gt;=Critérios!$B$8,"B","C")))</f>
        <v>B</v>
      </c>
      <c r="Z150" s="12" t="n">
        <f aca="false">IF(X150="","",RANK(X150,$X$2:$X$354))</f>
        <v>149</v>
      </c>
      <c r="AA150" s="12" t="str">
        <f aca="false">IF(X150="","Sairia — sem métrica",IF(PERCENTRANK($X$2:$X$354,X150)&lt;Critérios!$B$6,"Sairia — terço inferior","Fica"))</f>
        <v>Fica</v>
      </c>
      <c r="AB150" s="12" t="s">
        <v>94</v>
      </c>
      <c r="AD150" s="15" t="s">
        <v>95</v>
      </c>
      <c r="AE150" s="16"/>
      <c r="AF150" s="12" t="s">
        <v>220</v>
      </c>
      <c r="AG150" s="12" t="s">
        <v>860</v>
      </c>
      <c r="AH150" s="12" t="n">
        <f aca="false">COUNT(G150,I150,K150)+COUNTA(Q150:V150)</f>
        <v>4</v>
      </c>
      <c r="AI150" s="12" t="str">
        <f aca="false">IF(AH150&gt;=3,"Sim","Não")</f>
        <v>Sim</v>
      </c>
      <c r="AJ150" s="12" t="str">
        <f aca="false">IF(AND(Z150&lt;&gt;"",Z150&lt;=Critérios!$B$9),"Sim","Não")</f>
        <v>Não</v>
      </c>
    </row>
    <row r="151" customFormat="false" ht="15" hidden="false" customHeight="false" outlineLevel="0" collapsed="false">
      <c r="A151" s="12" t="s">
        <v>861</v>
      </c>
      <c r="B151" s="12" t="s">
        <v>862</v>
      </c>
      <c r="C151" s="12" t="s">
        <v>863</v>
      </c>
      <c r="D151" s="12" t="s">
        <v>286</v>
      </c>
      <c r="E151" s="12" t="s">
        <v>91</v>
      </c>
      <c r="F151" s="12" t="s">
        <v>92</v>
      </c>
      <c r="G151" s="13" t="n">
        <v>1577044</v>
      </c>
      <c r="H151" s="13" t="n">
        <v>10972173</v>
      </c>
      <c r="I151" s="17"/>
      <c r="K151" s="13" t="n">
        <v>1269162</v>
      </c>
      <c r="L151" s="12" t="n">
        <v>8.1</v>
      </c>
      <c r="M151" s="14" t="n">
        <f aca="false">IF(G151="","",PERCENTRANK($G$2:$G$354,G151))</f>
        <v>0.141</v>
      </c>
      <c r="N151" s="14" t="str">
        <f aca="false">IF(I151="","",PERCENTRANK($I$2:$I$354,I151))</f>
        <v/>
      </c>
      <c r="O151" s="14" t="n">
        <f aca="false">IF(K151="","",PERCENTRANK($K$2:$K$354,K151))</f>
        <v>0.949</v>
      </c>
      <c r="P151" s="12" t="n">
        <f aca="false">COUNT(M151:O151)</f>
        <v>2</v>
      </c>
      <c r="W151" s="12" t="n">
        <f aca="false">COUNTA(Q151:V151)</f>
        <v>0</v>
      </c>
      <c r="X151" s="14" t="n">
        <f aca="false">IF(P151=0,"",MIN(1,AVERAGE(M151:O151)+Critérios!$B$5*W151))</f>
        <v>0.545</v>
      </c>
      <c r="Y151" s="12" t="str">
        <f aca="false">IF(X151="","",IF(X151&gt;=Critérios!$B$7,"A",IF(X151&gt;=Critérios!$B$8,"B","C")))</f>
        <v>B</v>
      </c>
      <c r="Z151" s="12" t="n">
        <f aca="false">IF(X151="","",RANK(X151,$X$2:$X$354))</f>
        <v>150</v>
      </c>
      <c r="AA151" s="12" t="str">
        <f aca="false">IF(X151="","Sairia — sem métrica",IF(PERCENTRANK($X$2:$X$354,X151)&lt;Critérios!$B$6,"Sairia — terço inferior","Fica"))</f>
        <v>Fica</v>
      </c>
      <c r="AB151" s="12" t="s">
        <v>105</v>
      </c>
      <c r="AC151" s="12" t="s">
        <v>130</v>
      </c>
      <c r="AD151" s="15" t="s">
        <v>95</v>
      </c>
      <c r="AE151" s="16"/>
      <c r="AF151" s="12" t="s">
        <v>864</v>
      </c>
      <c r="AG151" s="12" t="s">
        <v>865</v>
      </c>
      <c r="AH151" s="12" t="n">
        <f aca="false">COUNT(G151,I151,K151)+COUNTA(Q151:V151)</f>
        <v>2</v>
      </c>
      <c r="AI151" s="12" t="str">
        <f aca="false">IF(AH151&gt;=3,"Sim","Não")</f>
        <v>Não</v>
      </c>
      <c r="AJ151" s="12" t="str">
        <f aca="false">IF(AND(Z151&lt;&gt;"",Z151&lt;=Critérios!$B$9),"Sim","Não")</f>
        <v>Não</v>
      </c>
    </row>
    <row r="152" customFormat="false" ht="15" hidden="false" customHeight="false" outlineLevel="0" collapsed="false">
      <c r="A152" s="12" t="s">
        <v>866</v>
      </c>
      <c r="B152" s="12" t="s">
        <v>867</v>
      </c>
      <c r="C152" s="12" t="s">
        <v>868</v>
      </c>
      <c r="D152" s="12" t="s">
        <v>500</v>
      </c>
      <c r="E152" s="12" t="s">
        <v>91</v>
      </c>
      <c r="F152" s="12" t="s">
        <v>92</v>
      </c>
      <c r="G152" s="13" t="n">
        <v>1018241</v>
      </c>
      <c r="H152" s="13" t="n">
        <v>9193549</v>
      </c>
      <c r="I152" s="17"/>
      <c r="K152" s="13" t="n">
        <v>1584263</v>
      </c>
      <c r="L152" s="12" t="n">
        <v>8.5</v>
      </c>
      <c r="M152" s="14" t="n">
        <f aca="false">IF(G152="","",PERCENTRANK($G$2:$G$354,G152))</f>
        <v>0.0556</v>
      </c>
      <c r="N152" s="14" t="str">
        <f aca="false">IF(I152="","",PERCENTRANK($I$2:$I$354,I152))</f>
        <v/>
      </c>
      <c r="O152" s="14" t="n">
        <f aca="false">IF(K152="","",PERCENTRANK($K$2:$K$354,K152))</f>
        <v>0.972</v>
      </c>
      <c r="P152" s="12" t="n">
        <f aca="false">COUNT(M152:O152)</f>
        <v>2</v>
      </c>
      <c r="R152" s="12" t="s">
        <v>869</v>
      </c>
      <c r="W152" s="12" t="n">
        <f aca="false">COUNTA(Q152:V152)</f>
        <v>1</v>
      </c>
      <c r="X152" s="14" t="n">
        <f aca="false">IF(P152=0,"",MIN(1,AVERAGE(M152:O152)+Critérios!$B$5*W152))</f>
        <v>0.5438</v>
      </c>
      <c r="Y152" s="12" t="str">
        <f aca="false">IF(X152="","",IF(X152&gt;=Critérios!$B$7,"A",IF(X152&gt;=Critérios!$B$8,"B","C")))</f>
        <v>B</v>
      </c>
      <c r="Z152" s="12" t="n">
        <f aca="false">IF(X152="","",RANK(X152,$X$2:$X$354))</f>
        <v>151</v>
      </c>
      <c r="AA152" s="12" t="str">
        <f aca="false">IF(X152="","Sairia — sem métrica",IF(PERCENTRANK($X$2:$X$354,X152)&lt;Critérios!$B$6,"Sairia — terço inferior","Fica"))</f>
        <v>Fica</v>
      </c>
      <c r="AB152" s="12" t="s">
        <v>105</v>
      </c>
      <c r="AD152" s="15" t="s">
        <v>95</v>
      </c>
      <c r="AE152" s="16"/>
      <c r="AF152" s="12" t="s">
        <v>870</v>
      </c>
      <c r="AG152" s="12" t="s">
        <v>871</v>
      </c>
      <c r="AH152" s="12" t="n">
        <f aca="false">COUNT(G152,I152,K152)+COUNTA(Q152:V152)</f>
        <v>3</v>
      </c>
      <c r="AI152" s="12" t="str">
        <f aca="false">IF(AH152&gt;=3,"Sim","Não")</f>
        <v>Sim</v>
      </c>
      <c r="AJ152" s="12" t="str">
        <f aca="false">IF(AND(Z152&lt;&gt;"",Z152&lt;=Critérios!$B$9),"Sim","Não")</f>
        <v>Não</v>
      </c>
    </row>
    <row r="153" customFormat="false" ht="15" hidden="false" customHeight="false" outlineLevel="0" collapsed="false">
      <c r="A153" s="12" t="s">
        <v>872</v>
      </c>
      <c r="B153" s="12" t="s">
        <v>873</v>
      </c>
      <c r="C153" s="12" t="s">
        <v>874</v>
      </c>
      <c r="D153" s="12" t="s">
        <v>134</v>
      </c>
      <c r="E153" s="12" t="s">
        <v>91</v>
      </c>
      <c r="F153" s="12" t="s">
        <v>92</v>
      </c>
      <c r="G153" s="13" t="n">
        <v>2047897</v>
      </c>
      <c r="H153" s="13" t="n">
        <v>19421024</v>
      </c>
      <c r="I153" s="13" t="n">
        <v>735099082</v>
      </c>
      <c r="J153" s="12" t="n">
        <v>6</v>
      </c>
      <c r="K153" s="13" t="n">
        <v>1259577</v>
      </c>
      <c r="L153" s="12" t="n">
        <v>8.3</v>
      </c>
      <c r="M153" s="14" t="n">
        <f aca="false">IF(G153="","",PERCENTRANK($G$2:$G$354,G153))</f>
        <v>0.232</v>
      </c>
      <c r="N153" s="14" t="n">
        <f aca="false">IF(I153="","",PERCENTRANK($I$2:$I$354,I153))</f>
        <v>0.449</v>
      </c>
      <c r="O153" s="14" t="n">
        <f aca="false">IF(K153="","",PERCENTRANK($K$2:$K$354,K153))</f>
        <v>0.946</v>
      </c>
      <c r="P153" s="12" t="n">
        <f aca="false">COUNT(M153:O153)</f>
        <v>3</v>
      </c>
      <c r="W153" s="12" t="n">
        <f aca="false">COUNTA(Q153:V153)</f>
        <v>0</v>
      </c>
      <c r="X153" s="14" t="n">
        <f aca="false">IF(P153=0,"",MIN(1,AVERAGE(M153:O153)+Critérios!$B$5*W153))</f>
        <v>0.542333333333333</v>
      </c>
      <c r="Y153" s="12" t="str">
        <f aca="false">IF(X153="","",IF(X153&gt;=Critérios!$B$7,"A",IF(X153&gt;=Critérios!$B$8,"B","C")))</f>
        <v>B</v>
      </c>
      <c r="Z153" s="12" t="n">
        <f aca="false">IF(X153="","",RANK(X153,$X$2:$X$354))</f>
        <v>152</v>
      </c>
      <c r="AA153" s="12" t="str">
        <f aca="false">IF(X153="","Sairia — sem métrica",IF(PERCENTRANK($X$2:$X$354,X153)&lt;Critérios!$B$6,"Sairia — terço inferior","Fica"))</f>
        <v>Fica</v>
      </c>
      <c r="AB153" s="12" t="s">
        <v>105</v>
      </c>
      <c r="AD153" s="15" t="s">
        <v>95</v>
      </c>
      <c r="AE153" s="16"/>
      <c r="AF153" s="12" t="s">
        <v>524</v>
      </c>
      <c r="AG153" s="12" t="s">
        <v>875</v>
      </c>
      <c r="AH153" s="12" t="n">
        <f aca="false">COUNT(G153,I153,K153)+COUNTA(Q153:V153)</f>
        <v>3</v>
      </c>
      <c r="AI153" s="12" t="str">
        <f aca="false">IF(AH153&gt;=3,"Sim","Não")</f>
        <v>Sim</v>
      </c>
      <c r="AJ153" s="12" t="str">
        <f aca="false">IF(AND(Z153&lt;&gt;"",Z153&lt;=Critérios!$B$9),"Sim","Não")</f>
        <v>Não</v>
      </c>
    </row>
    <row r="154" customFormat="false" ht="15" hidden="false" customHeight="false" outlineLevel="0" collapsed="false">
      <c r="A154" s="12" t="s">
        <v>876</v>
      </c>
      <c r="B154" s="12" t="s">
        <v>877</v>
      </c>
      <c r="C154" s="12" t="s">
        <v>878</v>
      </c>
      <c r="D154" s="12" t="s">
        <v>189</v>
      </c>
      <c r="E154" s="12" t="s">
        <v>91</v>
      </c>
      <c r="F154" s="12" t="s">
        <v>92</v>
      </c>
      <c r="G154" s="13" t="n">
        <v>4416403</v>
      </c>
      <c r="H154" s="13" t="n">
        <v>62069443</v>
      </c>
      <c r="I154" s="13" t="n">
        <v>875457937</v>
      </c>
      <c r="J154" s="12" t="n">
        <v>6</v>
      </c>
      <c r="K154" s="13" t="n">
        <v>239698</v>
      </c>
      <c r="L154" s="12" t="n">
        <v>6.5</v>
      </c>
      <c r="M154" s="14" t="n">
        <f aca="false">IF(G154="","",PERCENTRANK($G$2:$G$354,G154))</f>
        <v>0.657</v>
      </c>
      <c r="N154" s="14" t="n">
        <f aca="false">IF(I154="","",PERCENTRANK($I$2:$I$354,I154))</f>
        <v>0.636</v>
      </c>
      <c r="O154" s="14" t="n">
        <f aca="false">IF(K154="","",PERCENTRANK($K$2:$K$354,K154))</f>
        <v>0.239</v>
      </c>
      <c r="P154" s="12" t="n">
        <f aca="false">COUNT(M154:O154)</f>
        <v>3</v>
      </c>
      <c r="Q154" s="12" t="s">
        <v>879</v>
      </c>
      <c r="W154" s="12" t="n">
        <f aca="false">COUNTA(Q154:V154)</f>
        <v>1</v>
      </c>
      <c r="X154" s="14" t="n">
        <f aca="false">IF(P154=0,"",MIN(1,AVERAGE(M154:O154)+Critérios!$B$5*W154))</f>
        <v>0.540666666666667</v>
      </c>
      <c r="Y154" s="12" t="str">
        <f aca="false">IF(X154="","",IF(X154&gt;=Critérios!$B$7,"A",IF(X154&gt;=Critérios!$B$8,"B","C")))</f>
        <v>B</v>
      </c>
      <c r="Z154" s="12" t="n">
        <f aca="false">IF(X154="","",RANK(X154,$X$2:$X$354))</f>
        <v>153</v>
      </c>
      <c r="AA154" s="12" t="str">
        <f aca="false">IF(X154="","Sairia — sem métrica",IF(PERCENTRANK($X$2:$X$354,X154)&lt;Critérios!$B$6,"Sairia — terço inferior","Fica"))</f>
        <v>Fica</v>
      </c>
      <c r="AB154" s="12" t="s">
        <v>94</v>
      </c>
      <c r="AD154" s="15" t="s">
        <v>95</v>
      </c>
      <c r="AE154" s="16"/>
      <c r="AF154" s="12" t="s">
        <v>333</v>
      </c>
      <c r="AG154" s="12" t="s">
        <v>880</v>
      </c>
      <c r="AH154" s="12" t="n">
        <f aca="false">COUNT(G154,I154,K154)+COUNTA(Q154:V154)</f>
        <v>4</v>
      </c>
      <c r="AI154" s="12" t="str">
        <f aca="false">IF(AH154&gt;=3,"Sim","Não")</f>
        <v>Sim</v>
      </c>
      <c r="AJ154" s="12" t="str">
        <f aca="false">IF(AND(Z154&lt;&gt;"",Z154&lt;=Critérios!$B$9),"Sim","Não")</f>
        <v>Não</v>
      </c>
    </row>
    <row r="155" customFormat="false" ht="15" hidden="false" customHeight="false" outlineLevel="0" collapsed="false">
      <c r="A155" s="12" t="s">
        <v>881</v>
      </c>
      <c r="B155" s="12" t="s">
        <v>882</v>
      </c>
      <c r="C155" s="12" t="s">
        <v>883</v>
      </c>
      <c r="D155" s="12" t="s">
        <v>321</v>
      </c>
      <c r="E155" s="12" t="s">
        <v>91</v>
      </c>
      <c r="F155" s="12" t="s">
        <v>92</v>
      </c>
      <c r="G155" s="13" t="n">
        <v>2811622</v>
      </c>
      <c r="H155" s="13" t="n">
        <v>23410952</v>
      </c>
      <c r="I155" s="13" t="n">
        <v>585796247</v>
      </c>
      <c r="J155" s="12" t="n">
        <v>8</v>
      </c>
      <c r="K155" s="13" t="n">
        <v>1254343</v>
      </c>
      <c r="L155" s="12" t="n">
        <v>7.9</v>
      </c>
      <c r="M155" s="14" t="n">
        <f aca="false">IF(G155="","",PERCENTRANK($G$2:$G$354,G155))</f>
        <v>0.408</v>
      </c>
      <c r="N155" s="14" t="n">
        <f aca="false">IF(I155="","",PERCENTRANK($I$2:$I$354,I155))</f>
        <v>0.258</v>
      </c>
      <c r="O155" s="14" t="n">
        <f aca="false">IF(K155="","",PERCENTRANK($K$2:$K$354,K155))</f>
        <v>0.94</v>
      </c>
      <c r="P155" s="12" t="n">
        <f aca="false">COUNT(M155:O155)</f>
        <v>3</v>
      </c>
      <c r="W155" s="12" t="n">
        <f aca="false">COUNTA(Q155:V155)</f>
        <v>0</v>
      </c>
      <c r="X155" s="14" t="n">
        <f aca="false">IF(P155=0,"",MIN(1,AVERAGE(M155:O155)+Critérios!$B$5*W155))</f>
        <v>0.535333333333333</v>
      </c>
      <c r="Y155" s="12" t="str">
        <f aca="false">IF(X155="","",IF(X155&gt;=Critérios!$B$7,"A",IF(X155&gt;=Critérios!$B$8,"B","C")))</f>
        <v>B</v>
      </c>
      <c r="Z155" s="12" t="n">
        <f aca="false">IF(X155="","",RANK(X155,$X$2:$X$354))</f>
        <v>154</v>
      </c>
      <c r="AA155" s="12" t="str">
        <f aca="false">IF(X155="","Sairia — sem métrica",IF(PERCENTRANK($X$2:$X$354,X155)&lt;Critérios!$B$6,"Sairia — terço inferior","Fica"))</f>
        <v>Fica</v>
      </c>
      <c r="AB155" s="12" t="s">
        <v>105</v>
      </c>
      <c r="AD155" s="15" t="s">
        <v>95</v>
      </c>
      <c r="AE155" s="16"/>
      <c r="AF155" s="12" t="s">
        <v>323</v>
      </c>
      <c r="AG155" s="12" t="s">
        <v>884</v>
      </c>
      <c r="AH155" s="12" t="n">
        <f aca="false">COUNT(G155,I155,K155)+COUNTA(Q155:V155)</f>
        <v>3</v>
      </c>
      <c r="AI155" s="12" t="str">
        <f aca="false">IF(AH155&gt;=3,"Sim","Não")</f>
        <v>Sim</v>
      </c>
      <c r="AJ155" s="12" t="str">
        <f aca="false">IF(AND(Z155&lt;&gt;"",Z155&lt;=Critérios!$B$9),"Sim","Não")</f>
        <v>Não</v>
      </c>
    </row>
    <row r="156" customFormat="false" ht="15" hidden="false" customHeight="false" outlineLevel="0" collapsed="false">
      <c r="A156" s="12" t="s">
        <v>885</v>
      </c>
      <c r="B156" s="12" t="s">
        <v>886</v>
      </c>
      <c r="C156" s="12" t="s">
        <v>887</v>
      </c>
      <c r="D156" s="12" t="s">
        <v>158</v>
      </c>
      <c r="E156" s="12" t="s">
        <v>91</v>
      </c>
      <c r="F156" s="12" t="s">
        <v>92</v>
      </c>
      <c r="G156" s="13" t="n">
        <v>4103629</v>
      </c>
      <c r="H156" s="13" t="n">
        <v>55432663</v>
      </c>
      <c r="I156" s="13" t="n">
        <v>710644566</v>
      </c>
      <c r="J156" s="12" t="n">
        <v>8</v>
      </c>
      <c r="K156" s="13" t="n">
        <v>516063</v>
      </c>
      <c r="L156" s="12" t="n">
        <v>7.6</v>
      </c>
      <c r="M156" s="14" t="n">
        <f aca="false">IF(G156="","",PERCENTRANK($G$2:$G$354,G156))</f>
        <v>0.585</v>
      </c>
      <c r="N156" s="14" t="n">
        <f aca="false">IF(I156="","",PERCENTRANK($I$2:$I$354,I156))</f>
        <v>0.419</v>
      </c>
      <c r="O156" s="14" t="n">
        <f aca="false">IF(K156="","",PERCENTRANK($K$2:$K$354,K156))</f>
        <v>0.602</v>
      </c>
      <c r="P156" s="12" t="n">
        <f aca="false">COUNT(M156:O156)</f>
        <v>3</v>
      </c>
      <c r="W156" s="12" t="n">
        <f aca="false">COUNTA(Q156:V156)</f>
        <v>0</v>
      </c>
      <c r="X156" s="14" t="n">
        <f aca="false">IF(P156=0,"",MIN(1,AVERAGE(M156:O156)+Critérios!$B$5*W156))</f>
        <v>0.535333333333333</v>
      </c>
      <c r="Y156" s="12" t="str">
        <f aca="false">IF(X156="","",IF(X156&gt;=Critérios!$B$7,"A",IF(X156&gt;=Critérios!$B$8,"B","C")))</f>
        <v>B</v>
      </c>
      <c r="Z156" s="12" t="n">
        <f aca="false">IF(X156="","",RANK(X156,$X$2:$X$354))</f>
        <v>154</v>
      </c>
      <c r="AA156" s="12" t="str">
        <f aca="false">IF(X156="","Sairia — sem métrica",IF(PERCENTRANK($X$2:$X$354,X156)&lt;Critérios!$B$6,"Sairia — terço inferior","Fica"))</f>
        <v>Fica</v>
      </c>
      <c r="AB156" s="12" t="s">
        <v>94</v>
      </c>
      <c r="AD156" s="15" t="s">
        <v>95</v>
      </c>
      <c r="AE156" s="16"/>
      <c r="AF156" s="12" t="s">
        <v>578</v>
      </c>
      <c r="AG156" s="12" t="s">
        <v>888</v>
      </c>
      <c r="AH156" s="12" t="n">
        <f aca="false">COUNT(G156,I156,K156)+COUNTA(Q156:V156)</f>
        <v>3</v>
      </c>
      <c r="AI156" s="12" t="str">
        <f aca="false">IF(AH156&gt;=3,"Sim","Não")</f>
        <v>Sim</v>
      </c>
      <c r="AJ156" s="12" t="str">
        <f aca="false">IF(AND(Z156&lt;&gt;"",Z156&lt;=Critérios!$B$9),"Sim","Não")</f>
        <v>Não</v>
      </c>
    </row>
    <row r="157" customFormat="false" ht="15" hidden="false" customHeight="false" outlineLevel="0" collapsed="false">
      <c r="A157" s="12" t="s">
        <v>889</v>
      </c>
      <c r="B157" s="12" t="s">
        <v>890</v>
      </c>
      <c r="C157" s="12" t="s">
        <v>891</v>
      </c>
      <c r="D157" s="12" t="s">
        <v>358</v>
      </c>
      <c r="E157" s="12" t="s">
        <v>91</v>
      </c>
      <c r="F157" s="12" t="s">
        <v>92</v>
      </c>
      <c r="G157" s="13" t="n">
        <v>7368374</v>
      </c>
      <c r="H157" s="13" t="n">
        <v>70471835</v>
      </c>
      <c r="I157" s="13" t="n">
        <v>752600867</v>
      </c>
      <c r="J157" s="12" t="n">
        <v>5</v>
      </c>
      <c r="K157" s="13" t="n">
        <v>250487</v>
      </c>
      <c r="L157" s="12" t="n">
        <v>6.4</v>
      </c>
      <c r="M157" s="14" t="n">
        <f aca="false">IF(G157="","",PERCENTRANK($G$2:$G$354,G157))</f>
        <v>0.869</v>
      </c>
      <c r="N157" s="14" t="n">
        <f aca="false">IF(I157="","",PERCENTRANK($I$2:$I$354,I157))</f>
        <v>0.479</v>
      </c>
      <c r="O157" s="14" t="n">
        <f aca="false">IF(K157="","",PERCENTRANK($K$2:$K$354,K157))</f>
        <v>0.256</v>
      </c>
      <c r="P157" s="12" t="n">
        <f aca="false">COUNT(M157:O157)</f>
        <v>3</v>
      </c>
      <c r="W157" s="12" t="n">
        <f aca="false">COUNTA(Q157:V157)</f>
        <v>0</v>
      </c>
      <c r="X157" s="14" t="n">
        <f aca="false">IF(P157=0,"",MIN(1,AVERAGE(M157:O157)+Critérios!$B$5*W157))</f>
        <v>0.534666666666667</v>
      </c>
      <c r="Y157" s="12" t="str">
        <f aca="false">IF(X157="","",IF(X157&gt;=Critérios!$B$7,"A",IF(X157&gt;=Critérios!$B$8,"B","C")))</f>
        <v>B</v>
      </c>
      <c r="Z157" s="12" t="n">
        <f aca="false">IF(X157="","",RANK(X157,$X$2:$X$354))</f>
        <v>156</v>
      </c>
      <c r="AA157" s="12" t="str">
        <f aca="false">IF(X157="","Sairia — sem métrica",IF(PERCENTRANK($X$2:$X$354,X157)&lt;Critérios!$B$6,"Sairia — terço inferior","Fica"))</f>
        <v>Fica</v>
      </c>
      <c r="AB157" s="12" t="s">
        <v>105</v>
      </c>
      <c r="AD157" s="15" t="s">
        <v>95</v>
      </c>
      <c r="AE157" s="16"/>
      <c r="AF157" s="12" t="s">
        <v>359</v>
      </c>
      <c r="AG157" s="12" t="s">
        <v>892</v>
      </c>
      <c r="AH157" s="12" t="n">
        <f aca="false">COUNT(G157,I157,K157)+COUNTA(Q157:V157)</f>
        <v>3</v>
      </c>
      <c r="AI157" s="12" t="str">
        <f aca="false">IF(AH157&gt;=3,"Sim","Não")</f>
        <v>Sim</v>
      </c>
      <c r="AJ157" s="12" t="str">
        <f aca="false">IF(AND(Z157&lt;&gt;"",Z157&lt;=Critérios!$B$9),"Sim","Não")</f>
        <v>Não</v>
      </c>
    </row>
    <row r="158" customFormat="false" ht="15" hidden="false" customHeight="false" outlineLevel="0" collapsed="false">
      <c r="A158" s="12" t="s">
        <v>893</v>
      </c>
      <c r="B158" s="12" t="s">
        <v>894</v>
      </c>
      <c r="C158" s="12" t="s">
        <v>895</v>
      </c>
      <c r="D158" s="12" t="s">
        <v>202</v>
      </c>
      <c r="E158" s="12" t="s">
        <v>91</v>
      </c>
      <c r="F158" s="12" t="s">
        <v>92</v>
      </c>
      <c r="G158" s="13" t="n">
        <v>2756522</v>
      </c>
      <c r="H158" s="13" t="n">
        <v>36269303</v>
      </c>
      <c r="I158" s="13" t="n">
        <v>670145518</v>
      </c>
      <c r="J158" s="12" t="n">
        <v>9</v>
      </c>
      <c r="K158" s="13" t="n">
        <v>878628</v>
      </c>
      <c r="L158" s="12" t="n">
        <v>7.1</v>
      </c>
      <c r="M158" s="14" t="n">
        <f aca="false">IF(G158="","",PERCENTRANK($G$2:$G$354,G158))</f>
        <v>0.405</v>
      </c>
      <c r="N158" s="14" t="n">
        <f aca="false">IF(I158="","",PERCENTRANK($I$2:$I$354,I158))</f>
        <v>0.373</v>
      </c>
      <c r="O158" s="14" t="n">
        <f aca="false">IF(K158="","",PERCENTRANK($K$2:$K$354,K158))</f>
        <v>0.821</v>
      </c>
      <c r="P158" s="12" t="n">
        <f aca="false">COUNT(M158:O158)</f>
        <v>3</v>
      </c>
      <c r="W158" s="12" t="n">
        <f aca="false">COUNTA(Q158:V158)</f>
        <v>0</v>
      </c>
      <c r="X158" s="14" t="n">
        <f aca="false">IF(P158=0,"",MIN(1,AVERAGE(M158:O158)+Critérios!$B$5*W158))</f>
        <v>0.533</v>
      </c>
      <c r="Y158" s="12" t="str">
        <f aca="false">IF(X158="","",IF(X158&gt;=Critérios!$B$7,"A",IF(X158&gt;=Critérios!$B$8,"B","C")))</f>
        <v>B</v>
      </c>
      <c r="Z158" s="12" t="n">
        <f aca="false">IF(X158="","",RANK(X158,$X$2:$X$354))</f>
        <v>157</v>
      </c>
      <c r="AA158" s="12" t="str">
        <f aca="false">IF(X158="","Sairia — sem métrica",IF(PERCENTRANK($X$2:$X$354,X158)&lt;Critérios!$B$6,"Sairia — terço inferior","Fica"))</f>
        <v>Fica</v>
      </c>
      <c r="AB158" s="12" t="s">
        <v>105</v>
      </c>
      <c r="AD158" s="15" t="s">
        <v>95</v>
      </c>
      <c r="AE158" s="16"/>
      <c r="AF158" s="12" t="s">
        <v>203</v>
      </c>
      <c r="AG158" s="12" t="s">
        <v>896</v>
      </c>
      <c r="AH158" s="12" t="n">
        <f aca="false">COUNT(G158,I158,K158)+COUNTA(Q158:V158)</f>
        <v>3</v>
      </c>
      <c r="AI158" s="12" t="str">
        <f aca="false">IF(AH158&gt;=3,"Sim","Não")</f>
        <v>Sim</v>
      </c>
      <c r="AJ158" s="12" t="str">
        <f aca="false">IF(AND(Z158&lt;&gt;"",Z158&lt;=Critérios!$B$9),"Sim","Não")</f>
        <v>Não</v>
      </c>
    </row>
    <row r="159" customFormat="false" ht="15" hidden="false" customHeight="false" outlineLevel="0" collapsed="false">
      <c r="A159" s="12" t="s">
        <v>897</v>
      </c>
      <c r="B159" s="12"/>
      <c r="C159" s="12" t="s">
        <v>898</v>
      </c>
      <c r="D159" s="12" t="s">
        <v>505</v>
      </c>
      <c r="E159" s="12" t="s">
        <v>91</v>
      </c>
      <c r="F159" s="12" t="s">
        <v>92</v>
      </c>
      <c r="G159" s="17"/>
      <c r="H159" s="17"/>
      <c r="I159" s="13" t="n">
        <v>2215690000</v>
      </c>
      <c r="J159" s="12" t="n">
        <v>1</v>
      </c>
      <c r="K159" s="13" t="n">
        <v>26149</v>
      </c>
      <c r="L159" s="12" t="n">
        <v>7.9</v>
      </c>
      <c r="M159" s="14" t="str">
        <f aca="false">IF(G159="","",PERCENTRANK($G$2:$G$354,G159))</f>
        <v/>
      </c>
      <c r="N159" s="14" t="n">
        <f aca="false">IF(I159="","",PERCENTRANK($I$2:$I$354,I159))</f>
        <v>0.983</v>
      </c>
      <c r="O159" s="14" t="n">
        <f aca="false">IF(K159="","",PERCENTRANK($K$2:$K$354,K159))</f>
        <v>0.0227</v>
      </c>
      <c r="P159" s="12" t="n">
        <f aca="false">COUNT(M159:O159)</f>
        <v>2</v>
      </c>
      <c r="Q159" s="12" t="s">
        <v>899</v>
      </c>
      <c r="W159" s="12" t="n">
        <f aca="false">COUNTA(Q159:V159)</f>
        <v>1</v>
      </c>
      <c r="X159" s="14" t="n">
        <f aca="false">IF(P159=0,"",MIN(1,AVERAGE(M159:O159)+Critérios!$B$5*W159))</f>
        <v>0.53285</v>
      </c>
      <c r="Y159" s="12" t="str">
        <f aca="false">IF(X159="","",IF(X159&gt;=Critérios!$B$7,"A",IF(X159&gt;=Critérios!$B$8,"B","C")))</f>
        <v>B</v>
      </c>
      <c r="Z159" s="12" t="n">
        <f aca="false">IF(X159="","",RANK(X159,$X$2:$X$354))</f>
        <v>158</v>
      </c>
      <c r="AA159" s="12" t="str">
        <f aca="false">IF(X159="","Sairia — sem métrica",IF(PERCENTRANK($X$2:$X$354,X159)&lt;Critérios!$B$6,"Sairia — terço inferior","Fica"))</f>
        <v>Fica</v>
      </c>
      <c r="AB159" s="12" t="s">
        <v>105</v>
      </c>
      <c r="AC159" s="12" t="s">
        <v>900</v>
      </c>
      <c r="AD159" s="15" t="s">
        <v>95</v>
      </c>
      <c r="AE159" s="16"/>
      <c r="AF159" s="12" t="s">
        <v>901</v>
      </c>
      <c r="AG159" s="12" t="s">
        <v>902</v>
      </c>
      <c r="AH159" s="12" t="n">
        <f aca="false">COUNT(G159,I159,K159)+COUNTA(Q159:V159)</f>
        <v>3</v>
      </c>
      <c r="AI159" s="12" t="str">
        <f aca="false">IF(AH159&gt;=3,"Sim","Não")</f>
        <v>Sim</v>
      </c>
      <c r="AJ159" s="12" t="str">
        <f aca="false">IF(AND(Z159&lt;&gt;"",Z159&lt;=Critérios!$B$9),"Sim","Não")</f>
        <v>Não</v>
      </c>
    </row>
    <row r="160" customFormat="false" ht="15" hidden="false" customHeight="false" outlineLevel="0" collapsed="false">
      <c r="A160" s="12" t="s">
        <v>903</v>
      </c>
      <c r="B160" s="12" t="s">
        <v>904</v>
      </c>
      <c r="C160" s="12" t="s">
        <v>905</v>
      </c>
      <c r="D160" s="12" t="s">
        <v>134</v>
      </c>
      <c r="E160" s="12" t="s">
        <v>91</v>
      </c>
      <c r="F160" s="12" t="s">
        <v>92</v>
      </c>
      <c r="G160" s="13" t="n">
        <v>5686210</v>
      </c>
      <c r="H160" s="13" t="n">
        <v>45894366</v>
      </c>
      <c r="I160" s="13" t="n">
        <v>709827462</v>
      </c>
      <c r="J160" s="12" t="n">
        <v>7</v>
      </c>
      <c r="K160" s="13" t="n">
        <v>327587</v>
      </c>
      <c r="L160" s="12" t="n">
        <v>4.8</v>
      </c>
      <c r="M160" s="14" t="n">
        <f aca="false">IF(G160="","",PERCENTRANK($G$2:$G$354,G160))</f>
        <v>0.788</v>
      </c>
      <c r="N160" s="14" t="n">
        <f aca="false">IF(I160="","",PERCENTRANK($I$2:$I$354,I160))</f>
        <v>0.415</v>
      </c>
      <c r="O160" s="14" t="n">
        <f aca="false">IF(K160="","",PERCENTRANK($K$2:$K$354,K160))</f>
        <v>0.386</v>
      </c>
      <c r="P160" s="12" t="n">
        <f aca="false">COUNT(M160:O160)</f>
        <v>3</v>
      </c>
      <c r="W160" s="12" t="n">
        <f aca="false">COUNTA(Q160:V160)</f>
        <v>0</v>
      </c>
      <c r="X160" s="14" t="n">
        <f aca="false">IF(P160=0,"",MIN(1,AVERAGE(M160:O160)+Critérios!$B$5*W160))</f>
        <v>0.529666666666667</v>
      </c>
      <c r="Y160" s="12" t="str">
        <f aca="false">IF(X160="","",IF(X160&gt;=Critérios!$B$7,"A",IF(X160&gt;=Critérios!$B$8,"B","C")))</f>
        <v>B</v>
      </c>
      <c r="Z160" s="12" t="n">
        <f aca="false">IF(X160="","",RANK(X160,$X$2:$X$354))</f>
        <v>159</v>
      </c>
      <c r="AA160" s="12" t="str">
        <f aca="false">IF(X160="","Sairia — sem métrica",IF(PERCENTRANK($X$2:$X$354,X160)&lt;Critérios!$B$6,"Sairia — terço inferior","Fica"))</f>
        <v>Fica</v>
      </c>
      <c r="AB160" s="12" t="s">
        <v>105</v>
      </c>
      <c r="AD160" s="15" t="s">
        <v>95</v>
      </c>
      <c r="AE160" s="16"/>
      <c r="AF160" s="12" t="s">
        <v>524</v>
      </c>
      <c r="AG160" s="12" t="s">
        <v>906</v>
      </c>
      <c r="AH160" s="12" t="n">
        <f aca="false">COUNT(G160,I160,K160)+COUNTA(Q160:V160)</f>
        <v>3</v>
      </c>
      <c r="AI160" s="12" t="str">
        <f aca="false">IF(AH160&gt;=3,"Sim","Não")</f>
        <v>Sim</v>
      </c>
      <c r="AJ160" s="12" t="str">
        <f aca="false">IF(AND(Z160&lt;&gt;"",Z160&lt;=Critérios!$B$9),"Sim","Não")</f>
        <v>Não</v>
      </c>
    </row>
    <row r="161" customFormat="false" ht="15" hidden="false" customHeight="false" outlineLevel="0" collapsed="false">
      <c r="A161" s="12" t="s">
        <v>907</v>
      </c>
      <c r="B161" s="12" t="s">
        <v>908</v>
      </c>
      <c r="C161" s="12" t="s">
        <v>909</v>
      </c>
      <c r="D161" s="12" t="s">
        <v>214</v>
      </c>
      <c r="E161" s="12" t="s">
        <v>91</v>
      </c>
      <c r="F161" s="12" t="s">
        <v>92</v>
      </c>
      <c r="G161" s="13" t="n">
        <v>7159227</v>
      </c>
      <c r="H161" s="13" t="n">
        <v>66362694</v>
      </c>
      <c r="I161" s="13" t="n">
        <v>712205856</v>
      </c>
      <c r="J161" s="12" t="n">
        <v>4</v>
      </c>
      <c r="K161" s="13" t="n">
        <v>277840</v>
      </c>
      <c r="L161" s="12" t="n">
        <v>5</v>
      </c>
      <c r="M161" s="14" t="n">
        <f aca="false">IF(G161="","",PERCENTRANK($G$2:$G$354,G161))</f>
        <v>0.863</v>
      </c>
      <c r="N161" s="14" t="n">
        <f aca="false">IF(I161="","",PERCENTRANK($I$2:$I$354,I161))</f>
        <v>0.424</v>
      </c>
      <c r="O161" s="14" t="n">
        <f aca="false">IF(K161="","",PERCENTRANK($K$2:$K$354,K161))</f>
        <v>0.295</v>
      </c>
      <c r="P161" s="12" t="n">
        <f aca="false">COUNT(M161:O161)</f>
        <v>3</v>
      </c>
      <c r="W161" s="12" t="n">
        <f aca="false">COUNTA(Q161:V161)</f>
        <v>0</v>
      </c>
      <c r="X161" s="14" t="n">
        <f aca="false">IF(P161=0,"",MIN(1,AVERAGE(M161:O161)+Critérios!$B$5*W161))</f>
        <v>0.527333333333333</v>
      </c>
      <c r="Y161" s="12" t="str">
        <f aca="false">IF(X161="","",IF(X161&gt;=Critérios!$B$7,"A",IF(X161&gt;=Critérios!$B$8,"B","C")))</f>
        <v>B</v>
      </c>
      <c r="Z161" s="12" t="n">
        <f aca="false">IF(X161="","",RANK(X161,$X$2:$X$354))</f>
        <v>160</v>
      </c>
      <c r="AA161" s="12" t="str">
        <f aca="false">IF(X161="","Sairia — sem métrica",IF(PERCENTRANK($X$2:$X$354,X161)&lt;Critérios!$B$6,"Sairia — terço inferior","Fica"))</f>
        <v>Fica</v>
      </c>
      <c r="AB161" s="12" t="s">
        <v>105</v>
      </c>
      <c r="AD161" s="15" t="s">
        <v>95</v>
      </c>
      <c r="AE161" s="16"/>
      <c r="AF161" s="12" t="s">
        <v>215</v>
      </c>
      <c r="AG161" s="12" t="s">
        <v>910</v>
      </c>
      <c r="AH161" s="12" t="n">
        <f aca="false">COUNT(G161,I161,K161)+COUNTA(Q161:V161)</f>
        <v>3</v>
      </c>
      <c r="AI161" s="12" t="str">
        <f aca="false">IF(AH161&gt;=3,"Sim","Não")</f>
        <v>Sim</v>
      </c>
      <c r="AJ161" s="12" t="str">
        <f aca="false">IF(AND(Z161&lt;&gt;"",Z161&lt;=Critérios!$B$9),"Sim","Não")</f>
        <v>Não</v>
      </c>
    </row>
    <row r="162" customFormat="false" ht="15" hidden="false" customHeight="false" outlineLevel="0" collapsed="false">
      <c r="A162" s="12" t="s">
        <v>911</v>
      </c>
      <c r="B162" s="12" t="s">
        <v>912</v>
      </c>
      <c r="C162" s="12" t="s">
        <v>913</v>
      </c>
      <c r="D162" s="12" t="s">
        <v>207</v>
      </c>
      <c r="E162" s="12" t="s">
        <v>91</v>
      </c>
      <c r="F162" s="12" t="s">
        <v>92</v>
      </c>
      <c r="G162" s="13" t="n">
        <v>3659613</v>
      </c>
      <c r="H162" s="13" t="n">
        <v>55008892</v>
      </c>
      <c r="I162" s="17"/>
      <c r="K162" s="13" t="n">
        <v>393007</v>
      </c>
      <c r="L162" s="12" t="n">
        <v>6.5</v>
      </c>
      <c r="M162" s="14" t="n">
        <f aca="false">IF(G162="","",PERCENTRANK($G$2:$G$354,G162))</f>
        <v>0.539</v>
      </c>
      <c r="N162" s="14" t="str">
        <f aca="false">IF(I162="","",PERCENTRANK($I$2:$I$354,I162))</f>
        <v/>
      </c>
      <c r="O162" s="14" t="n">
        <f aca="false">IF(K162="","",PERCENTRANK($K$2:$K$354,K162))</f>
        <v>0.452</v>
      </c>
      <c r="P162" s="12" t="n">
        <f aca="false">COUNT(M162:O162)</f>
        <v>2</v>
      </c>
      <c r="Q162" s="12" t="s">
        <v>914</v>
      </c>
      <c r="W162" s="12" t="n">
        <f aca="false">COUNTA(Q162:V162)</f>
        <v>1</v>
      </c>
      <c r="X162" s="14" t="n">
        <f aca="false">IF(P162=0,"",MIN(1,AVERAGE(M162:O162)+Critérios!$B$5*W162))</f>
        <v>0.5255</v>
      </c>
      <c r="Y162" s="12" t="str">
        <f aca="false">IF(X162="","",IF(X162&gt;=Critérios!$B$7,"A",IF(X162&gt;=Critérios!$B$8,"B","C")))</f>
        <v>B</v>
      </c>
      <c r="Z162" s="12" t="n">
        <f aca="false">IF(X162="","",RANK(X162,$X$2:$X$354))</f>
        <v>161</v>
      </c>
      <c r="AA162" s="12" t="str">
        <f aca="false">IF(X162="","Sairia — sem métrica",IF(PERCENTRANK($X$2:$X$354,X162)&lt;Critérios!$B$6,"Sairia — terço inferior","Fica"))</f>
        <v>Fica</v>
      </c>
      <c r="AB162" s="12" t="s">
        <v>94</v>
      </c>
      <c r="AD162" s="15" t="s">
        <v>95</v>
      </c>
      <c r="AE162" s="16"/>
      <c r="AF162" s="12" t="s">
        <v>209</v>
      </c>
      <c r="AG162" s="12" t="s">
        <v>915</v>
      </c>
      <c r="AH162" s="12" t="n">
        <f aca="false">COUNT(G162,I162,K162)+COUNTA(Q162:V162)</f>
        <v>3</v>
      </c>
      <c r="AI162" s="12" t="str">
        <f aca="false">IF(AH162&gt;=3,"Sim","Não")</f>
        <v>Sim</v>
      </c>
      <c r="AJ162" s="12" t="str">
        <f aca="false">IF(AND(Z162&lt;&gt;"",Z162&lt;=Critérios!$B$9),"Sim","Não")</f>
        <v>Não</v>
      </c>
    </row>
    <row r="163" customFormat="false" ht="15" hidden="false" customHeight="false" outlineLevel="0" collapsed="false">
      <c r="A163" s="12" t="s">
        <v>916</v>
      </c>
      <c r="B163" s="12" t="s">
        <v>917</v>
      </c>
      <c r="C163" s="12" t="s">
        <v>918</v>
      </c>
      <c r="D163" s="12" t="s">
        <v>505</v>
      </c>
      <c r="E163" s="12" t="s">
        <v>91</v>
      </c>
      <c r="F163" s="12" t="s">
        <v>169</v>
      </c>
      <c r="G163" s="17"/>
      <c r="H163" s="17"/>
      <c r="I163" s="17"/>
      <c r="K163" s="13" t="n">
        <v>410987</v>
      </c>
      <c r="L163" s="12" t="n">
        <v>7.4</v>
      </c>
      <c r="M163" s="14" t="str">
        <f aca="false">IF(G163="","",PERCENTRANK($G$2:$G$354,G163))</f>
        <v/>
      </c>
      <c r="N163" s="14" t="str">
        <f aca="false">IF(I163="","",PERCENTRANK($I$2:$I$354,I163))</f>
        <v/>
      </c>
      <c r="O163" s="14" t="n">
        <f aca="false">IF(K163="","",PERCENTRANK($K$2:$K$354,K163))</f>
        <v>0.463</v>
      </c>
      <c r="P163" s="12" t="n">
        <f aca="false">COUNT(M163:O163)</f>
        <v>1</v>
      </c>
      <c r="Q163" s="12" t="s">
        <v>919</v>
      </c>
      <c r="R163" s="12" t="s">
        <v>920</v>
      </c>
      <c r="W163" s="12" t="n">
        <f aca="false">COUNTA(Q163:V163)</f>
        <v>2</v>
      </c>
      <c r="X163" s="14" t="n">
        <f aca="false">IF(P163=0,"",MIN(1,AVERAGE(M163:O163)+Critérios!$B$5*W163))</f>
        <v>0.523</v>
      </c>
      <c r="Y163" s="12" t="str">
        <f aca="false">IF(X163="","",IF(X163&gt;=Critérios!$B$7,"A",IF(X163&gt;=Critérios!$B$8,"B","C")))</f>
        <v>B</v>
      </c>
      <c r="Z163" s="12" t="n">
        <f aca="false">IF(X163="","",RANK(X163,$X$2:$X$354))</f>
        <v>162</v>
      </c>
      <c r="AA163" s="12" t="str">
        <f aca="false">IF(X163="","Sairia — sem métrica",IF(PERCENTRANK($X$2:$X$354,X163)&lt;Critérios!$B$6,"Sairia — terço inferior","Fica"))</f>
        <v>Fica</v>
      </c>
      <c r="AB163" s="12" t="s">
        <v>105</v>
      </c>
      <c r="AD163" s="15" t="s">
        <v>95</v>
      </c>
      <c r="AE163" s="16"/>
      <c r="AG163" s="12" t="s">
        <v>921</v>
      </c>
      <c r="AH163" s="12" t="n">
        <f aca="false">COUNT(G163,I163,K163)+COUNTA(Q163:V163)</f>
        <v>3</v>
      </c>
      <c r="AI163" s="12" t="str">
        <f aca="false">IF(AH163&gt;=3,"Sim","Não")</f>
        <v>Sim</v>
      </c>
      <c r="AJ163" s="12" t="str">
        <f aca="false">IF(AND(Z163&lt;&gt;"",Z163&lt;=Critérios!$B$9),"Sim","Não")</f>
        <v>Não</v>
      </c>
    </row>
    <row r="164" customFormat="false" ht="15" hidden="false" customHeight="false" outlineLevel="0" collapsed="false">
      <c r="A164" s="12" t="s">
        <v>922</v>
      </c>
      <c r="B164" s="12" t="s">
        <v>923</v>
      </c>
      <c r="C164" s="12" t="s">
        <v>924</v>
      </c>
      <c r="D164" s="12" t="s">
        <v>175</v>
      </c>
      <c r="E164" s="12" t="s">
        <v>91</v>
      </c>
      <c r="F164" s="12" t="s">
        <v>92</v>
      </c>
      <c r="G164" s="13" t="n">
        <v>3000973</v>
      </c>
      <c r="H164" s="13" t="n">
        <v>57635309</v>
      </c>
      <c r="I164" s="13" t="n">
        <v>690824738</v>
      </c>
      <c r="J164" s="12" t="n">
        <v>6</v>
      </c>
      <c r="K164" s="13" t="n">
        <v>557872</v>
      </c>
      <c r="L164" s="12" t="n">
        <v>8.5</v>
      </c>
      <c r="M164" s="14" t="n">
        <f aca="false">IF(G164="","",PERCENTRANK($G$2:$G$354,G164))</f>
        <v>0.451</v>
      </c>
      <c r="N164" s="14" t="n">
        <f aca="false">IF(I164="","",PERCENTRANK($I$2:$I$354,I164))</f>
        <v>0.386</v>
      </c>
      <c r="O164" s="14" t="n">
        <f aca="false">IF(K164="","",PERCENTRANK($K$2:$K$354,K164))</f>
        <v>0.636</v>
      </c>
      <c r="P164" s="12" t="n">
        <f aca="false">COUNT(M164:O164)</f>
        <v>3</v>
      </c>
      <c r="Q164" s="12" t="s">
        <v>925</v>
      </c>
      <c r="W164" s="12" t="n">
        <f aca="false">COUNTA(Q164:V164)</f>
        <v>1</v>
      </c>
      <c r="X164" s="14" t="n">
        <f aca="false">IF(P164=0,"",MIN(1,AVERAGE(M164:O164)+Critérios!$B$5*W164))</f>
        <v>0.521</v>
      </c>
      <c r="Y164" s="12" t="str">
        <f aca="false">IF(X164="","",IF(X164&gt;=Critérios!$B$7,"A",IF(X164&gt;=Critérios!$B$8,"B","C")))</f>
        <v>B</v>
      </c>
      <c r="Z164" s="12" t="n">
        <f aca="false">IF(X164="","",RANK(X164,$X$2:$X$354))</f>
        <v>163</v>
      </c>
      <c r="AA164" s="12" t="str">
        <f aca="false">IF(X164="","Sairia — sem métrica",IF(PERCENTRANK($X$2:$X$354,X164)&lt;Critérios!$B$6,"Sairia — terço inferior","Fica"))</f>
        <v>Fica</v>
      </c>
      <c r="AB164" s="12" t="s">
        <v>105</v>
      </c>
      <c r="AD164" s="15" t="s">
        <v>95</v>
      </c>
      <c r="AE164" s="16"/>
      <c r="AF164" s="12" t="s">
        <v>382</v>
      </c>
      <c r="AG164" s="12" t="s">
        <v>926</v>
      </c>
      <c r="AH164" s="12" t="n">
        <f aca="false">COUNT(G164,I164,K164)+COUNTA(Q164:V164)</f>
        <v>4</v>
      </c>
      <c r="AI164" s="12" t="str">
        <f aca="false">IF(AH164&gt;=3,"Sim","Não")</f>
        <v>Sim</v>
      </c>
      <c r="AJ164" s="12" t="str">
        <f aca="false">IF(AND(Z164&lt;&gt;"",Z164&lt;=Critérios!$B$9),"Sim","Não")</f>
        <v>Não</v>
      </c>
    </row>
    <row r="165" customFormat="false" ht="15" hidden="false" customHeight="false" outlineLevel="0" collapsed="false">
      <c r="A165" s="12" t="s">
        <v>927</v>
      </c>
      <c r="B165" s="12" t="s">
        <v>928</v>
      </c>
      <c r="C165" s="12" t="s">
        <v>929</v>
      </c>
      <c r="D165" s="12" t="s">
        <v>118</v>
      </c>
      <c r="E165" s="12" t="s">
        <v>91</v>
      </c>
      <c r="F165" s="12" t="s">
        <v>92</v>
      </c>
      <c r="G165" s="13" t="n">
        <v>4303488</v>
      </c>
      <c r="H165" s="13" t="n">
        <v>79586145</v>
      </c>
      <c r="I165" s="17"/>
      <c r="K165" s="13" t="n">
        <v>309658</v>
      </c>
      <c r="L165" s="12" t="n">
        <v>6.1</v>
      </c>
      <c r="M165" s="14" t="n">
        <f aca="false">IF(G165="","",PERCENTRANK($G$2:$G$354,G165))</f>
        <v>0.618</v>
      </c>
      <c r="N165" s="14" t="str">
        <f aca="false">IF(I165="","",PERCENTRANK($I$2:$I$354,I165))</f>
        <v/>
      </c>
      <c r="O165" s="14" t="n">
        <f aca="false">IF(K165="","",PERCENTRANK($K$2:$K$354,K165))</f>
        <v>0.364</v>
      </c>
      <c r="P165" s="12" t="n">
        <f aca="false">COUNT(M165:O165)</f>
        <v>2</v>
      </c>
      <c r="Q165" s="12" t="s">
        <v>930</v>
      </c>
      <c r="W165" s="12" t="n">
        <f aca="false">COUNTA(Q165:V165)</f>
        <v>1</v>
      </c>
      <c r="X165" s="14" t="n">
        <f aca="false">IF(P165=0,"",MIN(1,AVERAGE(M165:O165)+Critérios!$B$5*W165))</f>
        <v>0.521</v>
      </c>
      <c r="Y165" s="12" t="str">
        <f aca="false">IF(X165="","",IF(X165&gt;=Critérios!$B$7,"A",IF(X165&gt;=Critérios!$B$8,"B","C")))</f>
        <v>B</v>
      </c>
      <c r="Z165" s="12" t="n">
        <f aca="false">IF(X165="","",RANK(X165,$X$2:$X$354))</f>
        <v>163</v>
      </c>
      <c r="AA165" s="12" t="str">
        <f aca="false">IF(X165="","Sairia — sem métrica",IF(PERCENTRANK($X$2:$X$354,X165)&lt;Critérios!$B$6,"Sairia — terço inferior","Fica"))</f>
        <v>Fica</v>
      </c>
      <c r="AB165" s="12" t="s">
        <v>105</v>
      </c>
      <c r="AC165" s="12" t="s">
        <v>719</v>
      </c>
      <c r="AD165" s="15" t="s">
        <v>95</v>
      </c>
      <c r="AE165" s="16"/>
      <c r="AF165" s="12" t="s">
        <v>931</v>
      </c>
      <c r="AG165" s="12" t="s">
        <v>932</v>
      </c>
      <c r="AH165" s="12" t="n">
        <f aca="false">COUNT(G165,I165,K165)+COUNTA(Q165:V165)</f>
        <v>3</v>
      </c>
      <c r="AI165" s="12" t="str">
        <f aca="false">IF(AH165&gt;=3,"Sim","Não")</f>
        <v>Sim</v>
      </c>
      <c r="AJ165" s="12" t="str">
        <f aca="false">IF(AND(Z165&lt;&gt;"",Z165&lt;=Critérios!$B$9),"Sim","Não")</f>
        <v>Não</v>
      </c>
    </row>
    <row r="166" customFormat="false" ht="15" hidden="false" customHeight="false" outlineLevel="0" collapsed="false">
      <c r="A166" s="12" t="s">
        <v>933</v>
      </c>
      <c r="B166" s="12" t="s">
        <v>934</v>
      </c>
      <c r="C166" s="12" t="s">
        <v>935</v>
      </c>
      <c r="D166" s="12" t="s">
        <v>90</v>
      </c>
      <c r="E166" s="12" t="s">
        <v>91</v>
      </c>
      <c r="F166" s="12" t="s">
        <v>92</v>
      </c>
      <c r="G166" s="13" t="n">
        <v>828334</v>
      </c>
      <c r="H166" s="13" t="n">
        <v>15607263</v>
      </c>
      <c r="I166" s="17"/>
      <c r="K166" s="13" t="n">
        <v>1202162</v>
      </c>
      <c r="L166" s="12" t="n">
        <v>8.5</v>
      </c>
      <c r="M166" s="14" t="n">
        <f aca="false">IF(G166="","",PERCENTRANK($G$2:$G$354,G166))</f>
        <v>0.049</v>
      </c>
      <c r="N166" s="14" t="str">
        <f aca="false">IF(I166="","",PERCENTRANK($I$2:$I$354,I166))</f>
        <v/>
      </c>
      <c r="O166" s="14" t="n">
        <f aca="false">IF(K166="","",PERCENTRANK($K$2:$K$354,K166))</f>
        <v>0.932</v>
      </c>
      <c r="P166" s="12" t="n">
        <f aca="false">COUNT(M166:O166)</f>
        <v>2</v>
      </c>
      <c r="Q166" s="12" t="s">
        <v>936</v>
      </c>
      <c r="W166" s="12" t="n">
        <f aca="false">COUNTA(Q166:V166)</f>
        <v>1</v>
      </c>
      <c r="X166" s="14" t="n">
        <f aca="false">IF(P166=0,"",MIN(1,AVERAGE(M166:O166)+Critérios!$B$5*W166))</f>
        <v>0.5205</v>
      </c>
      <c r="Y166" s="12" t="str">
        <f aca="false">IF(X166="","",IF(X166&gt;=Critérios!$B$7,"A",IF(X166&gt;=Critérios!$B$8,"B","C")))</f>
        <v>B</v>
      </c>
      <c r="Z166" s="12" t="n">
        <f aca="false">IF(X166="","",RANK(X166,$X$2:$X$354))</f>
        <v>165</v>
      </c>
      <c r="AA166" s="12" t="str">
        <f aca="false">IF(X166="","Sairia — sem métrica",IF(PERCENTRANK($X$2:$X$354,X166)&lt;Critérios!$B$6,"Sairia — terço inferior","Fica"))</f>
        <v>Fica</v>
      </c>
      <c r="AB166" s="12" t="s">
        <v>105</v>
      </c>
      <c r="AD166" s="15" t="s">
        <v>95</v>
      </c>
      <c r="AE166" s="16"/>
      <c r="AF166" s="12" t="s">
        <v>937</v>
      </c>
      <c r="AG166" s="12" t="s">
        <v>938</v>
      </c>
      <c r="AH166" s="12" t="n">
        <f aca="false">COUNT(G166,I166,K166)+COUNTA(Q166:V166)</f>
        <v>3</v>
      </c>
      <c r="AI166" s="12" t="str">
        <f aca="false">IF(AH166&gt;=3,"Sim","Não")</f>
        <v>Sim</v>
      </c>
      <c r="AJ166" s="12" t="str">
        <f aca="false">IF(AND(Z166&lt;&gt;"",Z166&lt;=Critérios!$B$9),"Sim","Não")</f>
        <v>Não</v>
      </c>
    </row>
    <row r="167" customFormat="false" ht="15" hidden="false" customHeight="false" outlineLevel="0" collapsed="false">
      <c r="A167" s="12" t="s">
        <v>939</v>
      </c>
      <c r="B167" s="12" t="s">
        <v>940</v>
      </c>
      <c r="C167" s="12" t="s">
        <v>941</v>
      </c>
      <c r="D167" s="12" t="s">
        <v>500</v>
      </c>
      <c r="E167" s="12" t="s">
        <v>91</v>
      </c>
      <c r="F167" s="12" t="s">
        <v>92</v>
      </c>
      <c r="G167" s="13" t="n">
        <v>5866186</v>
      </c>
      <c r="H167" s="13" t="n">
        <v>42783673</v>
      </c>
      <c r="I167" s="13" t="n">
        <v>660998756</v>
      </c>
      <c r="J167" s="12" t="n">
        <v>3</v>
      </c>
      <c r="K167" s="13" t="n">
        <v>322807</v>
      </c>
      <c r="L167" s="12" t="n">
        <v>6.8</v>
      </c>
      <c r="M167" s="14" t="n">
        <f aca="false">IF(G167="","",PERCENTRANK($G$2:$G$354,G167))</f>
        <v>0.801</v>
      </c>
      <c r="N167" s="14" t="n">
        <f aca="false">IF(I167="","",PERCENTRANK($I$2:$I$354,I167))</f>
        <v>0.364</v>
      </c>
      <c r="O167" s="14" t="n">
        <f aca="false">IF(K167="","",PERCENTRANK($K$2:$K$354,K167))</f>
        <v>0.381</v>
      </c>
      <c r="P167" s="12" t="n">
        <f aca="false">COUNT(M167:O167)</f>
        <v>3</v>
      </c>
      <c r="W167" s="12" t="n">
        <f aca="false">COUNTA(Q167:V167)</f>
        <v>0</v>
      </c>
      <c r="X167" s="14" t="n">
        <f aca="false">IF(P167=0,"",MIN(1,AVERAGE(M167:O167)+Critérios!$B$5*W167))</f>
        <v>0.515333333333333</v>
      </c>
      <c r="Y167" s="12" t="str">
        <f aca="false">IF(X167="","",IF(X167&gt;=Critérios!$B$7,"A",IF(X167&gt;=Critérios!$B$8,"B","C")))</f>
        <v>B</v>
      </c>
      <c r="Z167" s="12" t="n">
        <f aca="false">IF(X167="","",RANK(X167,$X$2:$X$354))</f>
        <v>166</v>
      </c>
      <c r="AA167" s="12" t="str">
        <f aca="false">IF(X167="","Sairia — sem métrica",IF(PERCENTRANK($X$2:$X$354,X167)&lt;Critérios!$B$6,"Sairia — terço inferior","Fica"))</f>
        <v>Fica</v>
      </c>
      <c r="AB167" s="12" t="s">
        <v>94</v>
      </c>
      <c r="AD167" s="15" t="s">
        <v>95</v>
      </c>
      <c r="AE167" s="16"/>
      <c r="AF167" s="12" t="s">
        <v>501</v>
      </c>
      <c r="AG167" s="12" t="s">
        <v>942</v>
      </c>
      <c r="AH167" s="12" t="n">
        <f aca="false">COUNT(G167,I167,K167)+COUNTA(Q167:V167)</f>
        <v>3</v>
      </c>
      <c r="AI167" s="12" t="str">
        <f aca="false">IF(AH167&gt;=3,"Sim","Não")</f>
        <v>Sim</v>
      </c>
      <c r="AJ167" s="12" t="str">
        <f aca="false">IF(AND(Z167&lt;&gt;"",Z167&lt;=Critérios!$B$9),"Sim","Não")</f>
        <v>Não</v>
      </c>
    </row>
    <row r="168" customFormat="false" ht="15" hidden="false" customHeight="false" outlineLevel="0" collapsed="false">
      <c r="A168" s="12" t="s">
        <v>943</v>
      </c>
      <c r="B168" s="12" t="s">
        <v>944</v>
      </c>
      <c r="C168" s="12" t="s">
        <v>945</v>
      </c>
      <c r="D168" s="12" t="s">
        <v>189</v>
      </c>
      <c r="E168" s="12" t="s">
        <v>91</v>
      </c>
      <c r="F168" s="12" t="s">
        <v>92</v>
      </c>
      <c r="G168" s="13" t="n">
        <v>2670252</v>
      </c>
      <c r="H168" s="13" t="n">
        <v>38357958</v>
      </c>
      <c r="I168" s="13" t="n">
        <v>966550600</v>
      </c>
      <c r="J168" s="12" t="n">
        <v>5</v>
      </c>
      <c r="K168" s="13" t="n">
        <v>308516</v>
      </c>
      <c r="L168" s="12" t="n">
        <v>7.3</v>
      </c>
      <c r="M168" s="14" t="n">
        <f aca="false">IF(G168="","",PERCENTRANK($G$2:$G$354,G168))</f>
        <v>0.373</v>
      </c>
      <c r="N168" s="14" t="n">
        <f aca="false">IF(I168="","",PERCENTRANK($I$2:$I$354,I168))</f>
        <v>0.725</v>
      </c>
      <c r="O168" s="14" t="n">
        <f aca="false">IF(K168="","",PERCENTRANK($K$2:$K$354,K168))</f>
        <v>0.355</v>
      </c>
      <c r="P168" s="12" t="n">
        <f aca="false">COUNT(M168:O168)</f>
        <v>3</v>
      </c>
      <c r="Q168" s="12" t="s">
        <v>946</v>
      </c>
      <c r="W168" s="12" t="n">
        <f aca="false">COUNTA(Q168:V168)</f>
        <v>1</v>
      </c>
      <c r="X168" s="14" t="n">
        <f aca="false">IF(P168=0,"",MIN(1,AVERAGE(M168:O168)+Critérios!$B$5*W168))</f>
        <v>0.514333333333333</v>
      </c>
      <c r="Y168" s="12" t="str">
        <f aca="false">IF(X168="","",IF(X168&gt;=Critérios!$B$7,"A",IF(X168&gt;=Critérios!$B$8,"B","C")))</f>
        <v>B</v>
      </c>
      <c r="Z168" s="12" t="n">
        <f aca="false">IF(X168="","",RANK(X168,$X$2:$X$354))</f>
        <v>167</v>
      </c>
      <c r="AA168" s="12" t="str">
        <f aca="false">IF(X168="","Sairia — sem métrica",IF(PERCENTRANK($X$2:$X$354,X168)&lt;Critérios!$B$6,"Sairia — terço inferior","Fica"))</f>
        <v>Fica</v>
      </c>
      <c r="AB168" s="12" t="s">
        <v>105</v>
      </c>
      <c r="AD168" s="15" t="s">
        <v>95</v>
      </c>
      <c r="AE168" s="16"/>
      <c r="AF168" s="12" t="s">
        <v>333</v>
      </c>
      <c r="AG168" s="12" t="s">
        <v>947</v>
      </c>
      <c r="AH168" s="12" t="n">
        <f aca="false">COUNT(G168,I168,K168)+COUNTA(Q168:V168)</f>
        <v>4</v>
      </c>
      <c r="AI168" s="12" t="str">
        <f aca="false">IF(AH168&gt;=3,"Sim","Não")</f>
        <v>Sim</v>
      </c>
      <c r="AJ168" s="12" t="str">
        <f aca="false">IF(AND(Z168&lt;&gt;"",Z168&lt;=Critérios!$B$9),"Sim","Não")</f>
        <v>Não</v>
      </c>
    </row>
    <row r="169" customFormat="false" ht="15" hidden="false" customHeight="false" outlineLevel="0" collapsed="false">
      <c r="A169" s="12" t="s">
        <v>948</v>
      </c>
      <c r="B169" s="12" t="s">
        <v>949</v>
      </c>
      <c r="C169" s="12" t="s">
        <v>950</v>
      </c>
      <c r="D169" s="12" t="s">
        <v>265</v>
      </c>
      <c r="E169" s="12" t="s">
        <v>91</v>
      </c>
      <c r="F169" s="12" t="s">
        <v>92</v>
      </c>
      <c r="G169" s="13" t="n">
        <v>4436482</v>
      </c>
      <c r="H169" s="13" t="n">
        <v>95778965</v>
      </c>
      <c r="I169" s="13" t="n">
        <v>1012874075</v>
      </c>
      <c r="J169" s="12" t="n">
        <v>5</v>
      </c>
      <c r="K169" s="13" t="n">
        <v>76813</v>
      </c>
      <c r="L169" s="12" t="n">
        <v>6.2</v>
      </c>
      <c r="M169" s="14" t="n">
        <f aca="false">IF(G169="","",PERCENTRANK($G$2:$G$354,G169))</f>
        <v>0.66</v>
      </c>
      <c r="N169" s="14" t="n">
        <f aca="false">IF(I169="","",PERCENTRANK($I$2:$I$354,I169))</f>
        <v>0.754</v>
      </c>
      <c r="O169" s="14" t="n">
        <f aca="false">IF(K169="","",PERCENTRANK($K$2:$K$354,K169))</f>
        <v>0.0369</v>
      </c>
      <c r="P169" s="12" t="n">
        <f aca="false">COUNT(M169:O169)</f>
        <v>3</v>
      </c>
      <c r="R169" s="12" t="s">
        <v>951</v>
      </c>
      <c r="W169" s="12" t="n">
        <f aca="false">COUNTA(Q169:V169)</f>
        <v>1</v>
      </c>
      <c r="X169" s="14" t="n">
        <f aca="false">IF(P169=0,"",MIN(1,AVERAGE(M169:O169)+Critérios!$B$5*W169))</f>
        <v>0.513633333333333</v>
      </c>
      <c r="Y169" s="12" t="str">
        <f aca="false">IF(X169="","",IF(X169&gt;=Critérios!$B$7,"A",IF(X169&gt;=Critérios!$B$8,"B","C")))</f>
        <v>B</v>
      </c>
      <c r="Z169" s="12" t="n">
        <f aca="false">IF(X169="","",RANK(X169,$X$2:$X$354))</f>
        <v>168</v>
      </c>
      <c r="AA169" s="12" t="str">
        <f aca="false">IF(X169="","Sairia — sem métrica",IF(PERCENTRANK($X$2:$X$354,X169)&lt;Critérios!$B$6,"Sairia — terço inferior","Fica"))</f>
        <v>Fica</v>
      </c>
      <c r="AB169" s="12" t="s">
        <v>105</v>
      </c>
      <c r="AC169" s="12" t="s">
        <v>267</v>
      </c>
      <c r="AD169" s="15" t="s">
        <v>95</v>
      </c>
      <c r="AE169" s="16"/>
      <c r="AF169" s="12" t="s">
        <v>268</v>
      </c>
      <c r="AG169" s="12" t="s">
        <v>952</v>
      </c>
      <c r="AH169" s="12" t="n">
        <f aca="false">COUNT(G169,I169,K169)+COUNTA(Q169:V169)</f>
        <v>4</v>
      </c>
      <c r="AI169" s="12" t="str">
        <f aca="false">IF(AH169&gt;=3,"Sim","Não")</f>
        <v>Sim</v>
      </c>
      <c r="AJ169" s="12" t="str">
        <f aca="false">IF(AND(Z169&lt;&gt;"",Z169&lt;=Critérios!$B$9),"Sim","Não")</f>
        <v>Não</v>
      </c>
    </row>
    <row r="170" customFormat="false" ht="15" hidden="false" customHeight="false" outlineLevel="0" collapsed="false">
      <c r="A170" s="12" t="s">
        <v>953</v>
      </c>
      <c r="B170" s="12" t="s">
        <v>954</v>
      </c>
      <c r="C170" s="12" t="s">
        <v>955</v>
      </c>
      <c r="D170" s="12" t="s">
        <v>358</v>
      </c>
      <c r="E170" s="12" t="s">
        <v>91</v>
      </c>
      <c r="F170" s="12" t="s">
        <v>92</v>
      </c>
      <c r="G170" s="13" t="n">
        <v>6179590</v>
      </c>
      <c r="H170" s="13" t="n">
        <v>52603206</v>
      </c>
      <c r="I170" s="13" t="n">
        <v>698491347</v>
      </c>
      <c r="J170" s="12" t="n">
        <v>6</v>
      </c>
      <c r="K170" s="13" t="n">
        <v>286819</v>
      </c>
      <c r="L170" s="12" t="n">
        <v>5.1</v>
      </c>
      <c r="M170" s="14" t="n">
        <f aca="false">IF(G170="","",PERCENTRANK($G$2:$G$354,G170))</f>
        <v>0.814</v>
      </c>
      <c r="N170" s="14" t="n">
        <f aca="false">IF(I170="","",PERCENTRANK($I$2:$I$354,I170))</f>
        <v>0.403</v>
      </c>
      <c r="O170" s="14" t="n">
        <f aca="false">IF(K170="","",PERCENTRANK($K$2:$K$354,K170))</f>
        <v>0.321</v>
      </c>
      <c r="P170" s="12" t="n">
        <f aca="false">COUNT(M170:O170)</f>
        <v>3</v>
      </c>
      <c r="W170" s="12" t="n">
        <f aca="false">COUNTA(Q170:V170)</f>
        <v>0</v>
      </c>
      <c r="X170" s="14" t="n">
        <f aca="false">IF(P170=0,"",MIN(1,AVERAGE(M170:O170)+Critérios!$B$5*W170))</f>
        <v>0.512666666666667</v>
      </c>
      <c r="Y170" s="12" t="str">
        <f aca="false">IF(X170="","",IF(X170&gt;=Critérios!$B$7,"A",IF(X170&gt;=Critérios!$B$8,"B","C")))</f>
        <v>B</v>
      </c>
      <c r="Z170" s="12" t="n">
        <f aca="false">IF(X170="","",RANK(X170,$X$2:$X$354))</f>
        <v>169</v>
      </c>
      <c r="AA170" s="12" t="str">
        <f aca="false">IF(X170="","Sairia — sem métrica",IF(PERCENTRANK($X$2:$X$354,X170)&lt;Critérios!$B$6,"Sairia — terço inferior","Fica"))</f>
        <v>Fica</v>
      </c>
      <c r="AB170" s="12" t="s">
        <v>105</v>
      </c>
      <c r="AD170" s="15" t="s">
        <v>95</v>
      </c>
      <c r="AE170" s="16"/>
      <c r="AF170" s="12" t="s">
        <v>359</v>
      </c>
      <c r="AG170" s="12" t="s">
        <v>956</v>
      </c>
      <c r="AH170" s="12" t="n">
        <f aca="false">COUNT(G170,I170,K170)+COUNTA(Q170:V170)</f>
        <v>3</v>
      </c>
      <c r="AI170" s="12" t="str">
        <f aca="false">IF(AH170&gt;=3,"Sim","Não")</f>
        <v>Sim</v>
      </c>
      <c r="AJ170" s="12" t="str">
        <f aca="false">IF(AND(Z170&lt;&gt;"",Z170&lt;=Critérios!$B$9),"Sim","Não")</f>
        <v>Não</v>
      </c>
    </row>
    <row r="171" customFormat="false" ht="15" hidden="false" customHeight="false" outlineLevel="0" collapsed="false">
      <c r="A171" s="12" t="s">
        <v>957</v>
      </c>
      <c r="B171" s="12" t="s">
        <v>958</v>
      </c>
      <c r="C171" s="12" t="s">
        <v>958</v>
      </c>
      <c r="D171" s="12" t="s">
        <v>321</v>
      </c>
      <c r="E171" s="12" t="s">
        <v>91</v>
      </c>
      <c r="F171" s="12" t="s">
        <v>92</v>
      </c>
      <c r="G171" s="13" t="n">
        <v>3804841</v>
      </c>
      <c r="H171" s="13" t="n">
        <v>26762664</v>
      </c>
      <c r="I171" s="13" t="n">
        <v>631744560</v>
      </c>
      <c r="J171" s="12" t="n">
        <v>3</v>
      </c>
      <c r="K171" s="13" t="n">
        <v>591891</v>
      </c>
      <c r="L171" s="12" t="n">
        <v>7.6</v>
      </c>
      <c r="M171" s="14" t="n">
        <f aca="false">IF(G171="","",PERCENTRANK($G$2:$G$354,G171))</f>
        <v>0.546</v>
      </c>
      <c r="N171" s="14" t="n">
        <f aca="false">IF(I171="","",PERCENTRANK($I$2:$I$354,I171))</f>
        <v>0.322</v>
      </c>
      <c r="O171" s="14" t="n">
        <f aca="false">IF(K171="","",PERCENTRANK($K$2:$K$354,K171))</f>
        <v>0.668</v>
      </c>
      <c r="P171" s="12" t="n">
        <f aca="false">COUNT(M171:O171)</f>
        <v>3</v>
      </c>
      <c r="W171" s="12" t="n">
        <f aca="false">COUNTA(Q171:V171)</f>
        <v>0</v>
      </c>
      <c r="X171" s="14" t="n">
        <f aca="false">IF(P171=0,"",MIN(1,AVERAGE(M171:O171)+Critérios!$B$5*W171))</f>
        <v>0.512</v>
      </c>
      <c r="Y171" s="12" t="str">
        <f aca="false">IF(X171="","",IF(X171&gt;=Critérios!$B$7,"A",IF(X171&gt;=Critérios!$B$8,"B","C")))</f>
        <v>B</v>
      </c>
      <c r="Z171" s="12" t="n">
        <f aca="false">IF(X171="","",RANK(X171,$X$2:$X$354))</f>
        <v>170</v>
      </c>
      <c r="AA171" s="12" t="str">
        <f aca="false">IF(X171="","Sairia — sem métrica",IF(PERCENTRANK($X$2:$X$354,X171)&lt;Critérios!$B$6,"Sairia — terço inferior","Fica"))</f>
        <v>Fica</v>
      </c>
      <c r="AB171" s="12" t="s">
        <v>105</v>
      </c>
      <c r="AD171" s="15" t="s">
        <v>95</v>
      </c>
      <c r="AE171" s="16"/>
      <c r="AF171" s="12" t="s">
        <v>323</v>
      </c>
      <c r="AG171" s="12" t="s">
        <v>959</v>
      </c>
      <c r="AH171" s="12" t="n">
        <f aca="false">COUNT(G171,I171,K171)+COUNTA(Q171:V171)</f>
        <v>3</v>
      </c>
      <c r="AI171" s="12" t="str">
        <f aca="false">IF(AH171&gt;=3,"Sim","Não")</f>
        <v>Sim</v>
      </c>
      <c r="AJ171" s="12" t="str">
        <f aca="false">IF(AND(Z171&lt;&gt;"",Z171&lt;=Critérios!$B$9),"Sim","Não")</f>
        <v>Não</v>
      </c>
    </row>
    <row r="172" customFormat="false" ht="15" hidden="false" customHeight="false" outlineLevel="0" collapsed="false">
      <c r="A172" s="12" t="s">
        <v>960</v>
      </c>
      <c r="B172" s="12" t="s">
        <v>961</v>
      </c>
      <c r="C172" s="12" t="s">
        <v>962</v>
      </c>
      <c r="D172" s="12" t="s">
        <v>101</v>
      </c>
      <c r="E172" s="12" t="s">
        <v>91</v>
      </c>
      <c r="F172" s="12" t="s">
        <v>92</v>
      </c>
      <c r="G172" s="13" t="n">
        <v>797628</v>
      </c>
      <c r="H172" s="13" t="n">
        <v>15866453</v>
      </c>
      <c r="I172" s="17"/>
      <c r="K172" s="13" t="n">
        <v>1095280</v>
      </c>
      <c r="L172" s="12" t="n">
        <v>8</v>
      </c>
      <c r="M172" s="14" t="n">
        <f aca="false">IF(G172="","",PERCENTRANK($G$2:$G$354,G172))</f>
        <v>0.0425</v>
      </c>
      <c r="N172" s="14" t="str">
        <f aca="false">IF(I172="","",PERCENTRANK($I$2:$I$354,I172))</f>
        <v/>
      </c>
      <c r="O172" s="14" t="n">
        <f aca="false">IF(K172="","",PERCENTRANK($K$2:$K$354,K172))</f>
        <v>0.918</v>
      </c>
      <c r="P172" s="12" t="n">
        <f aca="false">COUNT(M172:O172)</f>
        <v>2</v>
      </c>
      <c r="Q172" s="12" t="s">
        <v>963</v>
      </c>
      <c r="W172" s="12" t="n">
        <f aca="false">COUNTA(Q172:V172)</f>
        <v>1</v>
      </c>
      <c r="X172" s="14" t="n">
        <f aca="false">IF(P172=0,"",MIN(1,AVERAGE(M172:O172)+Critérios!$B$5*W172))</f>
        <v>0.51025</v>
      </c>
      <c r="Y172" s="12" t="str">
        <f aca="false">IF(X172="","",IF(X172&gt;=Critérios!$B$7,"A",IF(X172&gt;=Critérios!$B$8,"B","C")))</f>
        <v>B</v>
      </c>
      <c r="Z172" s="12" t="n">
        <f aca="false">IF(X172="","",RANK(X172,$X$2:$X$354))</f>
        <v>171</v>
      </c>
      <c r="AA172" s="12" t="str">
        <f aca="false">IF(X172="","Sairia — sem métrica",IF(PERCENTRANK($X$2:$X$354,X172)&lt;Critérios!$B$6,"Sairia — terço inferior","Fica"))</f>
        <v>Fica</v>
      </c>
      <c r="AB172" s="12" t="s">
        <v>105</v>
      </c>
      <c r="AC172" s="12" t="s">
        <v>719</v>
      </c>
      <c r="AD172" s="15" t="s">
        <v>95</v>
      </c>
      <c r="AE172" s="16"/>
      <c r="AF172" s="12" t="s">
        <v>720</v>
      </c>
      <c r="AG172" s="12" t="s">
        <v>964</v>
      </c>
      <c r="AH172" s="12" t="n">
        <f aca="false">COUNT(G172,I172,K172)+COUNTA(Q172:V172)</f>
        <v>3</v>
      </c>
      <c r="AI172" s="12" t="str">
        <f aca="false">IF(AH172&gt;=3,"Sim","Não")</f>
        <v>Sim</v>
      </c>
      <c r="AJ172" s="12" t="str">
        <f aca="false">IF(AND(Z172&lt;&gt;"",Z172&lt;=Critérios!$B$9),"Sim","Não")</f>
        <v>Não</v>
      </c>
    </row>
    <row r="173" customFormat="false" ht="15" hidden="false" customHeight="false" outlineLevel="0" collapsed="false">
      <c r="A173" s="12" t="s">
        <v>965</v>
      </c>
      <c r="B173" s="12" t="s">
        <v>966</v>
      </c>
      <c r="C173" s="12" t="s">
        <v>966</v>
      </c>
      <c r="D173" s="12" t="s">
        <v>505</v>
      </c>
      <c r="E173" s="12" t="s">
        <v>91</v>
      </c>
      <c r="F173" s="12" t="s">
        <v>92</v>
      </c>
      <c r="G173" s="13" t="n">
        <v>4340005</v>
      </c>
      <c r="H173" s="13" t="n">
        <v>92024132</v>
      </c>
      <c r="I173" s="13" t="n">
        <v>618723803</v>
      </c>
      <c r="J173" s="12" t="n">
        <v>10</v>
      </c>
      <c r="K173" s="13" t="n">
        <v>450164</v>
      </c>
      <c r="L173" s="12" t="n">
        <v>7</v>
      </c>
      <c r="M173" s="14" t="n">
        <f aca="false">IF(G173="","",PERCENTRANK($G$2:$G$354,G173))</f>
        <v>0.624</v>
      </c>
      <c r="N173" s="14" t="n">
        <f aca="false">IF(I173="","",PERCENTRANK($I$2:$I$354,I173))</f>
        <v>0.292</v>
      </c>
      <c r="O173" s="14" t="n">
        <f aca="false">IF(K173="","",PERCENTRANK($K$2:$K$354,K173))</f>
        <v>0.517</v>
      </c>
      <c r="P173" s="12" t="n">
        <f aca="false">COUNT(M173:O173)</f>
        <v>3</v>
      </c>
      <c r="Q173" s="12" t="s">
        <v>967</v>
      </c>
      <c r="W173" s="12" t="n">
        <f aca="false">COUNTA(Q173:V173)</f>
        <v>1</v>
      </c>
      <c r="X173" s="14" t="n">
        <f aca="false">IF(P173=0,"",MIN(1,AVERAGE(M173:O173)+Critérios!$B$5*W173))</f>
        <v>0.507666666666667</v>
      </c>
      <c r="Y173" s="12" t="str">
        <f aca="false">IF(X173="","",IF(X173&gt;=Critérios!$B$7,"A",IF(X173&gt;=Critérios!$B$8,"B","C")))</f>
        <v>B</v>
      </c>
      <c r="Z173" s="12" t="n">
        <f aca="false">IF(X173="","",RANK(X173,$X$2:$X$354))</f>
        <v>172</v>
      </c>
      <c r="AA173" s="12" t="str">
        <f aca="false">IF(X173="","Sairia — sem métrica",IF(PERCENTRANK($X$2:$X$354,X173)&lt;Critérios!$B$6,"Sairia — terço inferior","Fica"))</f>
        <v>Fica</v>
      </c>
      <c r="AB173" s="12" t="s">
        <v>105</v>
      </c>
      <c r="AD173" s="15" t="s">
        <v>95</v>
      </c>
      <c r="AE173" s="16"/>
      <c r="AF173" s="12" t="s">
        <v>507</v>
      </c>
      <c r="AG173" s="12" t="s">
        <v>968</v>
      </c>
      <c r="AH173" s="12" t="n">
        <f aca="false">COUNT(G173,I173,K173)+COUNTA(Q173:V173)</f>
        <v>4</v>
      </c>
      <c r="AI173" s="12" t="str">
        <f aca="false">IF(AH173&gt;=3,"Sim","Não")</f>
        <v>Sim</v>
      </c>
      <c r="AJ173" s="12" t="str">
        <f aca="false">IF(AND(Z173&lt;&gt;"",Z173&lt;=Critérios!$B$9),"Sim","Não")</f>
        <v>Não</v>
      </c>
    </row>
    <row r="174" customFormat="false" ht="15" hidden="false" customHeight="false" outlineLevel="0" collapsed="false">
      <c r="A174" s="12" t="s">
        <v>969</v>
      </c>
      <c r="B174" s="12" t="s">
        <v>970</v>
      </c>
      <c r="C174" s="12" t="s">
        <v>971</v>
      </c>
      <c r="D174" s="12" t="s">
        <v>189</v>
      </c>
      <c r="E174" s="12" t="s">
        <v>91</v>
      </c>
      <c r="F174" s="12" t="s">
        <v>92</v>
      </c>
      <c r="G174" s="13" t="n">
        <v>3594171</v>
      </c>
      <c r="H174" s="13" t="n">
        <v>46901147</v>
      </c>
      <c r="I174" s="17"/>
      <c r="K174" s="13" t="n">
        <v>350556</v>
      </c>
      <c r="L174" s="12" t="n">
        <v>7.3</v>
      </c>
      <c r="M174" s="14" t="n">
        <f aca="false">IF(G174="","",PERCENTRANK($G$2:$G$354,G174))</f>
        <v>0.533</v>
      </c>
      <c r="N174" s="14" t="str">
        <f aca="false">IF(I174="","",PERCENTRANK($I$2:$I$354,I174))</f>
        <v/>
      </c>
      <c r="O174" s="14" t="n">
        <f aca="false">IF(K174="","",PERCENTRANK($K$2:$K$354,K174))</f>
        <v>0.412</v>
      </c>
      <c r="P174" s="12" t="n">
        <f aca="false">COUNT(M174:O174)</f>
        <v>2</v>
      </c>
      <c r="Q174" s="12" t="s">
        <v>972</v>
      </c>
      <c r="W174" s="12" t="n">
        <f aca="false">COUNTA(Q174:V174)</f>
        <v>1</v>
      </c>
      <c r="X174" s="14" t="n">
        <f aca="false">IF(P174=0,"",MIN(1,AVERAGE(M174:O174)+Critérios!$B$5*W174))</f>
        <v>0.5025</v>
      </c>
      <c r="Y174" s="12" t="str">
        <f aca="false">IF(X174="","",IF(X174&gt;=Critérios!$B$7,"A",IF(X174&gt;=Critérios!$B$8,"B","C")))</f>
        <v>B</v>
      </c>
      <c r="Z174" s="12" t="n">
        <f aca="false">IF(X174="","",RANK(X174,$X$2:$X$354))</f>
        <v>173</v>
      </c>
      <c r="AA174" s="12" t="str">
        <f aca="false">IF(X174="","Sairia — sem métrica",IF(PERCENTRANK($X$2:$X$354,X174)&lt;Critérios!$B$6,"Sairia — terço inferior","Fica"))</f>
        <v>Fica</v>
      </c>
      <c r="AB174" s="12" t="s">
        <v>105</v>
      </c>
      <c r="AD174" s="15" t="s">
        <v>95</v>
      </c>
      <c r="AE174" s="16"/>
      <c r="AF174" s="12" t="s">
        <v>316</v>
      </c>
      <c r="AG174" s="12" t="s">
        <v>973</v>
      </c>
      <c r="AH174" s="12" t="n">
        <f aca="false">COUNT(G174,I174,K174)+COUNTA(Q174:V174)</f>
        <v>3</v>
      </c>
      <c r="AI174" s="12" t="str">
        <f aca="false">IF(AH174&gt;=3,"Sim","Não")</f>
        <v>Sim</v>
      </c>
      <c r="AJ174" s="12" t="str">
        <f aca="false">IF(AND(Z174&lt;&gt;"",Z174&lt;=Critérios!$B$9),"Sim","Não")</f>
        <v>Não</v>
      </c>
    </row>
    <row r="175" customFormat="false" ht="15" hidden="false" customHeight="false" outlineLevel="0" collapsed="false">
      <c r="A175" s="12" t="s">
        <v>974</v>
      </c>
      <c r="B175" s="12" t="s">
        <v>975</v>
      </c>
      <c r="C175" s="12" t="s">
        <v>976</v>
      </c>
      <c r="D175" s="12" t="s">
        <v>286</v>
      </c>
      <c r="E175" s="12" t="s">
        <v>91</v>
      </c>
      <c r="F175" s="12" t="s">
        <v>92</v>
      </c>
      <c r="G175" s="13" t="n">
        <v>1850536</v>
      </c>
      <c r="H175" s="13" t="n">
        <v>11246852</v>
      </c>
      <c r="I175" s="13" t="n">
        <v>654264015</v>
      </c>
      <c r="J175" s="12" t="n">
        <v>4</v>
      </c>
      <c r="K175" s="13" t="n">
        <v>1349198</v>
      </c>
      <c r="L175" s="12" t="n">
        <v>8.1</v>
      </c>
      <c r="M175" s="14" t="n">
        <f aca="false">IF(G175="","",PERCENTRANK($G$2:$G$354,G175))</f>
        <v>0.176</v>
      </c>
      <c r="N175" s="14" t="n">
        <f aca="false">IF(I175="","",PERCENTRANK($I$2:$I$354,I175))</f>
        <v>0.356</v>
      </c>
      <c r="O175" s="14" t="n">
        <f aca="false">IF(K175="","",PERCENTRANK($K$2:$K$354,K175))</f>
        <v>0.957</v>
      </c>
      <c r="P175" s="12" t="n">
        <f aca="false">COUNT(M175:O175)</f>
        <v>3</v>
      </c>
      <c r="W175" s="12" t="n">
        <f aca="false">COUNTA(Q175:V175)</f>
        <v>0</v>
      </c>
      <c r="X175" s="14" t="n">
        <f aca="false">IF(P175=0,"",MIN(1,AVERAGE(M175:O175)+Critérios!$B$5*W175))</f>
        <v>0.496333333333333</v>
      </c>
      <c r="Y175" s="12" t="str">
        <f aca="false">IF(X175="","",IF(X175&gt;=Critérios!$B$7,"A",IF(X175&gt;=Critérios!$B$8,"B","C")))</f>
        <v>B</v>
      </c>
      <c r="Z175" s="12" t="n">
        <f aca="false">IF(X175="","",RANK(X175,$X$2:$X$354))</f>
        <v>174</v>
      </c>
      <c r="AA175" s="12" t="str">
        <f aca="false">IF(X175="","Sairia — sem métrica",IF(PERCENTRANK($X$2:$X$354,X175)&lt;Critérios!$B$6,"Sairia — terço inferior","Fica"))</f>
        <v>Fica</v>
      </c>
      <c r="AB175" s="12" t="s">
        <v>94</v>
      </c>
      <c r="AD175" s="15" t="s">
        <v>95</v>
      </c>
      <c r="AE175" s="16"/>
      <c r="AF175" s="12" t="s">
        <v>287</v>
      </c>
      <c r="AG175" s="12" t="s">
        <v>977</v>
      </c>
      <c r="AH175" s="12" t="n">
        <f aca="false">COUNT(G175,I175,K175)+COUNTA(Q175:V175)</f>
        <v>3</v>
      </c>
      <c r="AI175" s="12" t="str">
        <f aca="false">IF(AH175&gt;=3,"Sim","Não")</f>
        <v>Sim</v>
      </c>
      <c r="AJ175" s="12" t="str">
        <f aca="false">IF(AND(Z175&lt;&gt;"",Z175&lt;=Critérios!$B$9),"Sim","Não")</f>
        <v>Não</v>
      </c>
    </row>
    <row r="176" customFormat="false" ht="15" hidden="false" customHeight="false" outlineLevel="0" collapsed="false">
      <c r="A176" s="12" t="s">
        <v>978</v>
      </c>
      <c r="B176" s="12" t="s">
        <v>979</v>
      </c>
      <c r="C176" s="12" t="s">
        <v>980</v>
      </c>
      <c r="D176" s="12" t="s">
        <v>251</v>
      </c>
      <c r="E176" s="12" t="s">
        <v>583</v>
      </c>
      <c r="F176" s="12" t="s">
        <v>92</v>
      </c>
      <c r="G176" s="13" t="n">
        <v>5729127</v>
      </c>
      <c r="H176" s="13" t="n">
        <v>64698430</v>
      </c>
      <c r="I176" s="17"/>
      <c r="K176" s="13" t="n">
        <v>172387</v>
      </c>
      <c r="L176" s="12" t="n">
        <v>8.1</v>
      </c>
      <c r="M176" s="14" t="n">
        <f aca="false">IF(G176="","",PERCENTRANK($G$2:$G$354,G176))</f>
        <v>0.791</v>
      </c>
      <c r="N176" s="14" t="str">
        <f aca="false">IF(I176="","",PERCENTRANK($I$2:$I$354,I176))</f>
        <v/>
      </c>
      <c r="O176" s="14" t="n">
        <f aca="false">IF(K176="","",PERCENTRANK($K$2:$K$354,K176))</f>
        <v>0.139</v>
      </c>
      <c r="P176" s="12" t="n">
        <f aca="false">COUNT(M176:O176)</f>
        <v>2</v>
      </c>
      <c r="Q176" s="12" t="s">
        <v>981</v>
      </c>
      <c r="W176" s="12" t="n">
        <f aca="false">COUNTA(Q176:V176)</f>
        <v>1</v>
      </c>
      <c r="X176" s="14" t="n">
        <f aca="false">IF(P176=0,"",MIN(1,AVERAGE(M176:O176)+Critérios!$B$5*W176))</f>
        <v>0.495</v>
      </c>
      <c r="Y176" s="12" t="str">
        <f aca="false">IF(X176="","",IF(X176&gt;=Critérios!$B$7,"A",IF(X176&gt;=Critérios!$B$8,"B","C")))</f>
        <v>B</v>
      </c>
      <c r="Z176" s="12" t="n">
        <f aca="false">IF(X176="","",RANK(X176,$X$2:$X$354))</f>
        <v>175</v>
      </c>
      <c r="AA176" s="12" t="str">
        <f aca="false">IF(X176="","Sairia — sem métrica",IF(PERCENTRANK($X$2:$X$354,X176)&lt;Critérios!$B$6,"Sairia — terço inferior","Fica"))</f>
        <v>Fica</v>
      </c>
      <c r="AB176" s="12" t="s">
        <v>105</v>
      </c>
      <c r="AD176" s="15" t="s">
        <v>95</v>
      </c>
      <c r="AE176" s="16"/>
      <c r="AF176" s="12" t="s">
        <v>982</v>
      </c>
      <c r="AG176" s="12" t="s">
        <v>983</v>
      </c>
      <c r="AH176" s="12" t="n">
        <f aca="false">COUNT(G176,I176,K176)+COUNTA(Q176:V176)</f>
        <v>3</v>
      </c>
      <c r="AI176" s="12" t="str">
        <f aca="false">IF(AH176&gt;=3,"Sim","Não")</f>
        <v>Sim</v>
      </c>
      <c r="AJ176" s="12" t="str">
        <f aca="false">IF(AND(Z176&lt;&gt;"",Z176&lt;=Critérios!$B$9),"Sim","Não")</f>
        <v>Não</v>
      </c>
    </row>
    <row r="177" customFormat="false" ht="15" hidden="false" customHeight="false" outlineLevel="0" collapsed="false">
      <c r="A177" s="12" t="s">
        <v>984</v>
      </c>
      <c r="B177" s="12" t="s">
        <v>985</v>
      </c>
      <c r="C177" s="12" t="s">
        <v>986</v>
      </c>
      <c r="D177" s="12" t="s">
        <v>321</v>
      </c>
      <c r="E177" s="12" t="s">
        <v>91</v>
      </c>
      <c r="F177" s="12" t="s">
        <v>92</v>
      </c>
      <c r="G177" s="13" t="n">
        <v>2473213</v>
      </c>
      <c r="H177" s="13" t="n">
        <v>21775246</v>
      </c>
      <c r="I177" s="13" t="n">
        <v>786636033</v>
      </c>
      <c r="J177" s="12" t="n">
        <v>2</v>
      </c>
      <c r="K177" s="13" t="n">
        <v>518769</v>
      </c>
      <c r="L177" s="12" t="n">
        <v>6.2</v>
      </c>
      <c r="M177" s="14" t="n">
        <f aca="false">IF(G177="","",PERCENTRANK($G$2:$G$354,G177))</f>
        <v>0.33</v>
      </c>
      <c r="N177" s="14" t="n">
        <f aca="false">IF(I177="","",PERCENTRANK($I$2:$I$354,I177))</f>
        <v>0.538</v>
      </c>
      <c r="O177" s="14" t="n">
        <f aca="false">IF(K177="","",PERCENTRANK($K$2:$K$354,K177))</f>
        <v>0.611</v>
      </c>
      <c r="P177" s="12" t="n">
        <f aca="false">COUNT(M177:O177)</f>
        <v>3</v>
      </c>
      <c r="W177" s="12" t="n">
        <f aca="false">COUNTA(Q177:V177)</f>
        <v>0</v>
      </c>
      <c r="X177" s="14" t="n">
        <f aca="false">IF(P177=0,"",MIN(1,AVERAGE(M177:O177)+Critérios!$B$5*W177))</f>
        <v>0.493</v>
      </c>
      <c r="Y177" s="12" t="str">
        <f aca="false">IF(X177="","",IF(X177&gt;=Critérios!$B$7,"A",IF(X177&gt;=Critérios!$B$8,"B","C")))</f>
        <v>B</v>
      </c>
      <c r="Z177" s="12" t="n">
        <f aca="false">IF(X177="","",RANK(X177,$X$2:$X$354))</f>
        <v>176</v>
      </c>
      <c r="AA177" s="12" t="str">
        <f aca="false">IF(X177="","Sairia — sem métrica",IF(PERCENTRANK($X$2:$X$354,X177)&lt;Critérios!$B$6,"Sairia — terço inferior","Fica"))</f>
        <v>Fica</v>
      </c>
      <c r="AB177" s="12" t="s">
        <v>105</v>
      </c>
      <c r="AD177" s="15" t="s">
        <v>95</v>
      </c>
      <c r="AE177" s="16"/>
      <c r="AF177" s="12" t="s">
        <v>323</v>
      </c>
      <c r="AG177" s="12" t="s">
        <v>987</v>
      </c>
      <c r="AH177" s="12" t="n">
        <f aca="false">COUNT(G177,I177,K177)+COUNTA(Q177:V177)</f>
        <v>3</v>
      </c>
      <c r="AI177" s="12" t="str">
        <f aca="false">IF(AH177&gt;=3,"Sim","Não")</f>
        <v>Sim</v>
      </c>
      <c r="AJ177" s="12" t="str">
        <f aca="false">IF(AND(Z177&lt;&gt;"",Z177&lt;=Critérios!$B$9),"Sim","Não")</f>
        <v>Não</v>
      </c>
    </row>
    <row r="178" customFormat="false" ht="15" hidden="false" customHeight="false" outlineLevel="0" collapsed="false">
      <c r="A178" s="12" t="s">
        <v>988</v>
      </c>
      <c r="B178" s="12" t="s">
        <v>989</v>
      </c>
      <c r="C178" s="12" t="s">
        <v>990</v>
      </c>
      <c r="D178" s="12" t="s">
        <v>152</v>
      </c>
      <c r="E178" s="12" t="s">
        <v>91</v>
      </c>
      <c r="F178" s="12" t="s">
        <v>92</v>
      </c>
      <c r="G178" s="13" t="n">
        <v>4177660</v>
      </c>
      <c r="H178" s="13" t="n">
        <v>28414929</v>
      </c>
      <c r="I178" s="13" t="n">
        <v>497409852</v>
      </c>
      <c r="J178" s="12" t="n">
        <v>8</v>
      </c>
      <c r="K178" s="13" t="n">
        <v>651767</v>
      </c>
      <c r="L178" s="12" t="n">
        <v>7.3</v>
      </c>
      <c r="M178" s="14" t="n">
        <f aca="false">IF(G178="","",PERCENTRANK($G$2:$G$354,G178))</f>
        <v>0.598</v>
      </c>
      <c r="N178" s="14" t="n">
        <f aca="false">IF(I178="","",PERCENTRANK($I$2:$I$354,I178))</f>
        <v>0.178</v>
      </c>
      <c r="O178" s="14" t="n">
        <f aca="false">IF(K178="","",PERCENTRANK($K$2:$K$354,K178))</f>
        <v>0.702</v>
      </c>
      <c r="P178" s="12" t="n">
        <f aca="false">COUNT(M178:O178)</f>
        <v>3</v>
      </c>
      <c r="W178" s="12" t="n">
        <f aca="false">COUNTA(Q178:V178)</f>
        <v>0</v>
      </c>
      <c r="X178" s="14" t="n">
        <f aca="false">IF(P178=0,"",MIN(1,AVERAGE(M178:O178)+Critérios!$B$5*W178))</f>
        <v>0.492666666666667</v>
      </c>
      <c r="Y178" s="12" t="str">
        <f aca="false">IF(X178="","",IF(X178&gt;=Critérios!$B$7,"A",IF(X178&gt;=Critérios!$B$8,"B","C")))</f>
        <v>B</v>
      </c>
      <c r="Z178" s="12" t="n">
        <f aca="false">IF(X178="","",RANK(X178,$X$2:$X$354))</f>
        <v>177</v>
      </c>
      <c r="AA178" s="12" t="str">
        <f aca="false">IF(X178="","Sairia — sem métrica",IF(PERCENTRANK($X$2:$X$354,X178)&lt;Critérios!$B$6,"Sairia — terço inferior","Fica"))</f>
        <v>Fica</v>
      </c>
      <c r="AB178" s="12" t="s">
        <v>105</v>
      </c>
      <c r="AD178" s="15" t="s">
        <v>95</v>
      </c>
      <c r="AE178" s="16"/>
      <c r="AF178" s="12" t="s">
        <v>429</v>
      </c>
      <c r="AG178" s="12" t="s">
        <v>991</v>
      </c>
      <c r="AH178" s="12" t="n">
        <f aca="false">COUNT(G178,I178,K178)+COUNTA(Q178:V178)</f>
        <v>3</v>
      </c>
      <c r="AI178" s="12" t="str">
        <f aca="false">IF(AH178&gt;=3,"Sim","Não")</f>
        <v>Sim</v>
      </c>
      <c r="AJ178" s="12" t="str">
        <f aca="false">IF(AND(Z178&lt;&gt;"",Z178&lt;=Critérios!$B$9),"Sim","Não")</f>
        <v>Não</v>
      </c>
    </row>
    <row r="179" customFormat="false" ht="15" hidden="false" customHeight="false" outlineLevel="0" collapsed="false">
      <c r="A179" s="12" t="s">
        <v>992</v>
      </c>
      <c r="B179" s="12" t="s">
        <v>993</v>
      </c>
      <c r="C179" s="12" t="s">
        <v>994</v>
      </c>
      <c r="D179" s="12" t="s">
        <v>286</v>
      </c>
      <c r="E179" s="12" t="s">
        <v>91</v>
      </c>
      <c r="F179" s="12" t="s">
        <v>92</v>
      </c>
      <c r="G179" s="13" t="n">
        <v>5406369</v>
      </c>
      <c r="H179" s="13" t="n">
        <v>33329238</v>
      </c>
      <c r="I179" s="13" t="n">
        <v>484592874</v>
      </c>
      <c r="J179" s="12" t="n">
        <v>5</v>
      </c>
      <c r="K179" s="13" t="n">
        <v>476782</v>
      </c>
      <c r="L179" s="12" t="n">
        <v>6.8</v>
      </c>
      <c r="M179" s="14" t="n">
        <f aca="false">IF(G179="","",PERCENTRANK($G$2:$G$354,G179))</f>
        <v>0.768</v>
      </c>
      <c r="N179" s="14" t="n">
        <f aca="false">IF(I179="","",PERCENTRANK($I$2:$I$354,I179))</f>
        <v>0.153</v>
      </c>
      <c r="O179" s="14" t="n">
        <f aca="false">IF(K179="","",PERCENTRANK($K$2:$K$354,K179))</f>
        <v>0.557</v>
      </c>
      <c r="P179" s="12" t="n">
        <f aca="false">COUNT(M179:O179)</f>
        <v>3</v>
      </c>
      <c r="W179" s="12" t="n">
        <f aca="false">COUNTA(Q179:V179)</f>
        <v>0</v>
      </c>
      <c r="X179" s="14" t="n">
        <f aca="false">IF(P179=0,"",MIN(1,AVERAGE(M179:O179)+Critérios!$B$5*W179))</f>
        <v>0.492666666666667</v>
      </c>
      <c r="Y179" s="12" t="str">
        <f aca="false">IF(X179="","",IF(X179&gt;=Critérios!$B$7,"A",IF(X179&gt;=Critérios!$B$8,"B","C")))</f>
        <v>B</v>
      </c>
      <c r="Z179" s="12" t="n">
        <f aca="false">IF(X179="","",RANK(X179,$X$2:$X$354))</f>
        <v>177</v>
      </c>
      <c r="AA179" s="12" t="str">
        <f aca="false">IF(X179="","Sairia — sem métrica",IF(PERCENTRANK($X$2:$X$354,X179)&lt;Critérios!$B$6,"Sairia — terço inferior","Fica"))</f>
        <v>Fica</v>
      </c>
      <c r="AB179" s="12" t="s">
        <v>105</v>
      </c>
      <c r="AD179" s="15" t="s">
        <v>95</v>
      </c>
      <c r="AE179" s="16"/>
      <c r="AF179" s="12" t="s">
        <v>287</v>
      </c>
      <c r="AG179" s="12" t="s">
        <v>995</v>
      </c>
      <c r="AH179" s="12" t="n">
        <f aca="false">COUNT(G179,I179,K179)+COUNTA(Q179:V179)</f>
        <v>3</v>
      </c>
      <c r="AI179" s="12" t="str">
        <f aca="false">IF(AH179&gt;=3,"Sim","Não")</f>
        <v>Sim</v>
      </c>
      <c r="AJ179" s="12" t="str">
        <f aca="false">IF(AND(Z179&lt;&gt;"",Z179&lt;=Critérios!$B$9),"Sim","Não")</f>
        <v>Não</v>
      </c>
    </row>
    <row r="180" customFormat="false" ht="15" hidden="false" customHeight="false" outlineLevel="0" collapsed="false">
      <c r="A180" s="12" t="s">
        <v>996</v>
      </c>
      <c r="B180" s="12" t="s">
        <v>997</v>
      </c>
      <c r="C180" s="12" t="s">
        <v>998</v>
      </c>
      <c r="D180" s="12" t="s">
        <v>207</v>
      </c>
      <c r="E180" s="12" t="s">
        <v>91</v>
      </c>
      <c r="F180" s="12" t="s">
        <v>92</v>
      </c>
      <c r="G180" s="13" t="n">
        <v>3155131</v>
      </c>
      <c r="H180" s="13" t="n">
        <v>56501850</v>
      </c>
      <c r="I180" s="13" t="n">
        <v>1332539889</v>
      </c>
      <c r="J180" s="12" t="n">
        <v>1</v>
      </c>
      <c r="K180" s="13" t="n">
        <v>43</v>
      </c>
      <c r="L180" s="12" t="n">
        <v>4.4</v>
      </c>
      <c r="M180" s="14" t="n">
        <f aca="false">IF(G180="","",PERCENTRANK($G$2:$G$354,G180))</f>
        <v>0.484</v>
      </c>
      <c r="N180" s="14" t="n">
        <f aca="false">IF(I180="","",PERCENTRANK($I$2:$I$354,I180))</f>
        <v>0.898</v>
      </c>
      <c r="O180" s="14" t="n">
        <f aca="false">IF(K180="","",PERCENTRANK($K$2:$K$354,K180))</f>
        <v>0</v>
      </c>
      <c r="P180" s="12" t="n">
        <f aca="false">COUNT(M180:O180)</f>
        <v>3</v>
      </c>
      <c r="Q180" s="12" t="s">
        <v>999</v>
      </c>
      <c r="W180" s="12" t="n">
        <f aca="false">COUNTA(Q180:V180)</f>
        <v>1</v>
      </c>
      <c r="X180" s="14" t="n">
        <f aca="false">IF(P180=0,"",MIN(1,AVERAGE(M180:O180)+Critérios!$B$5*W180))</f>
        <v>0.490666666666667</v>
      </c>
      <c r="Y180" s="12" t="str">
        <f aca="false">IF(X180="","",IF(X180&gt;=Critérios!$B$7,"A",IF(X180&gt;=Critérios!$B$8,"B","C")))</f>
        <v>B</v>
      </c>
      <c r="Z180" s="12" t="n">
        <f aca="false">IF(X180="","",RANK(X180,$X$2:$X$354))</f>
        <v>179</v>
      </c>
      <c r="AA180" s="12" t="str">
        <f aca="false">IF(X180="","Sairia — sem métrica",IF(PERCENTRANK($X$2:$X$354,X180)&lt;Critérios!$B$6,"Sairia — terço inferior","Fica"))</f>
        <v>Fica</v>
      </c>
      <c r="AB180" s="12" t="s">
        <v>105</v>
      </c>
      <c r="AD180" s="15" t="s">
        <v>95</v>
      </c>
      <c r="AE180" s="16"/>
      <c r="AF180" s="12" t="s">
        <v>260</v>
      </c>
      <c r="AG180" s="12" t="s">
        <v>1000</v>
      </c>
      <c r="AH180" s="12" t="n">
        <f aca="false">COUNT(G180,I180,K180)+COUNTA(Q180:V180)</f>
        <v>4</v>
      </c>
      <c r="AI180" s="12" t="str">
        <f aca="false">IF(AH180&gt;=3,"Sim","Não")</f>
        <v>Sim</v>
      </c>
      <c r="AJ180" s="12" t="str">
        <f aca="false">IF(AND(Z180&lt;&gt;"",Z180&lt;=Critérios!$B$9),"Sim","Não")</f>
        <v>Não</v>
      </c>
    </row>
    <row r="181" customFormat="false" ht="15" hidden="false" customHeight="false" outlineLevel="0" collapsed="false">
      <c r="A181" s="12" t="s">
        <v>1001</v>
      </c>
      <c r="B181" s="12" t="s">
        <v>1002</v>
      </c>
      <c r="C181" s="12" t="s">
        <v>1003</v>
      </c>
      <c r="D181" s="12" t="s">
        <v>183</v>
      </c>
      <c r="E181" s="12" t="s">
        <v>91</v>
      </c>
      <c r="F181" s="12" t="s">
        <v>92</v>
      </c>
      <c r="G181" s="13" t="n">
        <v>4392977</v>
      </c>
      <c r="H181" s="13" t="n">
        <v>63524903</v>
      </c>
      <c r="I181" s="13" t="n">
        <v>653428261</v>
      </c>
      <c r="J181" s="12" t="n">
        <v>9</v>
      </c>
      <c r="K181" s="13" t="n">
        <v>423067</v>
      </c>
      <c r="L181" s="12" t="n">
        <v>6.6</v>
      </c>
      <c r="M181" s="14" t="n">
        <f aca="false">IF(G181="","",PERCENTRANK($G$2:$G$354,G181))</f>
        <v>0.644</v>
      </c>
      <c r="N181" s="14" t="n">
        <f aca="false">IF(I181="","",PERCENTRANK($I$2:$I$354,I181))</f>
        <v>0.343</v>
      </c>
      <c r="O181" s="14" t="n">
        <f aca="false">IF(K181="","",PERCENTRANK($K$2:$K$354,K181))</f>
        <v>0.48</v>
      </c>
      <c r="P181" s="12" t="n">
        <f aca="false">COUNT(M181:O181)</f>
        <v>3</v>
      </c>
      <c r="W181" s="12" t="n">
        <f aca="false">COUNTA(Q181:V181)</f>
        <v>0</v>
      </c>
      <c r="X181" s="14" t="n">
        <f aca="false">IF(P181=0,"",MIN(1,AVERAGE(M181:O181)+Critérios!$B$5*W181))</f>
        <v>0.489</v>
      </c>
      <c r="Y181" s="12" t="str">
        <f aca="false">IF(X181="","",IF(X181&gt;=Critérios!$B$7,"A",IF(X181&gt;=Critérios!$B$8,"B","C")))</f>
        <v>B</v>
      </c>
      <c r="Z181" s="12" t="n">
        <f aca="false">IF(X181="","",RANK(X181,$X$2:$X$354))</f>
        <v>180</v>
      </c>
      <c r="AA181" s="12" t="str">
        <f aca="false">IF(X181="","Sairia — sem métrica",IF(PERCENTRANK($X$2:$X$354,X181)&lt;Critérios!$B$6,"Sairia — terço inferior","Fica"))</f>
        <v>Fica</v>
      </c>
      <c r="AB181" s="12" t="s">
        <v>105</v>
      </c>
      <c r="AD181" s="15" t="s">
        <v>95</v>
      </c>
      <c r="AE181" s="16"/>
      <c r="AF181" s="12" t="s">
        <v>247</v>
      </c>
      <c r="AG181" s="12" t="s">
        <v>1004</v>
      </c>
      <c r="AH181" s="12" t="n">
        <f aca="false">COUNT(G181,I181,K181)+COUNTA(Q181:V181)</f>
        <v>3</v>
      </c>
      <c r="AI181" s="12" t="str">
        <f aca="false">IF(AH181&gt;=3,"Sim","Não")</f>
        <v>Sim</v>
      </c>
      <c r="AJ181" s="12" t="str">
        <f aca="false">IF(AND(Z181&lt;&gt;"",Z181&lt;=Critérios!$B$9),"Sim","Não")</f>
        <v>Não</v>
      </c>
    </row>
    <row r="182" customFormat="false" ht="15" hidden="false" customHeight="false" outlineLevel="0" collapsed="false">
      <c r="A182" s="12" t="s">
        <v>1005</v>
      </c>
      <c r="B182" s="12" t="s">
        <v>1006</v>
      </c>
      <c r="C182" s="12" t="s">
        <v>1007</v>
      </c>
      <c r="D182" s="12" t="s">
        <v>358</v>
      </c>
      <c r="E182" s="12" t="s">
        <v>91</v>
      </c>
      <c r="F182" s="12" t="s">
        <v>92</v>
      </c>
      <c r="G182" s="13" t="n">
        <v>3940550</v>
      </c>
      <c r="H182" s="13" t="n">
        <v>39851784</v>
      </c>
      <c r="I182" s="13" t="n">
        <v>592461732</v>
      </c>
      <c r="J182" s="12" t="n">
        <v>8</v>
      </c>
      <c r="K182" s="13" t="n">
        <v>555473</v>
      </c>
      <c r="L182" s="12" t="n">
        <v>7.7</v>
      </c>
      <c r="M182" s="14" t="n">
        <f aca="false">IF(G182="","",PERCENTRANK($G$2:$G$354,G182))</f>
        <v>0.562</v>
      </c>
      <c r="N182" s="14" t="n">
        <f aca="false">IF(I182="","",PERCENTRANK($I$2:$I$354,I182))</f>
        <v>0.271</v>
      </c>
      <c r="O182" s="14" t="n">
        <f aca="false">IF(K182="","",PERCENTRANK($K$2:$K$354,K182))</f>
        <v>0.631</v>
      </c>
      <c r="P182" s="12" t="n">
        <f aca="false">COUNT(M182:O182)</f>
        <v>3</v>
      </c>
      <c r="W182" s="12" t="n">
        <f aca="false">COUNTA(Q182:V182)</f>
        <v>0</v>
      </c>
      <c r="X182" s="14" t="n">
        <f aca="false">IF(P182=0,"",MIN(1,AVERAGE(M182:O182)+Critérios!$B$5*W182))</f>
        <v>0.488</v>
      </c>
      <c r="Y182" s="12" t="str">
        <f aca="false">IF(X182="","",IF(X182&gt;=Critérios!$B$7,"A",IF(X182&gt;=Critérios!$B$8,"B","C")))</f>
        <v>B</v>
      </c>
      <c r="Z182" s="12" t="n">
        <f aca="false">IF(X182="","",RANK(X182,$X$2:$X$354))</f>
        <v>181</v>
      </c>
      <c r="AA182" s="12" t="str">
        <f aca="false">IF(X182="","Sairia — sem métrica",IF(PERCENTRANK($X$2:$X$354,X182)&lt;Critérios!$B$6,"Sairia — terço inferior","Fica"))</f>
        <v>Fica</v>
      </c>
      <c r="AB182" s="12" t="s">
        <v>105</v>
      </c>
      <c r="AD182" s="15" t="s">
        <v>95</v>
      </c>
      <c r="AE182" s="16"/>
      <c r="AF182" s="12" t="s">
        <v>1008</v>
      </c>
      <c r="AG182" s="12" t="s">
        <v>1009</v>
      </c>
      <c r="AH182" s="12" t="n">
        <f aca="false">COUNT(G182,I182,K182)+COUNTA(Q182:V182)</f>
        <v>3</v>
      </c>
      <c r="AI182" s="12" t="str">
        <f aca="false">IF(AH182&gt;=3,"Sim","Não")</f>
        <v>Sim</v>
      </c>
      <c r="AJ182" s="12" t="str">
        <f aca="false">IF(AND(Z182&lt;&gt;"",Z182&lt;=Critérios!$B$9),"Sim","Não")</f>
        <v>Não</v>
      </c>
    </row>
    <row r="183" customFormat="false" ht="15" hidden="false" customHeight="false" outlineLevel="0" collapsed="false">
      <c r="A183" s="12" t="s">
        <v>1010</v>
      </c>
      <c r="B183" s="12" t="s">
        <v>1011</v>
      </c>
      <c r="C183" s="12" t="s">
        <v>1012</v>
      </c>
      <c r="D183" s="12" t="s">
        <v>111</v>
      </c>
      <c r="E183" s="12" t="s">
        <v>91</v>
      </c>
      <c r="F183" s="12" t="s">
        <v>92</v>
      </c>
      <c r="G183" s="13" t="n">
        <v>2550784</v>
      </c>
      <c r="H183" s="13" t="n">
        <v>44626592</v>
      </c>
      <c r="I183" s="13" t="n">
        <v>791115104</v>
      </c>
      <c r="J183" s="12" t="n">
        <v>8</v>
      </c>
      <c r="K183" s="13" t="n">
        <v>425863</v>
      </c>
      <c r="L183" s="12" t="n">
        <v>7.7</v>
      </c>
      <c r="M183" s="14" t="n">
        <f aca="false">IF(G183="","",PERCENTRANK($G$2:$G$354,G183))</f>
        <v>0.343</v>
      </c>
      <c r="N183" s="14" t="n">
        <f aca="false">IF(I183="","",PERCENTRANK($I$2:$I$354,I183))</f>
        <v>0.547</v>
      </c>
      <c r="O183" s="14" t="n">
        <f aca="false">IF(K183="","",PERCENTRANK($K$2:$K$354,K183))</f>
        <v>0.483</v>
      </c>
      <c r="P183" s="12" t="n">
        <f aca="false">COUNT(M183:O183)</f>
        <v>3</v>
      </c>
      <c r="Q183" s="12" t="s">
        <v>1013</v>
      </c>
      <c r="W183" s="12" t="n">
        <f aca="false">COUNTA(Q183:V183)</f>
        <v>1</v>
      </c>
      <c r="X183" s="14" t="n">
        <f aca="false">IF(P183=0,"",MIN(1,AVERAGE(M183:O183)+Critérios!$B$5*W183))</f>
        <v>0.487666666666667</v>
      </c>
      <c r="Y183" s="12" t="str">
        <f aca="false">IF(X183="","",IF(X183&gt;=Critérios!$B$7,"A",IF(X183&gt;=Critérios!$B$8,"B","C")))</f>
        <v>B</v>
      </c>
      <c r="Z183" s="12" t="n">
        <f aca="false">IF(X183="","",RANK(X183,$X$2:$X$354))</f>
        <v>182</v>
      </c>
      <c r="AA183" s="12" t="str">
        <f aca="false">IF(X183="","Sairia — sem métrica",IF(PERCENTRANK($X$2:$X$354,X183)&lt;Critérios!$B$6,"Sairia — terço inferior","Fica"))</f>
        <v>Fica</v>
      </c>
      <c r="AB183" s="12" t="s">
        <v>105</v>
      </c>
      <c r="AD183" s="15" t="s">
        <v>95</v>
      </c>
      <c r="AE183" s="16"/>
      <c r="AF183" s="12" t="s">
        <v>197</v>
      </c>
      <c r="AG183" s="12" t="s">
        <v>1014</v>
      </c>
      <c r="AH183" s="12" t="n">
        <f aca="false">COUNT(G183,I183,K183)+COUNTA(Q183:V183)</f>
        <v>4</v>
      </c>
      <c r="AI183" s="12" t="str">
        <f aca="false">IF(AH183&gt;=3,"Sim","Não")</f>
        <v>Sim</v>
      </c>
      <c r="AJ183" s="12" t="str">
        <f aca="false">IF(AND(Z183&lt;&gt;"",Z183&lt;=Critérios!$B$9),"Sim","Não")</f>
        <v>Não</v>
      </c>
    </row>
    <row r="184" customFormat="false" ht="15" hidden="false" customHeight="false" outlineLevel="0" collapsed="false">
      <c r="A184" s="12" t="s">
        <v>1015</v>
      </c>
      <c r="B184" s="12" t="s">
        <v>1016</v>
      </c>
      <c r="C184" s="12" t="s">
        <v>1017</v>
      </c>
      <c r="D184" s="12" t="s">
        <v>202</v>
      </c>
      <c r="E184" s="12" t="s">
        <v>91</v>
      </c>
      <c r="F184" s="12" t="s">
        <v>92</v>
      </c>
      <c r="G184" s="13" t="n">
        <v>3290880</v>
      </c>
      <c r="H184" s="13" t="n">
        <v>36949825</v>
      </c>
      <c r="I184" s="13" t="n">
        <v>743559607</v>
      </c>
      <c r="J184" s="12" t="n">
        <v>7</v>
      </c>
      <c r="K184" s="13" t="n">
        <v>432300</v>
      </c>
      <c r="L184" s="12" t="n">
        <v>7.2</v>
      </c>
      <c r="M184" s="14" t="n">
        <f aca="false">IF(G184="","",PERCENTRANK($G$2:$G$354,G184))</f>
        <v>0.5</v>
      </c>
      <c r="N184" s="14" t="n">
        <f aca="false">IF(I184="","",PERCENTRANK($I$2:$I$354,I184))</f>
        <v>0.458</v>
      </c>
      <c r="O184" s="14" t="n">
        <f aca="false">IF(K184="","",PERCENTRANK($K$2:$K$354,K184))</f>
        <v>0.494</v>
      </c>
      <c r="P184" s="12" t="n">
        <f aca="false">COUNT(M184:O184)</f>
        <v>3</v>
      </c>
      <c r="W184" s="12" t="n">
        <f aca="false">COUNTA(Q184:V184)</f>
        <v>0</v>
      </c>
      <c r="X184" s="14" t="n">
        <f aca="false">IF(P184=0,"",MIN(1,AVERAGE(M184:O184)+Critérios!$B$5*W184))</f>
        <v>0.484</v>
      </c>
      <c r="Y184" s="12" t="str">
        <f aca="false">IF(X184="","",IF(X184&gt;=Critérios!$B$7,"A",IF(X184&gt;=Critérios!$B$8,"B","C")))</f>
        <v>B</v>
      </c>
      <c r="Z184" s="12" t="n">
        <f aca="false">IF(X184="","",RANK(X184,$X$2:$X$354))</f>
        <v>183</v>
      </c>
      <c r="AA184" s="12" t="str">
        <f aca="false">IF(X184="","Sairia — sem métrica",IF(PERCENTRANK($X$2:$X$354,X184)&lt;Critérios!$B$6,"Sairia — terço inferior","Fica"))</f>
        <v>Fica</v>
      </c>
      <c r="AB184" s="12" t="s">
        <v>105</v>
      </c>
      <c r="AD184" s="15" t="s">
        <v>95</v>
      </c>
      <c r="AE184" s="16"/>
      <c r="AF184" s="12" t="s">
        <v>203</v>
      </c>
      <c r="AG184" s="12" t="s">
        <v>1018</v>
      </c>
      <c r="AH184" s="12" t="n">
        <f aca="false">COUNT(G184,I184,K184)+COUNTA(Q184:V184)</f>
        <v>3</v>
      </c>
      <c r="AI184" s="12" t="str">
        <f aca="false">IF(AH184&gt;=3,"Sim","Não")</f>
        <v>Sim</v>
      </c>
      <c r="AJ184" s="12" t="str">
        <f aca="false">IF(AND(Z184&lt;&gt;"",Z184&lt;=Critérios!$B$9),"Sim","Não")</f>
        <v>Não</v>
      </c>
    </row>
    <row r="185" customFormat="false" ht="15" hidden="false" customHeight="false" outlineLevel="0" collapsed="false">
      <c r="A185" s="12" t="s">
        <v>1019</v>
      </c>
      <c r="B185" s="12" t="s">
        <v>1020</v>
      </c>
      <c r="C185" s="12" t="s">
        <v>1021</v>
      </c>
      <c r="D185" s="12" t="s">
        <v>140</v>
      </c>
      <c r="E185" s="12" t="s">
        <v>91</v>
      </c>
      <c r="F185" s="12" t="s">
        <v>92</v>
      </c>
      <c r="G185" s="13" t="n">
        <v>5269118</v>
      </c>
      <c r="H185" s="13" t="n">
        <v>59140818</v>
      </c>
      <c r="I185" s="13" t="n">
        <v>746921274</v>
      </c>
      <c r="J185" s="12" t="n">
        <v>8</v>
      </c>
      <c r="K185" s="13" t="n">
        <v>221994</v>
      </c>
      <c r="L185" s="12" t="n">
        <v>6.8</v>
      </c>
      <c r="M185" s="14" t="n">
        <f aca="false">IF(G185="","",PERCENTRANK($G$2:$G$354,G185))</f>
        <v>0.758</v>
      </c>
      <c r="N185" s="14" t="n">
        <f aca="false">IF(I185="","",PERCENTRANK($I$2:$I$354,I185))</f>
        <v>0.475</v>
      </c>
      <c r="O185" s="14" t="n">
        <f aca="false">IF(K185="","",PERCENTRANK($K$2:$K$354,K185))</f>
        <v>0.219</v>
      </c>
      <c r="P185" s="12" t="n">
        <f aca="false">COUNT(M185:O185)</f>
        <v>3</v>
      </c>
      <c r="W185" s="12" t="n">
        <f aca="false">COUNTA(Q185:V185)</f>
        <v>0</v>
      </c>
      <c r="X185" s="14" t="n">
        <f aca="false">IF(P185=0,"",MIN(1,AVERAGE(M185:O185)+Critérios!$B$5*W185))</f>
        <v>0.484</v>
      </c>
      <c r="Y185" s="12" t="str">
        <f aca="false">IF(X185="","",IF(X185&gt;=Critérios!$B$7,"A",IF(X185&gt;=Critérios!$B$8,"B","C")))</f>
        <v>B</v>
      </c>
      <c r="Z185" s="12" t="n">
        <f aca="false">IF(X185="","",RANK(X185,$X$2:$X$354))</f>
        <v>183</v>
      </c>
      <c r="AA185" s="12" t="str">
        <f aca="false">IF(X185="","Sairia — sem métrica",IF(PERCENTRANK($X$2:$X$354,X185)&lt;Critérios!$B$6,"Sairia — terço inferior","Fica"))</f>
        <v>Fica</v>
      </c>
      <c r="AB185" s="12" t="s">
        <v>94</v>
      </c>
      <c r="AD185" s="15" t="s">
        <v>95</v>
      </c>
      <c r="AE185" s="16"/>
      <c r="AF185" s="12" t="s">
        <v>242</v>
      </c>
      <c r="AG185" s="12" t="s">
        <v>1022</v>
      </c>
      <c r="AH185" s="12" t="n">
        <f aca="false">COUNT(G185,I185,K185)+COUNTA(Q185:V185)</f>
        <v>3</v>
      </c>
      <c r="AI185" s="12" t="str">
        <f aca="false">IF(AH185&gt;=3,"Sim","Não")</f>
        <v>Sim</v>
      </c>
      <c r="AJ185" s="12" t="str">
        <f aca="false">IF(AND(Z185&lt;&gt;"",Z185&lt;=Critérios!$B$9),"Sim","Não")</f>
        <v>Não</v>
      </c>
    </row>
    <row r="186" customFormat="false" ht="15" hidden="false" customHeight="false" outlineLevel="0" collapsed="false">
      <c r="A186" s="12" t="s">
        <v>1023</v>
      </c>
      <c r="B186" s="12" t="s">
        <v>1024</v>
      </c>
      <c r="C186" s="12" t="s">
        <v>1025</v>
      </c>
      <c r="D186" s="12" t="s">
        <v>90</v>
      </c>
      <c r="E186" s="12" t="s">
        <v>91</v>
      </c>
      <c r="F186" s="12" t="s">
        <v>92</v>
      </c>
      <c r="G186" s="13" t="n">
        <v>3152655</v>
      </c>
      <c r="H186" s="13" t="n">
        <v>47683860</v>
      </c>
      <c r="I186" s="17"/>
      <c r="K186" s="13" t="n">
        <v>364406</v>
      </c>
      <c r="L186" s="12" t="n">
        <v>6.5</v>
      </c>
      <c r="M186" s="14" t="n">
        <f aca="false">IF(G186="","",PERCENTRANK($G$2:$G$354,G186))</f>
        <v>0.48</v>
      </c>
      <c r="N186" s="14" t="str">
        <f aca="false">IF(I186="","",PERCENTRANK($I$2:$I$354,I186))</f>
        <v/>
      </c>
      <c r="O186" s="14" t="n">
        <f aca="false">IF(K186="","",PERCENTRANK($K$2:$K$354,K186))</f>
        <v>0.426</v>
      </c>
      <c r="P186" s="12" t="n">
        <f aca="false">COUNT(M186:O186)</f>
        <v>2</v>
      </c>
      <c r="Q186" s="12" t="s">
        <v>1026</v>
      </c>
      <c r="W186" s="12" t="n">
        <f aca="false">COUNTA(Q186:V186)</f>
        <v>1</v>
      </c>
      <c r="X186" s="14" t="n">
        <f aca="false">IF(P186=0,"",MIN(1,AVERAGE(M186:O186)+Critérios!$B$5*W186))</f>
        <v>0.483</v>
      </c>
      <c r="Y186" s="12" t="str">
        <f aca="false">IF(X186="","",IF(X186&gt;=Critérios!$B$7,"A",IF(X186&gt;=Critérios!$B$8,"B","C")))</f>
        <v>B</v>
      </c>
      <c r="Z186" s="12" t="n">
        <f aca="false">IF(X186="","",RANK(X186,$X$2:$X$354))</f>
        <v>186</v>
      </c>
      <c r="AA186" s="12" t="str">
        <f aca="false">IF(X186="","Sairia — sem métrica",IF(PERCENTRANK($X$2:$X$354,X186)&lt;Critérios!$B$6,"Sairia — terço inferior","Fica"))</f>
        <v>Fica</v>
      </c>
      <c r="AB186" s="12" t="s">
        <v>105</v>
      </c>
      <c r="AD186" s="15" t="s">
        <v>95</v>
      </c>
      <c r="AE186" s="16"/>
      <c r="AF186" s="12" t="s">
        <v>1027</v>
      </c>
      <c r="AG186" s="12" t="s">
        <v>1028</v>
      </c>
      <c r="AH186" s="12" t="n">
        <f aca="false">COUNT(G186,I186,K186)+COUNTA(Q186:V186)</f>
        <v>3</v>
      </c>
      <c r="AI186" s="12" t="str">
        <f aca="false">IF(AH186&gt;=3,"Sim","Não")</f>
        <v>Sim</v>
      </c>
      <c r="AJ186" s="12" t="str">
        <f aca="false">IF(AND(Z186&lt;&gt;"",Z186&lt;=Critérios!$B$9),"Sim","Não")</f>
        <v>Não</v>
      </c>
    </row>
    <row r="187" customFormat="false" ht="15" hidden="false" customHeight="false" outlineLevel="0" collapsed="false">
      <c r="A187" s="12" t="s">
        <v>1029</v>
      </c>
      <c r="B187" s="12" t="s">
        <v>1030</v>
      </c>
      <c r="C187" s="12"/>
      <c r="D187" s="12" t="s">
        <v>90</v>
      </c>
      <c r="E187" s="12" t="s">
        <v>91</v>
      </c>
      <c r="F187" s="12" t="s">
        <v>92</v>
      </c>
      <c r="G187" s="13" t="n">
        <v>2926706</v>
      </c>
      <c r="H187" s="13" t="n">
        <v>47911729</v>
      </c>
      <c r="I187" s="17"/>
      <c r="K187" s="13" t="n">
        <v>419494</v>
      </c>
      <c r="L187" s="12" t="n">
        <v>7</v>
      </c>
      <c r="M187" s="14" t="n">
        <f aca="false">IF(G187="","",PERCENTRANK($G$2:$G$354,G187))</f>
        <v>0.435</v>
      </c>
      <c r="N187" s="14" t="str">
        <f aca="false">IF(I187="","",PERCENTRANK($I$2:$I$354,I187))</f>
        <v/>
      </c>
      <c r="O187" s="14" t="n">
        <f aca="false">IF(K187="","",PERCENTRANK($K$2:$K$354,K187))</f>
        <v>0.472</v>
      </c>
      <c r="P187" s="12" t="n">
        <f aca="false">COUNT(M187:O187)</f>
        <v>2</v>
      </c>
      <c r="Q187" s="12" t="s">
        <v>1031</v>
      </c>
      <c r="W187" s="12" t="n">
        <f aca="false">COUNTA(Q187:V187)</f>
        <v>1</v>
      </c>
      <c r="X187" s="14" t="n">
        <f aca="false">IF(P187=0,"",MIN(1,AVERAGE(M187:O187)+Critérios!$B$5*W187))</f>
        <v>0.4835</v>
      </c>
      <c r="Y187" s="12" t="str">
        <f aca="false">IF(X187="","",IF(X187&gt;=Critérios!$B$7,"A",IF(X187&gt;=Critérios!$B$8,"B","C")))</f>
        <v>B</v>
      </c>
      <c r="Z187" s="12" t="n">
        <f aca="false">IF(X187="","",RANK(X187,$X$2:$X$354))</f>
        <v>185</v>
      </c>
      <c r="AA187" s="12" t="str">
        <f aca="false">IF(X187="","Sairia — sem métrica",IF(PERCENTRANK($X$2:$X$354,X187)&lt;Critérios!$B$6,"Sairia — terço inferior","Fica"))</f>
        <v>Fica</v>
      </c>
      <c r="AB187" s="12" t="s">
        <v>105</v>
      </c>
      <c r="AD187" s="15" t="s">
        <v>95</v>
      </c>
      <c r="AE187" s="16"/>
      <c r="AF187" s="12" t="s">
        <v>1027</v>
      </c>
      <c r="AG187" s="12" t="s">
        <v>1032</v>
      </c>
      <c r="AH187" s="12" t="n">
        <f aca="false">COUNT(G187,I187,K187)+COUNTA(Q187:V187)</f>
        <v>3</v>
      </c>
      <c r="AI187" s="12" t="str">
        <f aca="false">IF(AH187&gt;=3,"Sim","Não")</f>
        <v>Sim</v>
      </c>
      <c r="AJ187" s="12" t="str">
        <f aca="false">IF(AND(Z187&lt;&gt;"",Z187&lt;=Critérios!$B$9),"Sim","Não")</f>
        <v>Não</v>
      </c>
    </row>
    <row r="188" customFormat="false" ht="15" hidden="false" customHeight="false" outlineLevel="0" collapsed="false">
      <c r="A188" s="12" t="s">
        <v>1033</v>
      </c>
      <c r="B188" s="12" t="s">
        <v>1034</v>
      </c>
      <c r="C188" s="12" t="s">
        <v>1034</v>
      </c>
      <c r="D188" s="12" t="s">
        <v>146</v>
      </c>
      <c r="E188" s="12" t="s">
        <v>91</v>
      </c>
      <c r="F188" s="12" t="s">
        <v>92</v>
      </c>
      <c r="G188" s="13" t="n">
        <v>2203863</v>
      </c>
      <c r="H188" s="13" t="n">
        <v>16594283</v>
      </c>
      <c r="I188" s="13" t="n">
        <v>623726085</v>
      </c>
      <c r="J188" s="12" t="n">
        <v>6</v>
      </c>
      <c r="K188" s="13" t="n">
        <v>969521</v>
      </c>
      <c r="L188" s="12" t="n">
        <v>8.1</v>
      </c>
      <c r="M188" s="14" t="n">
        <f aca="false">IF(G188="","",PERCENTRANK($G$2:$G$354,G188))</f>
        <v>0.275</v>
      </c>
      <c r="N188" s="14" t="n">
        <f aca="false">IF(I188="","",PERCENTRANK($I$2:$I$354,I188))</f>
        <v>0.297</v>
      </c>
      <c r="O188" s="14" t="n">
        <f aca="false">IF(K188="","",PERCENTRANK($K$2:$K$354,K188))</f>
        <v>0.875</v>
      </c>
      <c r="P188" s="12" t="n">
        <f aca="false">COUNT(M188:O188)</f>
        <v>3</v>
      </c>
      <c r="W188" s="12" t="n">
        <f aca="false">COUNTA(Q188:V188)</f>
        <v>0</v>
      </c>
      <c r="X188" s="14" t="n">
        <f aca="false">IF(P188=0,"",MIN(1,AVERAGE(M188:O188)+Critérios!$B$5*W188))</f>
        <v>0.482333333333333</v>
      </c>
      <c r="Y188" s="12" t="str">
        <f aca="false">IF(X188="","",IF(X188&gt;=Critérios!$B$7,"A",IF(X188&gt;=Critérios!$B$8,"B","C")))</f>
        <v>B</v>
      </c>
      <c r="Z188" s="12" t="n">
        <f aca="false">IF(X188="","",RANK(X188,$X$2:$X$354))</f>
        <v>187</v>
      </c>
      <c r="AA188" s="12" t="str">
        <f aca="false">IF(X188="","Sairia — sem métrica",IF(PERCENTRANK($X$2:$X$354,X188)&lt;Critérios!$B$6,"Sairia — terço inferior","Fica"))</f>
        <v>Fica</v>
      </c>
      <c r="AB188" s="12" t="s">
        <v>105</v>
      </c>
      <c r="AD188" s="15" t="s">
        <v>95</v>
      </c>
      <c r="AE188" s="16"/>
      <c r="AF188" s="12" t="s">
        <v>434</v>
      </c>
      <c r="AG188" s="12" t="s">
        <v>1035</v>
      </c>
      <c r="AH188" s="12" t="n">
        <f aca="false">COUNT(G188,I188,K188)+COUNTA(Q188:V188)</f>
        <v>3</v>
      </c>
      <c r="AI188" s="12" t="str">
        <f aca="false">IF(AH188&gt;=3,"Sim","Não")</f>
        <v>Sim</v>
      </c>
      <c r="AJ188" s="12" t="str">
        <f aca="false">IF(AND(Z188&lt;&gt;"",Z188&lt;=Critérios!$B$9),"Sim","Não")</f>
        <v>Não</v>
      </c>
    </row>
    <row r="189" customFormat="false" ht="15" hidden="false" customHeight="false" outlineLevel="0" collapsed="false">
      <c r="A189" s="12" t="s">
        <v>1036</v>
      </c>
      <c r="B189" s="12" t="s">
        <v>1037</v>
      </c>
      <c r="C189" s="12" t="s">
        <v>1038</v>
      </c>
      <c r="D189" s="12" t="s">
        <v>90</v>
      </c>
      <c r="E189" s="12" t="s">
        <v>91</v>
      </c>
      <c r="F189" s="12" t="s">
        <v>92</v>
      </c>
      <c r="G189" s="13" t="n">
        <v>3365706</v>
      </c>
      <c r="H189" s="13" t="n">
        <v>54004554</v>
      </c>
      <c r="I189" s="13" t="n">
        <v>801693929</v>
      </c>
      <c r="J189" s="12" t="n">
        <v>10</v>
      </c>
      <c r="K189" s="13" t="n">
        <v>326309</v>
      </c>
      <c r="L189" s="12" t="n">
        <v>6.6</v>
      </c>
      <c r="M189" s="14" t="n">
        <f aca="false">IF(G189="","",PERCENTRANK($G$2:$G$354,G189))</f>
        <v>0.51</v>
      </c>
      <c r="N189" s="14" t="n">
        <f aca="false">IF(I189="","",PERCENTRANK($I$2:$I$354,I189))</f>
        <v>0.551</v>
      </c>
      <c r="O189" s="14" t="n">
        <f aca="false">IF(K189="","",PERCENTRANK($K$2:$K$354,K189))</f>
        <v>0.384</v>
      </c>
      <c r="P189" s="12" t="n">
        <f aca="false">COUNT(M189:O189)</f>
        <v>3</v>
      </c>
      <c r="W189" s="12" t="n">
        <f aca="false">COUNTA(Q189:V189)</f>
        <v>0</v>
      </c>
      <c r="X189" s="14" t="n">
        <f aca="false">IF(P189=0,"",MIN(1,AVERAGE(M189:O189)+Critérios!$B$5*W189))</f>
        <v>0.481666666666667</v>
      </c>
      <c r="Y189" s="12" t="str">
        <f aca="false">IF(X189="","",IF(X189&gt;=Critérios!$B$7,"A",IF(X189&gt;=Critérios!$B$8,"B","C")))</f>
        <v>B</v>
      </c>
      <c r="Z189" s="12" t="n">
        <f aca="false">IF(X189="","",RANK(X189,$X$2:$X$354))</f>
        <v>188</v>
      </c>
      <c r="AA189" s="12" t="str">
        <f aca="false">IF(X189="","Sairia — sem métrica",IF(PERCENTRANK($X$2:$X$354,X189)&lt;Critérios!$B$6,"Sairia — terço inferior","Fica"))</f>
        <v>Fica</v>
      </c>
      <c r="AB189" s="12" t="s">
        <v>105</v>
      </c>
      <c r="AD189" s="15" t="s">
        <v>95</v>
      </c>
      <c r="AE189" s="16"/>
      <c r="AF189" s="12" t="s">
        <v>424</v>
      </c>
      <c r="AG189" s="12" t="s">
        <v>1039</v>
      </c>
      <c r="AH189" s="12" t="n">
        <f aca="false">COUNT(G189,I189,K189)+COUNTA(Q189:V189)</f>
        <v>3</v>
      </c>
      <c r="AI189" s="12" t="str">
        <f aca="false">IF(AH189&gt;=3,"Sim","Não")</f>
        <v>Sim</v>
      </c>
      <c r="AJ189" s="12" t="str">
        <f aca="false">IF(AND(Z189&lt;&gt;"",Z189&lt;=Critérios!$B$9),"Sim","Não")</f>
        <v>Não</v>
      </c>
    </row>
    <row r="190" customFormat="false" ht="15" hidden="false" customHeight="false" outlineLevel="0" collapsed="false">
      <c r="A190" s="12" t="s">
        <v>1040</v>
      </c>
      <c r="B190" s="12" t="s">
        <v>1041</v>
      </c>
      <c r="C190" s="12" t="s">
        <v>1042</v>
      </c>
      <c r="D190" s="12" t="s">
        <v>505</v>
      </c>
      <c r="E190" s="12" t="s">
        <v>91</v>
      </c>
      <c r="F190" s="12" t="s">
        <v>92</v>
      </c>
      <c r="G190" s="13" t="n">
        <v>4740000</v>
      </c>
      <c r="H190" s="13" t="n">
        <v>97670000</v>
      </c>
      <c r="I190" s="17"/>
      <c r="K190" s="13" t="n">
        <v>205117</v>
      </c>
      <c r="L190" s="12" t="n">
        <v>6.7</v>
      </c>
      <c r="M190" s="14" t="n">
        <f aca="false">IF(G190="","",PERCENTRANK($G$2:$G$354,G190))</f>
        <v>0.699</v>
      </c>
      <c r="N190" s="14" t="str">
        <f aca="false">IF(I190="","",PERCENTRANK($I$2:$I$354,I190))</f>
        <v/>
      </c>
      <c r="O190" s="14" t="n">
        <f aca="false">IF(K190="","",PERCENTRANK($K$2:$K$354,K190))</f>
        <v>0.202</v>
      </c>
      <c r="P190" s="12" t="n">
        <f aca="false">COUNT(M190:O190)</f>
        <v>2</v>
      </c>
      <c r="R190" s="12" t="s">
        <v>1043</v>
      </c>
      <c r="W190" s="12" t="n">
        <f aca="false">COUNTA(Q190:V190)</f>
        <v>1</v>
      </c>
      <c r="X190" s="14" t="n">
        <f aca="false">IF(P190=0,"",MIN(1,AVERAGE(M190:O190)+Critérios!$B$5*W190))</f>
        <v>0.4805</v>
      </c>
      <c r="Y190" s="12" t="str">
        <f aca="false">IF(X190="","",IF(X190&gt;=Critérios!$B$7,"A",IF(X190&gt;=Critérios!$B$8,"B","C")))</f>
        <v>B</v>
      </c>
      <c r="Z190" s="12" t="n">
        <f aca="false">IF(X190="","",RANK(X190,$X$2:$X$354))</f>
        <v>189</v>
      </c>
      <c r="AA190" s="12" t="str">
        <f aca="false">IF(X190="","Sairia — sem métrica",IF(PERCENTRANK($X$2:$X$354,X190)&lt;Critérios!$B$6,"Sairia — terço inferior","Fica"))</f>
        <v>Fica</v>
      </c>
      <c r="AB190" s="12" t="s">
        <v>105</v>
      </c>
      <c r="AD190" s="15" t="s">
        <v>95</v>
      </c>
      <c r="AE190" s="16"/>
      <c r="AF190" s="12" t="s">
        <v>1044</v>
      </c>
      <c r="AG190" s="12" t="s">
        <v>1045</v>
      </c>
      <c r="AH190" s="12" t="n">
        <f aca="false">COUNT(G190,I190,K190)+COUNTA(Q190:V190)</f>
        <v>3</v>
      </c>
      <c r="AI190" s="12" t="str">
        <f aca="false">IF(AH190&gt;=3,"Sim","Não")</f>
        <v>Sim</v>
      </c>
      <c r="AJ190" s="12" t="str">
        <f aca="false">IF(AND(Z190&lt;&gt;"",Z190&lt;=Critérios!$B$9),"Sim","Não")</f>
        <v>Não</v>
      </c>
    </row>
    <row r="191" customFormat="false" ht="15" hidden="false" customHeight="false" outlineLevel="0" collapsed="false">
      <c r="A191" s="12" t="s">
        <v>1046</v>
      </c>
      <c r="B191" s="12" t="s">
        <v>1047</v>
      </c>
      <c r="C191" s="12" t="s">
        <v>1048</v>
      </c>
      <c r="D191" s="12" t="s">
        <v>101</v>
      </c>
      <c r="E191" s="12" t="s">
        <v>91</v>
      </c>
      <c r="F191" s="12" t="s">
        <v>292</v>
      </c>
      <c r="G191" s="17"/>
      <c r="H191" s="17"/>
      <c r="I191" s="17"/>
      <c r="K191" s="13" t="n">
        <v>361280</v>
      </c>
      <c r="L191" s="12" t="n">
        <v>6.3</v>
      </c>
      <c r="M191" s="14" t="str">
        <f aca="false">IF(G191="","",PERCENTRANK($G$2:$G$354,G191))</f>
        <v/>
      </c>
      <c r="N191" s="14" t="str">
        <f aca="false">IF(I191="","",PERCENTRANK($I$2:$I$354,I191))</f>
        <v/>
      </c>
      <c r="O191" s="14" t="n">
        <f aca="false">IF(K191="","",PERCENTRANK($K$2:$K$354,K191))</f>
        <v>0.42</v>
      </c>
      <c r="P191" s="12" t="n">
        <f aca="false">COUNT(M191:O191)</f>
        <v>1</v>
      </c>
      <c r="Q191" s="12" t="s">
        <v>1049</v>
      </c>
      <c r="S191" s="12" t="s">
        <v>1050</v>
      </c>
      <c r="W191" s="12" t="n">
        <f aca="false">COUNTA(Q191:V191)</f>
        <v>2</v>
      </c>
      <c r="X191" s="14" t="n">
        <f aca="false">IF(P191=0,"",MIN(1,AVERAGE(M191:O191)+Critérios!$B$5*W191))</f>
        <v>0.48</v>
      </c>
      <c r="Y191" s="12" t="str">
        <f aca="false">IF(X191="","",IF(X191&gt;=Critérios!$B$7,"A",IF(X191&gt;=Critérios!$B$8,"B","C")))</f>
        <v>B</v>
      </c>
      <c r="Z191" s="12" t="n">
        <f aca="false">IF(X191="","",RANK(X191,$X$2:$X$354))</f>
        <v>190</v>
      </c>
      <c r="AA191" s="12" t="str">
        <f aca="false">IF(X191="","Sairia — sem métrica",IF(PERCENTRANK($X$2:$X$354,X191)&lt;Critérios!$B$6,"Sairia — terço inferior","Fica"))</f>
        <v>Fica</v>
      </c>
      <c r="AB191" s="12" t="s">
        <v>105</v>
      </c>
      <c r="AD191" s="15" t="s">
        <v>95</v>
      </c>
      <c r="AE191" s="16"/>
      <c r="AG191" s="12" t="s">
        <v>1051</v>
      </c>
      <c r="AH191" s="12" t="n">
        <f aca="false">COUNT(G191,I191,K191)+COUNTA(Q191:V191)</f>
        <v>3</v>
      </c>
      <c r="AI191" s="12" t="str">
        <f aca="false">IF(AH191&gt;=3,"Sim","Não")</f>
        <v>Sim</v>
      </c>
      <c r="AJ191" s="12" t="str">
        <f aca="false">IF(AND(Z191&lt;&gt;"",Z191&lt;=Critérios!$B$9),"Sim","Não")</f>
        <v>Não</v>
      </c>
    </row>
    <row r="192" customFormat="false" ht="15" hidden="false" customHeight="false" outlineLevel="0" collapsed="false">
      <c r="A192" s="12" t="s">
        <v>1052</v>
      </c>
      <c r="B192" s="12" t="s">
        <v>1053</v>
      </c>
      <c r="C192" s="12" t="s">
        <v>1054</v>
      </c>
      <c r="D192" s="12" t="s">
        <v>152</v>
      </c>
      <c r="E192" s="12" t="s">
        <v>91</v>
      </c>
      <c r="F192" s="12" t="s">
        <v>92</v>
      </c>
      <c r="G192" s="13" t="n">
        <v>6883375</v>
      </c>
      <c r="H192" s="13" t="n">
        <v>44935895</v>
      </c>
      <c r="I192" s="13" t="n">
        <v>611486736</v>
      </c>
      <c r="J192" s="12" t="n">
        <v>5</v>
      </c>
      <c r="K192" s="13" t="n">
        <v>277737</v>
      </c>
      <c r="L192" s="12" t="n">
        <v>7.3</v>
      </c>
      <c r="M192" s="14" t="n">
        <f aca="false">IF(G192="","",PERCENTRANK($G$2:$G$354,G192))</f>
        <v>0.85</v>
      </c>
      <c r="N192" s="14" t="n">
        <f aca="false">IF(I192="","",PERCENTRANK($I$2:$I$354,I192))</f>
        <v>0.288</v>
      </c>
      <c r="O192" s="14" t="n">
        <f aca="false">IF(K192="","",PERCENTRANK($K$2:$K$354,K192))</f>
        <v>0.293</v>
      </c>
      <c r="P192" s="12" t="n">
        <f aca="false">COUNT(M192:O192)</f>
        <v>3</v>
      </c>
      <c r="W192" s="12" t="n">
        <f aca="false">COUNTA(Q192:V192)</f>
        <v>0</v>
      </c>
      <c r="X192" s="14" t="n">
        <f aca="false">IF(P192=0,"",MIN(1,AVERAGE(M192:O192)+Critérios!$B$5*W192))</f>
        <v>0.477</v>
      </c>
      <c r="Y192" s="12" t="str">
        <f aca="false">IF(X192="","",IF(X192&gt;=Critérios!$B$7,"A",IF(X192&gt;=Critérios!$B$8,"B","C")))</f>
        <v>B</v>
      </c>
      <c r="Z192" s="12" t="n">
        <f aca="false">IF(X192="","",RANK(X192,$X$2:$X$354))</f>
        <v>191</v>
      </c>
      <c r="AA192" s="12" t="str">
        <f aca="false">IF(X192="","Sairia — sem métrica",IF(PERCENTRANK($X$2:$X$354,X192)&lt;Critérios!$B$6,"Sairia — terço inferior","Fica"))</f>
        <v>Fica</v>
      </c>
      <c r="AB192" s="12" t="s">
        <v>105</v>
      </c>
      <c r="AD192" s="15" t="s">
        <v>95</v>
      </c>
      <c r="AE192" s="16"/>
      <c r="AF192" s="12" t="s">
        <v>429</v>
      </c>
      <c r="AG192" s="12" t="s">
        <v>1055</v>
      </c>
      <c r="AH192" s="12" t="n">
        <f aca="false">COUNT(G192,I192,K192)+COUNTA(Q192:V192)</f>
        <v>3</v>
      </c>
      <c r="AI192" s="12" t="str">
        <f aca="false">IF(AH192&gt;=3,"Sim","Não")</f>
        <v>Sim</v>
      </c>
      <c r="AJ192" s="12" t="str">
        <f aca="false">IF(AND(Z192&lt;&gt;"",Z192&lt;=Critérios!$B$9),"Sim","Não")</f>
        <v>Não</v>
      </c>
    </row>
    <row r="193" customFormat="false" ht="15" hidden="false" customHeight="false" outlineLevel="0" collapsed="false">
      <c r="A193" s="12" t="s">
        <v>1056</v>
      </c>
      <c r="B193" s="12" t="s">
        <v>1057</v>
      </c>
      <c r="C193" s="12" t="s">
        <v>1058</v>
      </c>
      <c r="D193" s="12" t="s">
        <v>396</v>
      </c>
      <c r="E193" s="12" t="s">
        <v>91</v>
      </c>
      <c r="F193" s="12" t="s">
        <v>92</v>
      </c>
      <c r="G193" s="13" t="n">
        <v>2376082</v>
      </c>
      <c r="H193" s="13" t="n">
        <v>12238076</v>
      </c>
      <c r="I193" s="13" t="n">
        <v>528773250</v>
      </c>
      <c r="J193" s="12" t="n">
        <v>3</v>
      </c>
      <c r="K193" s="13" t="n">
        <v>1094553</v>
      </c>
      <c r="L193" s="12" t="n">
        <v>8.1</v>
      </c>
      <c r="M193" s="14" t="n">
        <f aca="false">IF(G193="","",PERCENTRANK($G$2:$G$354,G193))</f>
        <v>0.304</v>
      </c>
      <c r="N193" s="14" t="n">
        <f aca="false">IF(I193="","",PERCENTRANK($I$2:$I$354,I193))</f>
        <v>0.208</v>
      </c>
      <c r="O193" s="14" t="n">
        <f aca="false">IF(K193="","",PERCENTRANK($K$2:$K$354,K193))</f>
        <v>0.915</v>
      </c>
      <c r="P193" s="12" t="n">
        <f aca="false">COUNT(M193:O193)</f>
        <v>3</v>
      </c>
      <c r="W193" s="12" t="n">
        <f aca="false">COUNTA(Q193:V193)</f>
        <v>0</v>
      </c>
      <c r="X193" s="14" t="n">
        <f aca="false">IF(P193=0,"",MIN(1,AVERAGE(M193:O193)+Critérios!$B$5*W193))</f>
        <v>0.475666666666667</v>
      </c>
      <c r="Y193" s="12" t="str">
        <f aca="false">IF(X193="","",IF(X193&gt;=Critérios!$B$7,"A",IF(X193&gt;=Critérios!$B$8,"B","C")))</f>
        <v>B</v>
      </c>
      <c r="Z193" s="12" t="n">
        <f aca="false">IF(X193="","",RANK(X193,$X$2:$X$354))</f>
        <v>192</v>
      </c>
      <c r="AA193" s="12" t="str">
        <f aca="false">IF(X193="","Sairia — sem métrica",IF(PERCENTRANK($X$2:$X$354,X193)&lt;Critérios!$B$6,"Sairia — terço inferior","Fica"))</f>
        <v>Fica</v>
      </c>
      <c r="AB193" s="12" t="s">
        <v>105</v>
      </c>
      <c r="AD193" s="15" t="s">
        <v>95</v>
      </c>
      <c r="AE193" s="16"/>
      <c r="AF193" s="12" t="s">
        <v>397</v>
      </c>
      <c r="AG193" s="12" t="s">
        <v>1059</v>
      </c>
      <c r="AH193" s="12" t="n">
        <f aca="false">COUNT(G193,I193,K193)+COUNTA(Q193:V193)</f>
        <v>3</v>
      </c>
      <c r="AI193" s="12" t="str">
        <f aca="false">IF(AH193&gt;=3,"Sim","Não")</f>
        <v>Sim</v>
      </c>
      <c r="AJ193" s="12" t="str">
        <f aca="false">IF(AND(Z193&lt;&gt;"",Z193&lt;=Critérios!$B$9),"Sim","Não")</f>
        <v>Não</v>
      </c>
    </row>
    <row r="194" customFormat="false" ht="15" hidden="false" customHeight="false" outlineLevel="0" collapsed="false">
      <c r="A194" s="12" t="s">
        <v>1060</v>
      </c>
      <c r="B194" s="12" t="s">
        <v>1061</v>
      </c>
      <c r="C194" s="12" t="s">
        <v>1062</v>
      </c>
      <c r="D194" s="12" t="s">
        <v>505</v>
      </c>
      <c r="E194" s="12" t="s">
        <v>91</v>
      </c>
      <c r="F194" s="12" t="s">
        <v>92</v>
      </c>
      <c r="G194" s="13" t="n">
        <v>3290915</v>
      </c>
      <c r="H194" s="13" t="n">
        <v>66719354</v>
      </c>
      <c r="I194" s="13" t="n">
        <v>872428220</v>
      </c>
      <c r="J194" s="12" t="n">
        <v>6</v>
      </c>
      <c r="K194" s="13" t="n">
        <v>207177</v>
      </c>
      <c r="L194" s="12" t="n">
        <v>5.8</v>
      </c>
      <c r="M194" s="14" t="n">
        <f aca="false">IF(G194="","",PERCENTRANK($G$2:$G$354,G194))</f>
        <v>0.503</v>
      </c>
      <c r="N194" s="14" t="n">
        <f aca="false">IF(I194="","",PERCENTRANK($I$2:$I$354,I194))</f>
        <v>0.627</v>
      </c>
      <c r="O194" s="14" t="n">
        <f aca="false">IF(K194="","",PERCENTRANK($K$2:$K$354,K194))</f>
        <v>0.205</v>
      </c>
      <c r="P194" s="12" t="n">
        <f aca="false">COUNT(M194:O194)</f>
        <v>3</v>
      </c>
      <c r="Q194" s="12" t="s">
        <v>1063</v>
      </c>
      <c r="W194" s="12" t="n">
        <f aca="false">COUNTA(Q194:V194)</f>
        <v>1</v>
      </c>
      <c r="X194" s="14" t="n">
        <f aca="false">IF(P194=0,"",MIN(1,AVERAGE(M194:O194)+Critérios!$B$5*W194))</f>
        <v>0.475</v>
      </c>
      <c r="Y194" s="12" t="str">
        <f aca="false">IF(X194="","",IF(X194&gt;=Critérios!$B$7,"A",IF(X194&gt;=Critérios!$B$8,"B","C")))</f>
        <v>B</v>
      </c>
      <c r="Z194" s="12" t="n">
        <f aca="false">IF(X194="","",RANK(X194,$X$2:$X$354))</f>
        <v>193</v>
      </c>
      <c r="AA194" s="12" t="str">
        <f aca="false">IF(X194="","Sairia — sem métrica",IF(PERCENTRANK($X$2:$X$354,X194)&lt;Critérios!$B$6,"Sairia — terço inferior","Fica"))</f>
        <v>Fica</v>
      </c>
      <c r="AB194" s="12" t="s">
        <v>94</v>
      </c>
      <c r="AD194" s="15" t="s">
        <v>95</v>
      </c>
      <c r="AE194" s="16"/>
      <c r="AF194" s="12" t="s">
        <v>507</v>
      </c>
      <c r="AG194" s="12" t="s">
        <v>1064</v>
      </c>
      <c r="AH194" s="12" t="n">
        <f aca="false">COUNT(G194,I194,K194)+COUNTA(Q194:V194)</f>
        <v>4</v>
      </c>
      <c r="AI194" s="12" t="str">
        <f aca="false">IF(AH194&gt;=3,"Sim","Não")</f>
        <v>Sim</v>
      </c>
      <c r="AJ194" s="12" t="str">
        <f aca="false">IF(AND(Z194&lt;&gt;"",Z194&lt;=Critérios!$B$9),"Sim","Não")</f>
        <v>Não</v>
      </c>
    </row>
    <row r="195" customFormat="false" ht="15" hidden="false" customHeight="false" outlineLevel="0" collapsed="false">
      <c r="A195" s="12" t="s">
        <v>1065</v>
      </c>
      <c r="B195" s="12" t="s">
        <v>1066</v>
      </c>
      <c r="C195" s="12" t="s">
        <v>1067</v>
      </c>
      <c r="D195" s="12" t="s">
        <v>265</v>
      </c>
      <c r="E195" s="12" t="s">
        <v>91</v>
      </c>
      <c r="F195" s="12" t="s">
        <v>92</v>
      </c>
      <c r="G195" s="13" t="n">
        <v>7024864</v>
      </c>
      <c r="H195" s="13" t="n">
        <v>165560333</v>
      </c>
      <c r="I195" s="13" t="n">
        <v>693065893</v>
      </c>
      <c r="J195" s="12" t="n">
        <v>6</v>
      </c>
      <c r="K195" s="13" t="n">
        <v>119736</v>
      </c>
      <c r="L195" s="12" t="n">
        <v>6.3</v>
      </c>
      <c r="M195" s="14" t="n">
        <f aca="false">IF(G195="","",PERCENTRANK($G$2:$G$354,G195))</f>
        <v>0.859</v>
      </c>
      <c r="N195" s="14" t="n">
        <f aca="false">IF(I195="","",PERCENTRANK($I$2:$I$354,I195))</f>
        <v>0.39</v>
      </c>
      <c r="O195" s="14" t="n">
        <f aca="false">IF(K195="","",PERCENTRANK($K$2:$K$354,K195))</f>
        <v>0.0795</v>
      </c>
      <c r="P195" s="12" t="n">
        <f aca="false">COUNT(M195:O195)</f>
        <v>3</v>
      </c>
      <c r="R195" s="12" t="s">
        <v>1068</v>
      </c>
      <c r="W195" s="12" t="n">
        <f aca="false">COUNTA(Q195:V195)</f>
        <v>1</v>
      </c>
      <c r="X195" s="14" t="n">
        <f aca="false">IF(P195=0,"",MIN(1,AVERAGE(M195:O195)+Critérios!$B$5*W195))</f>
        <v>0.472833333333333</v>
      </c>
      <c r="Y195" s="12" t="str">
        <f aca="false">IF(X195="","",IF(X195&gt;=Critérios!$B$7,"A",IF(X195&gt;=Critérios!$B$8,"B","C")))</f>
        <v>B</v>
      </c>
      <c r="Z195" s="12" t="n">
        <f aca="false">IF(X195="","",RANK(X195,$X$2:$X$354))</f>
        <v>194</v>
      </c>
      <c r="AA195" s="12" t="str">
        <f aca="false">IF(X195="","Sairia — sem métrica",IF(PERCENTRANK($X$2:$X$354,X195)&lt;Critérios!$B$6,"Sairia — terço inferior","Fica"))</f>
        <v>Fica</v>
      </c>
      <c r="AB195" s="12" t="s">
        <v>105</v>
      </c>
      <c r="AC195" s="12" t="s">
        <v>267</v>
      </c>
      <c r="AD195" s="15" t="s">
        <v>95</v>
      </c>
      <c r="AE195" s="16"/>
      <c r="AF195" s="12" t="s">
        <v>268</v>
      </c>
      <c r="AG195" s="12" t="s">
        <v>1069</v>
      </c>
      <c r="AH195" s="12" t="n">
        <f aca="false">COUNT(G195,I195,K195)+COUNTA(Q195:V195)</f>
        <v>4</v>
      </c>
      <c r="AI195" s="12" t="str">
        <f aca="false">IF(AH195&gt;=3,"Sim","Não")</f>
        <v>Sim</v>
      </c>
      <c r="AJ195" s="12" t="str">
        <f aca="false">IF(AND(Z195&lt;&gt;"",Z195&lt;=Critérios!$B$9),"Sim","Não")</f>
        <v>Não</v>
      </c>
    </row>
    <row r="196" customFormat="false" ht="15" hidden="false" customHeight="false" outlineLevel="0" collapsed="false">
      <c r="A196" s="12" t="s">
        <v>1070</v>
      </c>
      <c r="B196" s="12" t="s">
        <v>1071</v>
      </c>
      <c r="C196" s="12" t="s">
        <v>1071</v>
      </c>
      <c r="D196" s="12" t="s">
        <v>127</v>
      </c>
      <c r="E196" s="12" t="s">
        <v>91</v>
      </c>
      <c r="F196" s="12" t="s">
        <v>92</v>
      </c>
      <c r="G196" s="13" t="n">
        <v>4347608</v>
      </c>
      <c r="H196" s="13" t="n">
        <v>27922174</v>
      </c>
      <c r="I196" s="13" t="n">
        <v>542063846</v>
      </c>
      <c r="J196" s="12" t="n">
        <v>6</v>
      </c>
      <c r="K196" s="13" t="n">
        <v>488800</v>
      </c>
      <c r="L196" s="12" t="n">
        <v>7</v>
      </c>
      <c r="M196" s="14" t="n">
        <f aca="false">IF(G196="","",PERCENTRANK($G$2:$G$354,G196))</f>
        <v>0.631</v>
      </c>
      <c r="N196" s="14" t="n">
        <f aca="false">IF(I196="","",PERCENTRANK($I$2:$I$354,I196))</f>
        <v>0.216</v>
      </c>
      <c r="O196" s="14" t="n">
        <f aca="false">IF(K196="","",PERCENTRANK($K$2:$K$354,K196))</f>
        <v>0.563</v>
      </c>
      <c r="P196" s="12" t="n">
        <f aca="false">COUNT(M196:O196)</f>
        <v>3</v>
      </c>
      <c r="W196" s="12" t="n">
        <f aca="false">COUNTA(Q196:V196)</f>
        <v>0</v>
      </c>
      <c r="X196" s="14" t="n">
        <f aca="false">IF(P196=0,"",MIN(1,AVERAGE(M196:O196)+Critérios!$B$5*W196))</f>
        <v>0.47</v>
      </c>
      <c r="Y196" s="12" t="str">
        <f aca="false">IF(X196="","",IF(X196&gt;=Critérios!$B$7,"A",IF(X196&gt;=Critérios!$B$8,"B","C")))</f>
        <v>B</v>
      </c>
      <c r="Z196" s="12" t="n">
        <f aca="false">IF(X196="","",RANK(X196,$X$2:$X$354))</f>
        <v>195</v>
      </c>
      <c r="AA196" s="12" t="str">
        <f aca="false">IF(X196="","Sairia — sem métrica",IF(PERCENTRANK($X$2:$X$354,X196)&lt;Critérios!$B$6,"Sairia — terço inferior","Fica"))</f>
        <v>Fica</v>
      </c>
      <c r="AB196" s="12" t="s">
        <v>94</v>
      </c>
      <c r="AD196" s="15" t="s">
        <v>95</v>
      </c>
      <c r="AE196" s="16"/>
      <c r="AF196" s="12" t="s">
        <v>495</v>
      </c>
      <c r="AG196" s="12" t="s">
        <v>1072</v>
      </c>
      <c r="AH196" s="12" t="n">
        <f aca="false">COUNT(G196,I196,K196)+COUNTA(Q196:V196)</f>
        <v>3</v>
      </c>
      <c r="AI196" s="12" t="str">
        <f aca="false">IF(AH196&gt;=3,"Sim","Não")</f>
        <v>Sim</v>
      </c>
      <c r="AJ196" s="12" t="str">
        <f aca="false">IF(AND(Z196&lt;&gt;"",Z196&lt;=Critérios!$B$9),"Sim","Não")</f>
        <v>Não</v>
      </c>
    </row>
    <row r="197" customFormat="false" ht="15" hidden="false" customHeight="false" outlineLevel="0" collapsed="false">
      <c r="A197" s="12" t="s">
        <v>1073</v>
      </c>
      <c r="B197" s="12" t="s">
        <v>1074</v>
      </c>
      <c r="C197" s="12" t="s">
        <v>1075</v>
      </c>
      <c r="D197" s="12" t="s">
        <v>189</v>
      </c>
      <c r="E197" s="12" t="s">
        <v>91</v>
      </c>
      <c r="F197" s="12" t="s">
        <v>169</v>
      </c>
      <c r="G197" s="17"/>
      <c r="H197" s="17"/>
      <c r="I197" s="17"/>
      <c r="K197" s="13" t="n">
        <v>345830</v>
      </c>
      <c r="L197" s="12" t="n">
        <v>7.4</v>
      </c>
      <c r="M197" s="14" t="str">
        <f aca="false">IF(G197="","",PERCENTRANK($G$2:$G$354,G197))</f>
        <v/>
      </c>
      <c r="N197" s="14" t="str">
        <f aca="false">IF(I197="","",PERCENTRANK($I$2:$I$354,I197))</f>
        <v/>
      </c>
      <c r="O197" s="14" t="n">
        <f aca="false">IF(K197="","",PERCENTRANK($K$2:$K$354,K197))</f>
        <v>0.409</v>
      </c>
      <c r="P197" s="12" t="n">
        <f aca="false">COUNT(M197:O197)</f>
        <v>1</v>
      </c>
      <c r="Q197" s="12" t="s">
        <v>1076</v>
      </c>
      <c r="R197" s="12" t="s">
        <v>1077</v>
      </c>
      <c r="W197" s="12" t="n">
        <f aca="false">COUNTA(Q197:V197)</f>
        <v>2</v>
      </c>
      <c r="X197" s="14" t="n">
        <f aca="false">IF(P197=0,"",MIN(1,AVERAGE(M197:O197)+Critérios!$B$5*W197))</f>
        <v>0.469</v>
      </c>
      <c r="Y197" s="12" t="str">
        <f aca="false">IF(X197="","",IF(X197&gt;=Critérios!$B$7,"A",IF(X197&gt;=Critérios!$B$8,"B","C")))</f>
        <v>B</v>
      </c>
      <c r="Z197" s="12" t="n">
        <f aca="false">IF(X197="","",RANK(X197,$X$2:$X$354))</f>
        <v>196</v>
      </c>
      <c r="AA197" s="12" t="str">
        <f aca="false">IF(X197="","Sairia — sem métrica",IF(PERCENTRANK($X$2:$X$354,X197)&lt;Critérios!$B$6,"Sairia — terço inferior","Fica"))</f>
        <v>Fica</v>
      </c>
      <c r="AB197" s="12" t="s">
        <v>105</v>
      </c>
      <c r="AD197" s="15" t="s">
        <v>95</v>
      </c>
      <c r="AE197" s="16"/>
      <c r="AG197" s="12" t="s">
        <v>1078</v>
      </c>
      <c r="AH197" s="12" t="n">
        <f aca="false">COUNT(G197,I197,K197)+COUNTA(Q197:V197)</f>
        <v>3</v>
      </c>
      <c r="AI197" s="12" t="str">
        <f aca="false">IF(AH197&gt;=3,"Sim","Não")</f>
        <v>Sim</v>
      </c>
      <c r="AJ197" s="12" t="str">
        <f aca="false">IF(AND(Z197&lt;&gt;"",Z197&lt;=Critérios!$B$9),"Sim","Não")</f>
        <v>Não</v>
      </c>
    </row>
    <row r="198" customFormat="false" ht="15" hidden="false" customHeight="false" outlineLevel="0" collapsed="false">
      <c r="A198" s="12" t="s">
        <v>1079</v>
      </c>
      <c r="B198" s="12" t="s">
        <v>1080</v>
      </c>
      <c r="C198" s="12" t="s">
        <v>1081</v>
      </c>
      <c r="D198" s="12" t="s">
        <v>273</v>
      </c>
      <c r="E198" s="12" t="s">
        <v>91</v>
      </c>
      <c r="F198" s="12" t="s">
        <v>92</v>
      </c>
      <c r="G198" s="13" t="n">
        <v>2090633</v>
      </c>
      <c r="H198" s="13" t="n">
        <v>11938136</v>
      </c>
      <c r="I198" s="13" t="n">
        <v>653741940</v>
      </c>
      <c r="J198" s="12" t="n">
        <v>4</v>
      </c>
      <c r="K198" s="13" t="n">
        <v>833329</v>
      </c>
      <c r="L198" s="12" t="n">
        <v>6.6</v>
      </c>
      <c r="M198" s="14" t="n">
        <f aca="false">IF(G198="","",PERCENTRANK($G$2:$G$354,G198))</f>
        <v>0.245</v>
      </c>
      <c r="N198" s="14" t="n">
        <f aca="false">IF(I198="","",PERCENTRANK($I$2:$I$354,I198))</f>
        <v>0.347</v>
      </c>
      <c r="O198" s="14" t="n">
        <f aca="false">IF(K198="","",PERCENTRANK($K$2:$K$354,K198))</f>
        <v>0.81</v>
      </c>
      <c r="P198" s="12" t="n">
        <f aca="false">COUNT(M198:O198)</f>
        <v>3</v>
      </c>
      <c r="W198" s="12" t="n">
        <f aca="false">COUNTA(Q198:V198)</f>
        <v>0</v>
      </c>
      <c r="X198" s="14" t="n">
        <f aca="false">IF(P198=0,"",MIN(1,AVERAGE(M198:O198)+Critérios!$B$5*W198))</f>
        <v>0.467333333333333</v>
      </c>
      <c r="Y198" s="12" t="str">
        <f aca="false">IF(X198="","",IF(X198&gt;=Critérios!$B$7,"A",IF(X198&gt;=Critérios!$B$8,"B","C")))</f>
        <v>B</v>
      </c>
      <c r="Z198" s="12" t="n">
        <f aca="false">IF(X198="","",RANK(X198,$X$2:$X$354))</f>
        <v>197</v>
      </c>
      <c r="AA198" s="12" t="str">
        <f aca="false">IF(X198="","Sairia — sem métrica",IF(PERCENTRANK($X$2:$X$354,X198)&lt;Critérios!$B$6,"Sairia — terço inferior","Fica"))</f>
        <v>Fica</v>
      </c>
      <c r="AB198" s="12" t="s">
        <v>105</v>
      </c>
      <c r="AD198" s="15" t="s">
        <v>95</v>
      </c>
      <c r="AE198" s="16"/>
      <c r="AF198" s="12" t="s">
        <v>275</v>
      </c>
      <c r="AG198" s="12" t="s">
        <v>1082</v>
      </c>
      <c r="AH198" s="12" t="n">
        <f aca="false">COUNT(G198,I198,K198)+COUNTA(Q198:V198)</f>
        <v>3</v>
      </c>
      <c r="AI198" s="12" t="str">
        <f aca="false">IF(AH198&gt;=3,"Sim","Não")</f>
        <v>Sim</v>
      </c>
      <c r="AJ198" s="12" t="str">
        <f aca="false">IF(AND(Z198&lt;&gt;"",Z198&lt;=Critérios!$B$9),"Sim","Não")</f>
        <v>Não</v>
      </c>
    </row>
    <row r="199" customFormat="false" ht="15" hidden="false" customHeight="false" outlineLevel="0" collapsed="false">
      <c r="A199" s="12" t="s">
        <v>1083</v>
      </c>
      <c r="B199" s="12" t="s">
        <v>1084</v>
      </c>
      <c r="C199" s="12" t="s">
        <v>1085</v>
      </c>
      <c r="D199" s="12" t="s">
        <v>265</v>
      </c>
      <c r="E199" s="12" t="s">
        <v>91</v>
      </c>
      <c r="F199" s="12" t="s">
        <v>92</v>
      </c>
      <c r="G199" s="13" t="n">
        <v>2025189</v>
      </c>
      <c r="H199" s="13" t="n">
        <v>48031252</v>
      </c>
      <c r="I199" s="17"/>
      <c r="K199" s="13" t="n">
        <v>575233</v>
      </c>
      <c r="L199" s="12" t="n">
        <v>8.2</v>
      </c>
      <c r="M199" s="14" t="n">
        <f aca="false">IF(G199="","",PERCENTRANK($G$2:$G$354,G199))</f>
        <v>0.216</v>
      </c>
      <c r="N199" s="14" t="str">
        <f aca="false">IF(I199="","",PERCENTRANK($I$2:$I$354,I199))</f>
        <v/>
      </c>
      <c r="O199" s="14" t="n">
        <f aca="false">IF(K199="","",PERCENTRANK($K$2:$K$354,K199))</f>
        <v>0.653</v>
      </c>
      <c r="P199" s="12" t="n">
        <f aca="false">COUNT(M199:O199)</f>
        <v>2</v>
      </c>
      <c r="R199" s="12" t="s">
        <v>1086</v>
      </c>
      <c r="W199" s="12" t="n">
        <f aca="false">COUNTA(Q199:V199)</f>
        <v>1</v>
      </c>
      <c r="X199" s="14" t="n">
        <f aca="false">IF(P199=0,"",MIN(1,AVERAGE(M199:O199)+Critérios!$B$5*W199))</f>
        <v>0.4645</v>
      </c>
      <c r="Y199" s="12" t="str">
        <f aca="false">IF(X199="","",IF(X199&gt;=Critérios!$B$7,"A",IF(X199&gt;=Critérios!$B$8,"B","C")))</f>
        <v>B</v>
      </c>
      <c r="Z199" s="12" t="n">
        <f aca="false">IF(X199="","",RANK(X199,$X$2:$X$354))</f>
        <v>198</v>
      </c>
      <c r="AA199" s="12" t="str">
        <f aca="false">IF(X199="","Sairia — sem métrica",IF(PERCENTRANK($X$2:$X$354,X199)&lt;Critérios!$B$6,"Sairia — terço inferior","Fica"))</f>
        <v>Fica</v>
      </c>
      <c r="AB199" s="12" t="s">
        <v>105</v>
      </c>
      <c r="AC199" s="12" t="s">
        <v>267</v>
      </c>
      <c r="AD199" s="15" t="s">
        <v>95</v>
      </c>
      <c r="AE199" s="16"/>
      <c r="AF199" s="12" t="s">
        <v>1087</v>
      </c>
      <c r="AG199" s="12" t="s">
        <v>1088</v>
      </c>
      <c r="AH199" s="12" t="n">
        <f aca="false">COUNT(G199,I199,K199)+COUNTA(Q199:V199)</f>
        <v>3</v>
      </c>
      <c r="AI199" s="12" t="str">
        <f aca="false">IF(AH199&gt;=3,"Sim","Não")</f>
        <v>Sim</v>
      </c>
      <c r="AJ199" s="12" t="str">
        <f aca="false">IF(AND(Z199&lt;&gt;"",Z199&lt;=Critérios!$B$9),"Sim","Não")</f>
        <v>Não</v>
      </c>
    </row>
    <row r="200" customFormat="false" ht="15" hidden="false" customHeight="false" outlineLevel="0" collapsed="false">
      <c r="A200" s="12" t="s">
        <v>1089</v>
      </c>
      <c r="B200" s="12" t="s">
        <v>1090</v>
      </c>
      <c r="C200" s="12" t="s">
        <v>1091</v>
      </c>
      <c r="D200" s="12" t="s">
        <v>127</v>
      </c>
      <c r="E200" s="12" t="s">
        <v>91</v>
      </c>
      <c r="F200" s="12" t="s">
        <v>92</v>
      </c>
      <c r="G200" s="13" t="n">
        <v>2726150</v>
      </c>
      <c r="H200" s="13" t="n">
        <v>21635690</v>
      </c>
      <c r="I200" s="13" t="n">
        <v>745013115</v>
      </c>
      <c r="J200" s="12" t="n">
        <v>3</v>
      </c>
      <c r="K200" s="13" t="n">
        <v>463353</v>
      </c>
      <c r="L200" s="12" t="n">
        <v>6.9</v>
      </c>
      <c r="M200" s="14" t="n">
        <f aca="false">IF(G200="","",PERCENTRANK($G$2:$G$354,G200))</f>
        <v>0.392</v>
      </c>
      <c r="N200" s="14" t="n">
        <f aca="false">IF(I200="","",PERCENTRANK($I$2:$I$354,I200))</f>
        <v>0.462</v>
      </c>
      <c r="O200" s="14" t="n">
        <f aca="false">IF(K200="","",PERCENTRANK($K$2:$K$354,K200))</f>
        <v>0.534</v>
      </c>
      <c r="P200" s="12" t="n">
        <f aca="false">COUNT(M200:O200)</f>
        <v>3</v>
      </c>
      <c r="W200" s="12" t="n">
        <f aca="false">COUNTA(Q200:V200)</f>
        <v>0</v>
      </c>
      <c r="X200" s="14" t="n">
        <f aca="false">IF(P200=0,"",MIN(1,AVERAGE(M200:O200)+Critérios!$B$5*W200))</f>
        <v>0.462666666666667</v>
      </c>
      <c r="Y200" s="12" t="str">
        <f aca="false">IF(X200="","",IF(X200&gt;=Critérios!$B$7,"A",IF(X200&gt;=Critérios!$B$8,"B","C")))</f>
        <v>B</v>
      </c>
      <c r="Z200" s="12" t="n">
        <f aca="false">IF(X200="","",RANK(X200,$X$2:$X$354))</f>
        <v>199</v>
      </c>
      <c r="AA200" s="12" t="str">
        <f aca="false">IF(X200="","Sairia — sem métrica",IF(PERCENTRANK($X$2:$X$354,X200)&lt;Critérios!$B$6,"Sairia — terço inferior","Fica"))</f>
        <v>Fica</v>
      </c>
      <c r="AB200" s="12" t="s">
        <v>105</v>
      </c>
      <c r="AD200" s="15" t="s">
        <v>95</v>
      </c>
      <c r="AE200" s="16"/>
      <c r="AF200" s="12" t="s">
        <v>495</v>
      </c>
      <c r="AG200" s="12" t="s">
        <v>1092</v>
      </c>
      <c r="AH200" s="12" t="n">
        <f aca="false">COUNT(G200,I200,K200)+COUNTA(Q200:V200)</f>
        <v>3</v>
      </c>
      <c r="AI200" s="12" t="str">
        <f aca="false">IF(AH200&gt;=3,"Sim","Não")</f>
        <v>Sim</v>
      </c>
      <c r="AJ200" s="12" t="str">
        <f aca="false">IF(AND(Z200&lt;&gt;"",Z200&lt;=Critérios!$B$9),"Sim","Não")</f>
        <v>Não</v>
      </c>
    </row>
    <row r="201" customFormat="false" ht="15" hidden="false" customHeight="false" outlineLevel="0" collapsed="false">
      <c r="A201" s="12" t="s">
        <v>1093</v>
      </c>
      <c r="B201" s="12" t="s">
        <v>1094</v>
      </c>
      <c r="C201" s="12" t="s">
        <v>1095</v>
      </c>
      <c r="D201" s="12" t="s">
        <v>214</v>
      </c>
      <c r="E201" s="12" t="s">
        <v>91</v>
      </c>
      <c r="F201" s="12" t="s">
        <v>92</v>
      </c>
      <c r="G201" s="13" t="n">
        <v>2530077</v>
      </c>
      <c r="H201" s="13" t="n">
        <v>24467772</v>
      </c>
      <c r="I201" s="13" t="n">
        <v>694713380</v>
      </c>
      <c r="J201" s="12" t="n">
        <v>5</v>
      </c>
      <c r="K201" s="13" t="n">
        <v>570549</v>
      </c>
      <c r="L201" s="12" t="n">
        <v>7.4</v>
      </c>
      <c r="M201" s="14" t="n">
        <f aca="false">IF(G201="","",PERCENTRANK($G$2:$G$354,G201))</f>
        <v>0.34</v>
      </c>
      <c r="N201" s="14" t="n">
        <f aca="false">IF(I201="","",PERCENTRANK($I$2:$I$354,I201))</f>
        <v>0.398</v>
      </c>
      <c r="O201" s="14" t="n">
        <f aca="false">IF(K201="","",PERCENTRANK($K$2:$K$354,K201))</f>
        <v>0.648</v>
      </c>
      <c r="P201" s="12" t="n">
        <f aca="false">COUNT(M201:O201)</f>
        <v>3</v>
      </c>
      <c r="W201" s="12" t="n">
        <f aca="false">COUNTA(Q201:V201)</f>
        <v>0</v>
      </c>
      <c r="X201" s="14" t="n">
        <f aca="false">IF(P201=0,"",MIN(1,AVERAGE(M201:O201)+Critérios!$B$5*W201))</f>
        <v>0.462</v>
      </c>
      <c r="Y201" s="12" t="str">
        <f aca="false">IF(X201="","",IF(X201&gt;=Critérios!$B$7,"A",IF(X201&gt;=Critérios!$B$8,"B","C")))</f>
        <v>B</v>
      </c>
      <c r="Z201" s="12" t="n">
        <f aca="false">IF(X201="","",RANK(X201,$X$2:$X$354))</f>
        <v>200</v>
      </c>
      <c r="AA201" s="12" t="str">
        <f aca="false">IF(X201="","Sairia — sem métrica",IF(PERCENTRANK($X$2:$X$354,X201)&lt;Critérios!$B$6,"Sairia — terço inferior","Fica"))</f>
        <v>Fica</v>
      </c>
      <c r="AB201" s="12" t="s">
        <v>105</v>
      </c>
      <c r="AD201" s="15" t="s">
        <v>95</v>
      </c>
      <c r="AE201" s="16"/>
      <c r="AF201" s="12" t="s">
        <v>215</v>
      </c>
      <c r="AG201" s="12" t="s">
        <v>1096</v>
      </c>
      <c r="AH201" s="12" t="n">
        <f aca="false">COUNT(G201,I201,K201)+COUNTA(Q201:V201)</f>
        <v>3</v>
      </c>
      <c r="AI201" s="12" t="str">
        <f aca="false">IF(AH201&gt;=3,"Sim","Não")</f>
        <v>Sim</v>
      </c>
      <c r="AJ201" s="12" t="str">
        <f aca="false">IF(AND(Z201&lt;&gt;"",Z201&lt;=Critérios!$B$9),"Sim","Não")</f>
        <v>Não</v>
      </c>
    </row>
    <row r="202" customFormat="false" ht="15" hidden="false" customHeight="false" outlineLevel="0" collapsed="false">
      <c r="A202" s="12" t="s">
        <v>1097</v>
      </c>
      <c r="B202" s="12" t="s">
        <v>1098</v>
      </c>
      <c r="C202" s="12" t="s">
        <v>1099</v>
      </c>
      <c r="D202" s="12" t="s">
        <v>175</v>
      </c>
      <c r="E202" s="12" t="s">
        <v>91</v>
      </c>
      <c r="F202" s="12" t="s">
        <v>92</v>
      </c>
      <c r="G202" s="13" t="n">
        <v>6461862</v>
      </c>
      <c r="H202" s="13" t="n">
        <v>133934494</v>
      </c>
      <c r="I202" s="13" t="n">
        <v>714875015</v>
      </c>
      <c r="J202" s="12" t="n">
        <v>5</v>
      </c>
      <c r="K202" s="13" t="n">
        <v>150894</v>
      </c>
      <c r="L202" s="12" t="n">
        <v>5.7</v>
      </c>
      <c r="M202" s="14" t="n">
        <f aca="false">IF(G202="","",PERCENTRANK($G$2:$G$354,G202))</f>
        <v>0.833</v>
      </c>
      <c r="N202" s="14" t="n">
        <f aca="false">IF(I202="","",PERCENTRANK($I$2:$I$354,I202))</f>
        <v>0.432</v>
      </c>
      <c r="O202" s="14" t="n">
        <f aca="false">IF(K202="","",PERCENTRANK($K$2:$K$354,K202))</f>
        <v>0.119</v>
      </c>
      <c r="P202" s="12" t="n">
        <f aca="false">COUNT(M202:O202)</f>
        <v>3</v>
      </c>
      <c r="W202" s="12" t="n">
        <f aca="false">COUNTA(Q202:V202)</f>
        <v>0</v>
      </c>
      <c r="X202" s="14" t="n">
        <f aca="false">IF(P202=0,"",MIN(1,AVERAGE(M202:O202)+Critérios!$B$5*W202))</f>
        <v>0.461333333333333</v>
      </c>
      <c r="Y202" s="12" t="str">
        <f aca="false">IF(X202="","",IF(X202&gt;=Critérios!$B$7,"A",IF(X202&gt;=Critérios!$B$8,"B","C")))</f>
        <v>B</v>
      </c>
      <c r="Z202" s="12" t="n">
        <f aca="false">IF(X202="","",RANK(X202,$X$2:$X$354))</f>
        <v>201</v>
      </c>
      <c r="AA202" s="12" t="str">
        <f aca="false">IF(X202="","Sairia — sem métrica",IF(PERCENTRANK($X$2:$X$354,X202)&lt;Critérios!$B$6,"Sairia — terço inferior","Fica"))</f>
        <v>Fica</v>
      </c>
      <c r="AB202" s="12" t="s">
        <v>94</v>
      </c>
      <c r="AD202" s="15" t="s">
        <v>95</v>
      </c>
      <c r="AE202" s="16"/>
      <c r="AF202" s="12" t="s">
        <v>382</v>
      </c>
      <c r="AG202" s="12" t="s">
        <v>1100</v>
      </c>
      <c r="AH202" s="12" t="n">
        <f aca="false">COUNT(G202,I202,K202)+COUNTA(Q202:V202)</f>
        <v>3</v>
      </c>
      <c r="AI202" s="12" t="str">
        <f aca="false">IF(AH202&gt;=3,"Sim","Não")</f>
        <v>Sim</v>
      </c>
      <c r="AJ202" s="12" t="str">
        <f aca="false">IF(AND(Z202&lt;&gt;"",Z202&lt;=Critérios!$B$9),"Sim","Não")</f>
        <v>Não</v>
      </c>
    </row>
    <row r="203" customFormat="false" ht="15" hidden="false" customHeight="false" outlineLevel="0" collapsed="false">
      <c r="A203" s="12" t="s">
        <v>1101</v>
      </c>
      <c r="B203" s="12" t="s">
        <v>1102</v>
      </c>
      <c r="C203" s="12"/>
      <c r="D203" s="12" t="s">
        <v>1103</v>
      </c>
      <c r="E203" s="12" t="s">
        <v>91</v>
      </c>
      <c r="F203" s="12" t="s">
        <v>92</v>
      </c>
      <c r="G203" s="13" t="n">
        <v>1232597</v>
      </c>
      <c r="H203" s="13" t="n">
        <v>23989683</v>
      </c>
      <c r="I203" s="17"/>
      <c r="K203" s="13" t="n">
        <v>788942</v>
      </c>
      <c r="L203" s="12" t="n">
        <v>8.2</v>
      </c>
      <c r="M203" s="14" t="n">
        <f aca="false">IF(G203="","",PERCENTRANK($G$2:$G$354,G203))</f>
        <v>0.0752</v>
      </c>
      <c r="N203" s="14" t="str">
        <f aca="false">IF(I203="","",PERCENTRANK($I$2:$I$354,I203))</f>
        <v/>
      </c>
      <c r="O203" s="14" t="n">
        <f aca="false">IF(K203="","",PERCENTRANK($K$2:$K$354,K203))</f>
        <v>0.787</v>
      </c>
      <c r="P203" s="12" t="n">
        <f aca="false">COUNT(M203:O203)</f>
        <v>2</v>
      </c>
      <c r="Q203" s="12" t="s">
        <v>1104</v>
      </c>
      <c r="W203" s="12" t="n">
        <f aca="false">COUNTA(Q203:V203)</f>
        <v>1</v>
      </c>
      <c r="X203" s="14" t="n">
        <f aca="false">IF(P203=0,"",MIN(1,AVERAGE(M203:O203)+Critérios!$B$5*W203))</f>
        <v>0.4611</v>
      </c>
      <c r="Y203" s="12" t="str">
        <f aca="false">IF(X203="","",IF(X203&gt;=Critérios!$B$7,"A",IF(X203&gt;=Critérios!$B$8,"B","C")))</f>
        <v>B</v>
      </c>
      <c r="Z203" s="12" t="n">
        <f aca="false">IF(X203="","",RANK(X203,$X$2:$X$354))</f>
        <v>202</v>
      </c>
      <c r="AA203" s="12" t="str">
        <f aca="false">IF(X203="","Sairia — sem métrica",IF(PERCENTRANK($X$2:$X$354,X203)&lt;Critérios!$B$6,"Sairia — terço inferior","Fica"))</f>
        <v>Fica</v>
      </c>
      <c r="AB203" s="12" t="s">
        <v>105</v>
      </c>
      <c r="AD203" s="15" t="s">
        <v>95</v>
      </c>
      <c r="AE203" s="16"/>
      <c r="AF203" s="12" t="s">
        <v>937</v>
      </c>
      <c r="AG203" s="12" t="s">
        <v>1105</v>
      </c>
      <c r="AH203" s="12" t="n">
        <f aca="false">COUNT(G203,I203,K203)+COUNTA(Q203:V203)</f>
        <v>3</v>
      </c>
      <c r="AI203" s="12" t="str">
        <f aca="false">IF(AH203&gt;=3,"Sim","Não")</f>
        <v>Sim</v>
      </c>
      <c r="AJ203" s="12" t="str">
        <f aca="false">IF(AND(Z203&lt;&gt;"",Z203&lt;=Critérios!$B$9),"Sim","Não")</f>
        <v>Não</v>
      </c>
    </row>
    <row r="204" customFormat="false" ht="15" hidden="false" customHeight="false" outlineLevel="0" collapsed="false">
      <c r="A204" s="12" t="s">
        <v>1106</v>
      </c>
      <c r="B204" s="12" t="s">
        <v>1107</v>
      </c>
      <c r="C204" s="12" t="s">
        <v>1108</v>
      </c>
      <c r="D204" s="12" t="s">
        <v>134</v>
      </c>
      <c r="E204" s="12" t="s">
        <v>91</v>
      </c>
      <c r="F204" s="12" t="s">
        <v>92</v>
      </c>
      <c r="G204" s="13" t="n">
        <v>2149681</v>
      </c>
      <c r="H204" s="13" t="n">
        <v>17483513</v>
      </c>
      <c r="I204" s="13" t="n">
        <v>836303693</v>
      </c>
      <c r="J204" s="12" t="n">
        <v>4</v>
      </c>
      <c r="K204" s="13" t="n">
        <v>459588</v>
      </c>
      <c r="L204" s="12" t="n">
        <v>6</v>
      </c>
      <c r="M204" s="14" t="n">
        <f aca="false">IF(G204="","",PERCENTRANK($G$2:$G$354,G204))</f>
        <v>0.265</v>
      </c>
      <c r="N204" s="14" t="n">
        <f aca="false">IF(I204="","",PERCENTRANK($I$2:$I$354,I204))</f>
        <v>0.585</v>
      </c>
      <c r="O204" s="14" t="n">
        <f aca="false">IF(K204="","",PERCENTRANK($K$2:$K$354,K204))</f>
        <v>0.528</v>
      </c>
      <c r="P204" s="12" t="n">
        <f aca="false">COUNT(M204:O204)</f>
        <v>3</v>
      </c>
      <c r="W204" s="12" t="n">
        <f aca="false">COUNTA(Q204:V204)</f>
        <v>0</v>
      </c>
      <c r="X204" s="14" t="n">
        <f aca="false">IF(P204=0,"",MIN(1,AVERAGE(M204:O204)+Critérios!$B$5*W204))</f>
        <v>0.459333333333333</v>
      </c>
      <c r="Y204" s="12" t="str">
        <f aca="false">IF(X204="","",IF(X204&gt;=Critérios!$B$7,"A",IF(X204&gt;=Critérios!$B$8,"B","C")))</f>
        <v>B</v>
      </c>
      <c r="Z204" s="12" t="n">
        <f aca="false">IF(X204="","",RANK(X204,$X$2:$X$354))</f>
        <v>203</v>
      </c>
      <c r="AA204" s="12" t="str">
        <f aca="false">IF(X204="","Sairia — sem métrica",IF(PERCENTRANK($X$2:$X$354,X204)&lt;Critérios!$B$6,"Sairia — terço inferior","Fica"))</f>
        <v>Fica</v>
      </c>
      <c r="AB204" s="12" t="s">
        <v>94</v>
      </c>
      <c r="AD204" s="15" t="s">
        <v>95</v>
      </c>
      <c r="AE204" s="16"/>
      <c r="AF204" s="12" t="s">
        <v>524</v>
      </c>
      <c r="AG204" s="12" t="s">
        <v>1109</v>
      </c>
      <c r="AH204" s="12" t="n">
        <f aca="false">COUNT(G204,I204,K204)+COUNTA(Q204:V204)</f>
        <v>3</v>
      </c>
      <c r="AI204" s="12" t="str">
        <f aca="false">IF(AH204&gt;=3,"Sim","Não")</f>
        <v>Sim</v>
      </c>
      <c r="AJ204" s="12" t="str">
        <f aca="false">IF(AND(Z204&lt;&gt;"",Z204&lt;=Critérios!$B$9),"Sim","Não")</f>
        <v>Não</v>
      </c>
    </row>
    <row r="205" customFormat="false" ht="15" hidden="false" customHeight="false" outlineLevel="0" collapsed="false">
      <c r="A205" s="12" t="s">
        <v>1110</v>
      </c>
      <c r="B205" s="12" t="s">
        <v>1111</v>
      </c>
      <c r="C205" s="12" t="s">
        <v>1112</v>
      </c>
      <c r="D205" s="12" t="s">
        <v>111</v>
      </c>
      <c r="E205" s="12" t="s">
        <v>91</v>
      </c>
      <c r="F205" s="12" t="s">
        <v>92</v>
      </c>
      <c r="G205" s="13" t="n">
        <v>3550891</v>
      </c>
      <c r="H205" s="13" t="n">
        <v>59301701</v>
      </c>
      <c r="I205" s="13" t="n">
        <v>654855901</v>
      </c>
      <c r="J205" s="12" t="n">
        <v>10</v>
      </c>
      <c r="K205" s="13" t="n">
        <v>335908</v>
      </c>
      <c r="L205" s="12" t="n">
        <v>6.5</v>
      </c>
      <c r="M205" s="14" t="n">
        <f aca="false">IF(G205="","",PERCENTRANK($G$2:$G$354,G205))</f>
        <v>0.526</v>
      </c>
      <c r="N205" s="14" t="n">
        <f aca="false">IF(I205="","",PERCENTRANK($I$2:$I$354,I205))</f>
        <v>0.36</v>
      </c>
      <c r="O205" s="14" t="n">
        <f aca="false">IF(K205="","",PERCENTRANK($K$2:$K$354,K205))</f>
        <v>0.398</v>
      </c>
      <c r="P205" s="12" t="n">
        <f aca="false">COUNT(M205:O205)</f>
        <v>3</v>
      </c>
      <c r="Q205" s="12" t="s">
        <v>1113</v>
      </c>
      <c r="W205" s="12" t="n">
        <f aca="false">COUNTA(Q205:V205)</f>
        <v>1</v>
      </c>
      <c r="X205" s="14" t="n">
        <f aca="false">IF(P205=0,"",MIN(1,AVERAGE(M205:O205)+Critérios!$B$5*W205))</f>
        <v>0.458</v>
      </c>
      <c r="Y205" s="12" t="str">
        <f aca="false">IF(X205="","",IF(X205&gt;=Critérios!$B$7,"A",IF(X205&gt;=Critérios!$B$8,"B","C")))</f>
        <v>B</v>
      </c>
      <c r="Z205" s="12" t="n">
        <f aca="false">IF(X205="","",RANK(X205,$X$2:$X$354))</f>
        <v>204</v>
      </c>
      <c r="AA205" s="12" t="str">
        <f aca="false">IF(X205="","Sairia — sem métrica",IF(PERCENTRANK($X$2:$X$354,X205)&lt;Critérios!$B$6,"Sairia — terço inferior","Fica"))</f>
        <v>Fica</v>
      </c>
      <c r="AB205" s="12" t="s">
        <v>105</v>
      </c>
      <c r="AD205" s="15" t="s">
        <v>95</v>
      </c>
      <c r="AE205" s="16"/>
      <c r="AF205" s="12" t="s">
        <v>197</v>
      </c>
      <c r="AG205" s="12" t="s">
        <v>1114</v>
      </c>
      <c r="AH205" s="12" t="n">
        <f aca="false">COUNT(G205,I205,K205)+COUNTA(Q205:V205)</f>
        <v>4</v>
      </c>
      <c r="AI205" s="12" t="str">
        <f aca="false">IF(AH205&gt;=3,"Sim","Não")</f>
        <v>Sim</v>
      </c>
      <c r="AJ205" s="12" t="str">
        <f aca="false">IF(AND(Z205&lt;&gt;"",Z205&lt;=Critérios!$B$9),"Sim","Não")</f>
        <v>Não</v>
      </c>
    </row>
    <row r="206" customFormat="false" ht="15" hidden="false" customHeight="false" outlineLevel="0" collapsed="false">
      <c r="A206" s="12" t="s">
        <v>1115</v>
      </c>
      <c r="B206" s="12" t="s">
        <v>1116</v>
      </c>
      <c r="C206" s="12" t="s">
        <v>1116</v>
      </c>
      <c r="D206" s="12" t="s">
        <v>146</v>
      </c>
      <c r="E206" s="12" t="s">
        <v>91</v>
      </c>
      <c r="F206" s="12" t="s">
        <v>92</v>
      </c>
      <c r="G206" s="13" t="n">
        <v>2733900</v>
      </c>
      <c r="H206" s="13" t="n">
        <v>22811000</v>
      </c>
      <c r="I206" s="13" t="n">
        <v>456068181</v>
      </c>
      <c r="J206" s="12" t="n">
        <v>10</v>
      </c>
      <c r="K206" s="13" t="n">
        <v>923183</v>
      </c>
      <c r="L206" s="12" t="n">
        <v>7.6</v>
      </c>
      <c r="M206" s="14" t="n">
        <f aca="false">IF(G206="","",PERCENTRANK($G$2:$G$354,G206))</f>
        <v>0.399</v>
      </c>
      <c r="N206" s="14" t="n">
        <f aca="false">IF(I206="","",PERCENTRANK($I$2:$I$354,I206))</f>
        <v>0.127</v>
      </c>
      <c r="O206" s="14" t="n">
        <f aca="false">IF(K206="","",PERCENTRANK($K$2:$K$354,K206))</f>
        <v>0.847</v>
      </c>
      <c r="P206" s="12" t="n">
        <f aca="false">COUNT(M206:O206)</f>
        <v>3</v>
      </c>
      <c r="W206" s="12" t="n">
        <f aca="false">COUNTA(Q206:V206)</f>
        <v>0</v>
      </c>
      <c r="X206" s="14" t="n">
        <f aca="false">IF(P206=0,"",MIN(1,AVERAGE(M206:O206)+Critérios!$B$5*W206))</f>
        <v>0.457666666666667</v>
      </c>
      <c r="Y206" s="12" t="str">
        <f aca="false">IF(X206="","",IF(X206&gt;=Critérios!$B$7,"A",IF(X206&gt;=Critérios!$B$8,"B","C")))</f>
        <v>B</v>
      </c>
      <c r="Z206" s="12" t="n">
        <f aca="false">IF(X206="","",RANK(X206,$X$2:$X$354))</f>
        <v>205</v>
      </c>
      <c r="AA206" s="12" t="str">
        <f aca="false">IF(X206="","Sairia — sem métrica",IF(PERCENTRANK($X$2:$X$354,X206)&lt;Critérios!$B$6,"Sairia — terço inferior","Fica"))</f>
        <v>Fica</v>
      </c>
      <c r="AB206" s="12" t="s">
        <v>105</v>
      </c>
      <c r="AD206" s="15" t="s">
        <v>95</v>
      </c>
      <c r="AE206" s="16"/>
      <c r="AF206" s="12" t="s">
        <v>434</v>
      </c>
      <c r="AG206" s="12" t="s">
        <v>1117</v>
      </c>
      <c r="AH206" s="12" t="n">
        <f aca="false">COUNT(G206,I206,K206)+COUNTA(Q206:V206)</f>
        <v>3</v>
      </c>
      <c r="AI206" s="12" t="str">
        <f aca="false">IF(AH206&gt;=3,"Sim","Não")</f>
        <v>Sim</v>
      </c>
      <c r="AJ206" s="12" t="str">
        <f aca="false">IF(AND(Z206&lt;&gt;"",Z206&lt;=Critérios!$B$9),"Sim","Não")</f>
        <v>Não</v>
      </c>
    </row>
    <row r="207" customFormat="false" ht="15" hidden="false" customHeight="false" outlineLevel="0" collapsed="false">
      <c r="A207" s="12" t="s">
        <v>1118</v>
      </c>
      <c r="B207" s="12" t="s">
        <v>1119</v>
      </c>
      <c r="C207" s="12" t="s">
        <v>1120</v>
      </c>
      <c r="D207" s="12" t="s">
        <v>146</v>
      </c>
      <c r="E207" s="12" t="s">
        <v>91</v>
      </c>
      <c r="F207" s="12" t="s">
        <v>92</v>
      </c>
      <c r="G207" s="13" t="n">
        <v>2205254</v>
      </c>
      <c r="H207" s="13" t="n">
        <v>18272984</v>
      </c>
      <c r="I207" s="13" t="n">
        <v>585410052</v>
      </c>
      <c r="J207" s="12" t="n">
        <v>7</v>
      </c>
      <c r="K207" s="13" t="n">
        <v>890423</v>
      </c>
      <c r="L207" s="12" t="n">
        <v>7.2</v>
      </c>
      <c r="M207" s="14" t="n">
        <f aca="false">IF(G207="","",PERCENTRANK($G$2:$G$354,G207))</f>
        <v>0.278</v>
      </c>
      <c r="N207" s="14" t="n">
        <f aca="false">IF(I207="","",PERCENTRANK($I$2:$I$354,I207))</f>
        <v>0.254</v>
      </c>
      <c r="O207" s="14" t="n">
        <f aca="false">IF(K207="","",PERCENTRANK($K$2:$K$354,K207))</f>
        <v>0.83</v>
      </c>
      <c r="P207" s="12" t="n">
        <f aca="false">COUNT(M207:O207)</f>
        <v>3</v>
      </c>
      <c r="W207" s="12" t="n">
        <f aca="false">COUNTA(Q207:V207)</f>
        <v>0</v>
      </c>
      <c r="X207" s="14" t="n">
        <f aca="false">IF(P207=0,"",MIN(1,AVERAGE(M207:O207)+Critérios!$B$5*W207))</f>
        <v>0.454</v>
      </c>
      <c r="Y207" s="12" t="str">
        <f aca="false">IF(X207="","",IF(X207&gt;=Critérios!$B$7,"A",IF(X207&gt;=Critérios!$B$8,"B","C")))</f>
        <v>B</v>
      </c>
      <c r="Z207" s="12" t="n">
        <f aca="false">IF(X207="","",RANK(X207,$X$2:$X$354))</f>
        <v>206</v>
      </c>
      <c r="AA207" s="12" t="str">
        <f aca="false">IF(X207="","Sairia — sem métrica",IF(PERCENTRANK($X$2:$X$354,X207)&lt;Critérios!$B$6,"Sairia — terço inferior","Fica"))</f>
        <v>Fica</v>
      </c>
      <c r="AB207" s="12" t="s">
        <v>105</v>
      </c>
      <c r="AD207" s="15" t="s">
        <v>95</v>
      </c>
      <c r="AE207" s="16"/>
      <c r="AF207" s="12" t="s">
        <v>1121</v>
      </c>
      <c r="AG207" s="12" t="s">
        <v>1122</v>
      </c>
      <c r="AH207" s="12" t="n">
        <f aca="false">COUNT(G207,I207,K207)+COUNTA(Q207:V207)</f>
        <v>3</v>
      </c>
      <c r="AI207" s="12" t="str">
        <f aca="false">IF(AH207&gt;=3,"Sim","Não")</f>
        <v>Sim</v>
      </c>
      <c r="AJ207" s="12" t="str">
        <f aca="false">IF(AND(Z207&lt;&gt;"",Z207&lt;=Critérios!$B$9),"Sim","Não")</f>
        <v>Não</v>
      </c>
    </row>
    <row r="208" customFormat="false" ht="15" hidden="false" customHeight="false" outlineLevel="0" collapsed="false">
      <c r="A208" s="12" t="s">
        <v>1123</v>
      </c>
      <c r="B208" s="12" t="s">
        <v>1124</v>
      </c>
      <c r="C208" s="12" t="s">
        <v>1124</v>
      </c>
      <c r="D208" s="12" t="s">
        <v>146</v>
      </c>
      <c r="E208" s="12" t="s">
        <v>91</v>
      </c>
      <c r="F208" s="12" t="s">
        <v>92</v>
      </c>
      <c r="G208" s="13" t="n">
        <v>1900128</v>
      </c>
      <c r="H208" s="13" t="n">
        <v>14663800</v>
      </c>
      <c r="I208" s="13" t="n">
        <v>709709780</v>
      </c>
      <c r="J208" s="12" t="n">
        <v>5</v>
      </c>
      <c r="K208" s="13" t="n">
        <v>728439</v>
      </c>
      <c r="L208" s="12" t="n">
        <v>7.1</v>
      </c>
      <c r="M208" s="14" t="n">
        <f aca="false">IF(G208="","",PERCENTRANK($G$2:$G$354,G208))</f>
        <v>0.199</v>
      </c>
      <c r="N208" s="14" t="n">
        <f aca="false">IF(I208="","",PERCENTRANK($I$2:$I$354,I208))</f>
        <v>0.411</v>
      </c>
      <c r="O208" s="14" t="n">
        <f aca="false">IF(K208="","",PERCENTRANK($K$2:$K$354,K208))</f>
        <v>0.747</v>
      </c>
      <c r="P208" s="12" t="n">
        <f aca="false">COUNT(M208:O208)</f>
        <v>3</v>
      </c>
      <c r="W208" s="12" t="n">
        <f aca="false">COUNTA(Q208:V208)</f>
        <v>0</v>
      </c>
      <c r="X208" s="14" t="n">
        <f aca="false">IF(P208=0,"",MIN(1,AVERAGE(M208:O208)+Critérios!$B$5*W208))</f>
        <v>0.452333333333333</v>
      </c>
      <c r="Y208" s="12" t="str">
        <f aca="false">IF(X208="","",IF(X208&gt;=Critérios!$B$7,"A",IF(X208&gt;=Critérios!$B$8,"B","C")))</f>
        <v>B</v>
      </c>
      <c r="Z208" s="12" t="n">
        <f aca="false">IF(X208="","",RANK(X208,$X$2:$X$354))</f>
        <v>207</v>
      </c>
      <c r="AA208" s="12" t="str">
        <f aca="false">IF(X208="","Sairia — sem métrica",IF(PERCENTRANK($X$2:$X$354,X208)&lt;Critérios!$B$6,"Sairia — terço inferior","Fica"))</f>
        <v>Fica</v>
      </c>
      <c r="AB208" s="12" t="s">
        <v>94</v>
      </c>
      <c r="AD208" s="15" t="s">
        <v>95</v>
      </c>
      <c r="AE208" s="16"/>
      <c r="AF208" s="12" t="s">
        <v>434</v>
      </c>
      <c r="AG208" s="12" t="s">
        <v>1125</v>
      </c>
      <c r="AH208" s="12" t="n">
        <f aca="false">COUNT(G208,I208,K208)+COUNTA(Q208:V208)</f>
        <v>3</v>
      </c>
      <c r="AI208" s="12" t="str">
        <f aca="false">IF(AH208&gt;=3,"Sim","Não")</f>
        <v>Sim</v>
      </c>
      <c r="AJ208" s="12" t="str">
        <f aca="false">IF(AND(Z208&lt;&gt;"",Z208&lt;=Critérios!$B$9),"Sim","Não")</f>
        <v>Não</v>
      </c>
    </row>
    <row r="209" customFormat="false" ht="15" hidden="false" customHeight="false" outlineLevel="0" collapsed="false">
      <c r="A209" s="12" t="s">
        <v>1126</v>
      </c>
      <c r="B209" s="12" t="s">
        <v>1127</v>
      </c>
      <c r="C209" s="12" t="s">
        <v>1128</v>
      </c>
      <c r="D209" s="12" t="s">
        <v>214</v>
      </c>
      <c r="E209" s="12" t="s">
        <v>91</v>
      </c>
      <c r="F209" s="12" t="s">
        <v>92</v>
      </c>
      <c r="G209" s="13" t="n">
        <v>2841000</v>
      </c>
      <c r="H209" s="13" t="n">
        <v>27151036</v>
      </c>
      <c r="I209" s="13" t="n">
        <v>586764305</v>
      </c>
      <c r="J209" s="12" t="n">
        <v>8</v>
      </c>
      <c r="K209" s="13" t="n">
        <v>587671</v>
      </c>
      <c r="L209" s="12" t="n">
        <v>6.5</v>
      </c>
      <c r="M209" s="14" t="n">
        <f aca="false">IF(G209="","",PERCENTRANK($G$2:$G$354,G209))</f>
        <v>0.418</v>
      </c>
      <c r="N209" s="14" t="n">
        <f aca="false">IF(I209="","",PERCENTRANK($I$2:$I$354,I209))</f>
        <v>0.263</v>
      </c>
      <c r="O209" s="14" t="n">
        <f aca="false">IF(K209="","",PERCENTRANK($K$2:$K$354,K209))</f>
        <v>0.665</v>
      </c>
      <c r="P209" s="12" t="n">
        <f aca="false">COUNT(M209:O209)</f>
        <v>3</v>
      </c>
      <c r="W209" s="12" t="n">
        <f aca="false">COUNTA(Q209:V209)</f>
        <v>0</v>
      </c>
      <c r="X209" s="14" t="n">
        <f aca="false">IF(P209=0,"",MIN(1,AVERAGE(M209:O209)+Critérios!$B$5*W209))</f>
        <v>0.448666666666667</v>
      </c>
      <c r="Y209" s="12" t="str">
        <f aca="false">IF(X209="","",IF(X209&gt;=Critérios!$B$7,"A",IF(X209&gt;=Critérios!$B$8,"B","C")))</f>
        <v>B</v>
      </c>
      <c r="Z209" s="12" t="n">
        <f aca="false">IF(X209="","",RANK(X209,$X$2:$X$354))</f>
        <v>208</v>
      </c>
      <c r="AA209" s="12" t="str">
        <f aca="false">IF(X209="","Sairia — sem métrica",IF(PERCENTRANK($X$2:$X$354,X209)&lt;Critérios!$B$6,"Sairia — terço inferior","Fica"))</f>
        <v>Fica</v>
      </c>
      <c r="AB209" s="12" t="s">
        <v>94</v>
      </c>
      <c r="AD209" s="15" t="s">
        <v>95</v>
      </c>
      <c r="AE209" s="16"/>
      <c r="AF209" s="12" t="s">
        <v>215</v>
      </c>
      <c r="AG209" s="12" t="s">
        <v>1129</v>
      </c>
      <c r="AH209" s="12" t="n">
        <f aca="false">COUNT(G209,I209,K209)+COUNTA(Q209:V209)</f>
        <v>3</v>
      </c>
      <c r="AI209" s="12" t="str">
        <f aca="false">IF(AH209&gt;=3,"Sim","Não")</f>
        <v>Sim</v>
      </c>
      <c r="AJ209" s="12" t="str">
        <f aca="false">IF(AND(Z209&lt;&gt;"",Z209&lt;=Critérios!$B$9),"Sim","Não")</f>
        <v>Não</v>
      </c>
    </row>
    <row r="210" customFormat="false" ht="15" hidden="false" customHeight="false" outlineLevel="0" collapsed="false">
      <c r="A210" s="12" t="s">
        <v>1130</v>
      </c>
      <c r="B210" s="12" t="s">
        <v>1131</v>
      </c>
      <c r="C210" s="12" t="s">
        <v>1132</v>
      </c>
      <c r="D210" s="12" t="s">
        <v>214</v>
      </c>
      <c r="E210" s="12" t="s">
        <v>91</v>
      </c>
      <c r="F210" s="12" t="s">
        <v>92</v>
      </c>
      <c r="G210" s="13" t="n">
        <v>3612670</v>
      </c>
      <c r="H210" s="13" t="n">
        <v>33424369</v>
      </c>
      <c r="I210" s="13" t="n">
        <v>626137675</v>
      </c>
      <c r="J210" s="12" t="n">
        <v>7</v>
      </c>
      <c r="K210" s="13" t="n">
        <v>439515</v>
      </c>
      <c r="L210" s="12" t="n">
        <v>7.3</v>
      </c>
      <c r="M210" s="14" t="n">
        <f aca="false">IF(G210="","",PERCENTRANK($G$2:$G$354,G210))</f>
        <v>0.536</v>
      </c>
      <c r="N210" s="14" t="n">
        <f aca="false">IF(I210="","",PERCENTRANK($I$2:$I$354,I210))</f>
        <v>0.305</v>
      </c>
      <c r="O210" s="14" t="n">
        <f aca="false">IF(K210="","",PERCENTRANK($K$2:$K$354,K210))</f>
        <v>0.503</v>
      </c>
      <c r="P210" s="12" t="n">
        <f aca="false">COUNT(M210:O210)</f>
        <v>3</v>
      </c>
      <c r="W210" s="12" t="n">
        <f aca="false">COUNTA(Q210:V210)</f>
        <v>0</v>
      </c>
      <c r="X210" s="14" t="n">
        <f aca="false">IF(P210=0,"",MIN(1,AVERAGE(M210:O210)+Critérios!$B$5*W210))</f>
        <v>0.448</v>
      </c>
      <c r="Y210" s="12" t="str">
        <f aca="false">IF(X210="","",IF(X210&gt;=Critérios!$B$7,"A",IF(X210&gt;=Critérios!$B$8,"B","C")))</f>
        <v>B</v>
      </c>
      <c r="Z210" s="12" t="n">
        <f aca="false">IF(X210="","",RANK(X210,$X$2:$X$354))</f>
        <v>209</v>
      </c>
      <c r="AA210" s="12" t="str">
        <f aca="false">IF(X210="","Sairia — sem métrica",IF(PERCENTRANK($X$2:$X$354,X210)&lt;Critérios!$B$6,"Sairia — terço inferior","Fica"))</f>
        <v>Fica</v>
      </c>
      <c r="AB210" s="12" t="s">
        <v>94</v>
      </c>
      <c r="AD210" s="15" t="s">
        <v>95</v>
      </c>
      <c r="AE210" s="16"/>
      <c r="AF210" s="12" t="s">
        <v>215</v>
      </c>
      <c r="AG210" s="12" t="s">
        <v>1133</v>
      </c>
      <c r="AH210" s="12" t="n">
        <f aca="false">COUNT(G210,I210,K210)+COUNTA(Q210:V210)</f>
        <v>3</v>
      </c>
      <c r="AI210" s="12" t="str">
        <f aca="false">IF(AH210&gt;=3,"Sim","Não")</f>
        <v>Sim</v>
      </c>
      <c r="AJ210" s="12" t="str">
        <f aca="false">IF(AND(Z210&lt;&gt;"",Z210&lt;=Critérios!$B$9),"Sim","Não")</f>
        <v>Não</v>
      </c>
    </row>
    <row r="211" customFormat="false" ht="15" hidden="false" customHeight="false" outlineLevel="0" collapsed="false">
      <c r="A211" s="12" t="s">
        <v>1134</v>
      </c>
      <c r="B211" s="12" t="s">
        <v>1135</v>
      </c>
      <c r="C211" s="12" t="s">
        <v>1136</v>
      </c>
      <c r="D211" s="12" t="s">
        <v>505</v>
      </c>
      <c r="E211" s="12" t="s">
        <v>91</v>
      </c>
      <c r="F211" s="12" t="s">
        <v>92</v>
      </c>
      <c r="G211" s="13" t="n">
        <v>5909982</v>
      </c>
      <c r="H211" s="13" t="n">
        <v>121697224</v>
      </c>
      <c r="I211" s="13" t="n">
        <v>639866451</v>
      </c>
      <c r="J211" s="12" t="n">
        <v>8</v>
      </c>
      <c r="K211" s="13" t="n">
        <v>142722</v>
      </c>
      <c r="L211" s="12" t="n">
        <v>7.7</v>
      </c>
      <c r="M211" s="14" t="n">
        <f aca="false">IF(G211="","",PERCENTRANK($G$2:$G$354,G211))</f>
        <v>0.804</v>
      </c>
      <c r="N211" s="14" t="n">
        <f aca="false">IF(I211="","",PERCENTRANK($I$2:$I$354,I211))</f>
        <v>0.335</v>
      </c>
      <c r="O211" s="14" t="n">
        <f aca="false">IF(K211="","",PERCENTRANK($K$2:$K$354,K211))</f>
        <v>0.108</v>
      </c>
      <c r="P211" s="12" t="n">
        <f aca="false">COUNT(M211:O211)</f>
        <v>3</v>
      </c>
      <c r="Q211" s="12" t="s">
        <v>1137</v>
      </c>
      <c r="W211" s="12" t="n">
        <f aca="false">COUNTA(Q211:V211)</f>
        <v>1</v>
      </c>
      <c r="X211" s="14" t="n">
        <f aca="false">IF(P211=0,"",MIN(1,AVERAGE(M211:O211)+Critérios!$B$5*W211))</f>
        <v>0.445666666666667</v>
      </c>
      <c r="Y211" s="12" t="str">
        <f aca="false">IF(X211="","",IF(X211&gt;=Critérios!$B$7,"A",IF(X211&gt;=Critérios!$B$8,"B","C")))</f>
        <v>B</v>
      </c>
      <c r="Z211" s="12" t="n">
        <f aca="false">IF(X211="","",RANK(X211,$X$2:$X$354))</f>
        <v>210</v>
      </c>
      <c r="AA211" s="12" t="str">
        <f aca="false">IF(X211="","Sairia — sem métrica",IF(PERCENTRANK($X$2:$X$354,X211)&lt;Critérios!$B$6,"Sairia — terço inferior","Fica"))</f>
        <v>Fica</v>
      </c>
      <c r="AB211" s="12" t="s">
        <v>105</v>
      </c>
      <c r="AD211" s="15" t="s">
        <v>95</v>
      </c>
      <c r="AE211" s="16"/>
      <c r="AF211" s="12" t="s">
        <v>507</v>
      </c>
      <c r="AG211" s="12" t="s">
        <v>1138</v>
      </c>
      <c r="AH211" s="12" t="n">
        <f aca="false">COUNT(G211,I211,K211)+COUNTA(Q211:V211)</f>
        <v>4</v>
      </c>
      <c r="AI211" s="12" t="str">
        <f aca="false">IF(AH211&gt;=3,"Sim","Não")</f>
        <v>Sim</v>
      </c>
      <c r="AJ211" s="12" t="str">
        <f aca="false">IF(AND(Z211&lt;&gt;"",Z211&lt;=Critérios!$B$9),"Sim","Não")</f>
        <v>Não</v>
      </c>
    </row>
    <row r="212" customFormat="false" ht="15" hidden="false" customHeight="false" outlineLevel="0" collapsed="false">
      <c r="A212" s="12" t="s">
        <v>1139</v>
      </c>
      <c r="B212" s="12" t="s">
        <v>1140</v>
      </c>
      <c r="C212" s="12" t="s">
        <v>1141</v>
      </c>
      <c r="D212" s="12" t="s">
        <v>127</v>
      </c>
      <c r="E212" s="12" t="s">
        <v>91</v>
      </c>
      <c r="F212" s="12" t="s">
        <v>92</v>
      </c>
      <c r="G212" s="13" t="n">
        <v>2667191</v>
      </c>
      <c r="H212" s="13" t="n">
        <v>19069746</v>
      </c>
      <c r="I212" s="13" t="n">
        <v>603873119</v>
      </c>
      <c r="J212" s="12" t="n">
        <v>4</v>
      </c>
      <c r="K212" s="13" t="n">
        <v>515473</v>
      </c>
      <c r="L212" s="12" t="n">
        <v>6.6</v>
      </c>
      <c r="M212" s="14" t="n">
        <f aca="false">IF(G212="","",PERCENTRANK($G$2:$G$354,G212))</f>
        <v>0.369</v>
      </c>
      <c r="N212" s="14" t="n">
        <f aca="false">IF(I212="","",PERCENTRANK($I$2:$I$354,I212))</f>
        <v>0.275</v>
      </c>
      <c r="O212" s="14" t="n">
        <f aca="false">IF(K212="","",PERCENTRANK($K$2:$K$354,K212))</f>
        <v>0.599</v>
      </c>
      <c r="P212" s="12" t="n">
        <f aca="false">COUNT(M212:O212)</f>
        <v>3</v>
      </c>
      <c r="R212" s="12" t="s">
        <v>1142</v>
      </c>
      <c r="W212" s="12" t="n">
        <f aca="false">COUNTA(Q212:V212)</f>
        <v>1</v>
      </c>
      <c r="X212" s="14" t="n">
        <f aca="false">IF(P212=0,"",MIN(1,AVERAGE(M212:O212)+Critérios!$B$5*W212))</f>
        <v>0.444333333333333</v>
      </c>
      <c r="Y212" s="12" t="str">
        <f aca="false">IF(X212="","",IF(X212&gt;=Critérios!$B$7,"A",IF(X212&gt;=Critérios!$B$8,"B","C")))</f>
        <v>B</v>
      </c>
      <c r="Z212" s="12" t="n">
        <f aca="false">IF(X212="","",RANK(X212,$X$2:$X$354))</f>
        <v>211</v>
      </c>
      <c r="AA212" s="12" t="str">
        <f aca="false">IF(X212="","Sairia — sem métrica",IF(PERCENTRANK($X$2:$X$354,X212)&lt;Critérios!$B$6,"Sairia — terço inferior","Fica"))</f>
        <v>Fica</v>
      </c>
      <c r="AB212" s="12" t="s">
        <v>105</v>
      </c>
      <c r="AD212" s="15" t="s">
        <v>95</v>
      </c>
      <c r="AE212" s="16"/>
      <c r="AF212" s="12" t="s">
        <v>495</v>
      </c>
      <c r="AG212" s="12" t="s">
        <v>1143</v>
      </c>
      <c r="AH212" s="12" t="n">
        <f aca="false">COUNT(G212,I212,K212)+COUNTA(Q212:V212)</f>
        <v>4</v>
      </c>
      <c r="AI212" s="12" t="str">
        <f aca="false">IF(AH212&gt;=3,"Sim","Não")</f>
        <v>Sim</v>
      </c>
      <c r="AJ212" s="12" t="str">
        <f aca="false">IF(AND(Z212&lt;&gt;"",Z212&lt;=Critérios!$B$9),"Sim","Não")</f>
        <v>Não</v>
      </c>
    </row>
    <row r="213" customFormat="false" ht="15" hidden="false" customHeight="false" outlineLevel="0" collapsed="false">
      <c r="A213" s="12" t="s">
        <v>1144</v>
      </c>
      <c r="B213" s="12" t="s">
        <v>1145</v>
      </c>
      <c r="C213" s="12" t="s">
        <v>1146</v>
      </c>
      <c r="D213" s="12" t="s">
        <v>152</v>
      </c>
      <c r="E213" s="12" t="s">
        <v>91</v>
      </c>
      <c r="F213" s="12" t="s">
        <v>92</v>
      </c>
      <c r="G213" s="13" t="n">
        <v>3264034</v>
      </c>
      <c r="H213" s="13" t="n">
        <v>22095782</v>
      </c>
      <c r="I213" s="13" t="n">
        <v>552639571</v>
      </c>
      <c r="J213" s="12" t="n">
        <v>6</v>
      </c>
      <c r="K213" s="13" t="n">
        <v>518681</v>
      </c>
      <c r="L213" s="12" t="n">
        <v>6.5</v>
      </c>
      <c r="M213" s="14" t="n">
        <f aca="false">IF(G213="","",PERCENTRANK($G$2:$G$354,G213))</f>
        <v>0.493</v>
      </c>
      <c r="N213" s="14" t="n">
        <f aca="false">IF(I213="","",PERCENTRANK($I$2:$I$354,I213))</f>
        <v>0.229</v>
      </c>
      <c r="O213" s="14" t="n">
        <f aca="false">IF(K213="","",PERCENTRANK($K$2:$K$354,K213))</f>
        <v>0.608</v>
      </c>
      <c r="P213" s="12" t="n">
        <f aca="false">COUNT(M213:O213)</f>
        <v>3</v>
      </c>
      <c r="W213" s="12" t="n">
        <f aca="false">COUNTA(Q213:V213)</f>
        <v>0</v>
      </c>
      <c r="X213" s="14" t="n">
        <f aca="false">IF(P213=0,"",MIN(1,AVERAGE(M213:O213)+Critérios!$B$5*W213))</f>
        <v>0.443333333333333</v>
      </c>
      <c r="Y213" s="12" t="str">
        <f aca="false">IF(X213="","",IF(X213&gt;=Critérios!$B$7,"A",IF(X213&gt;=Critérios!$B$8,"B","C")))</f>
        <v>B</v>
      </c>
      <c r="Z213" s="12" t="n">
        <f aca="false">IF(X213="","",RANK(X213,$X$2:$X$354))</f>
        <v>212</v>
      </c>
      <c r="AA213" s="12" t="str">
        <f aca="false">IF(X213="","Sairia — sem métrica",IF(PERCENTRANK($X$2:$X$354,X213)&lt;Critérios!$B$6,"Sairia — terço inferior","Fica"))</f>
        <v>Fica</v>
      </c>
      <c r="AB213" s="12" t="s">
        <v>105</v>
      </c>
      <c r="AD213" s="15" t="s">
        <v>95</v>
      </c>
      <c r="AE213" s="16"/>
      <c r="AF213" s="12" t="s">
        <v>429</v>
      </c>
      <c r="AG213" s="12" t="s">
        <v>1147</v>
      </c>
      <c r="AH213" s="12" t="n">
        <f aca="false">COUNT(G213,I213,K213)+COUNTA(Q213:V213)</f>
        <v>3</v>
      </c>
      <c r="AI213" s="12" t="str">
        <f aca="false">IF(AH213&gt;=3,"Sim","Não")</f>
        <v>Sim</v>
      </c>
      <c r="AJ213" s="12" t="str">
        <f aca="false">IF(AND(Z213&lt;&gt;"",Z213&lt;=Critérios!$B$9),"Sim","Não")</f>
        <v>Não</v>
      </c>
    </row>
    <row r="214" customFormat="false" ht="15" hidden="false" customHeight="false" outlineLevel="0" collapsed="false">
      <c r="A214" s="12" t="s">
        <v>1148</v>
      </c>
      <c r="B214" s="12" t="s">
        <v>1149</v>
      </c>
      <c r="C214" s="12" t="s">
        <v>1149</v>
      </c>
      <c r="D214" s="12" t="s">
        <v>127</v>
      </c>
      <c r="E214" s="12" t="s">
        <v>91</v>
      </c>
      <c r="F214" s="12" t="s">
        <v>92</v>
      </c>
      <c r="G214" s="13" t="n">
        <v>2360521</v>
      </c>
      <c r="H214" s="13" t="n">
        <v>17350403</v>
      </c>
      <c r="I214" s="13" t="n">
        <v>373443774</v>
      </c>
      <c r="J214" s="12" t="n">
        <v>9</v>
      </c>
      <c r="K214" s="13" t="n">
        <v>1749074</v>
      </c>
      <c r="L214" s="12" t="n">
        <v>8.2</v>
      </c>
      <c r="M214" s="14" t="n">
        <f aca="false">IF(G214="","",PERCENTRANK($G$2:$G$354,G214))</f>
        <v>0.294</v>
      </c>
      <c r="N214" s="14" t="n">
        <f aca="false">IF(I214="","",PERCENTRANK($I$2:$I$354,I214))</f>
        <v>0.0424</v>
      </c>
      <c r="O214" s="14" t="n">
        <f aca="false">IF(K214="","",PERCENTRANK($K$2:$K$354,K214))</f>
        <v>0.98</v>
      </c>
      <c r="P214" s="12" t="n">
        <f aca="false">COUNT(M214:O214)</f>
        <v>3</v>
      </c>
      <c r="W214" s="12" t="n">
        <f aca="false">COUNTA(Q214:V214)</f>
        <v>0</v>
      </c>
      <c r="X214" s="14" t="n">
        <f aca="false">IF(P214=0,"",MIN(1,AVERAGE(M214:O214)+Critérios!$B$5*W214))</f>
        <v>0.4388</v>
      </c>
      <c r="Y214" s="12" t="str">
        <f aca="false">IF(X214="","",IF(X214&gt;=Critérios!$B$7,"A",IF(X214&gt;=Critérios!$B$8,"B","C")))</f>
        <v>B</v>
      </c>
      <c r="Z214" s="12" t="n">
        <f aca="false">IF(X214="","",RANK(X214,$X$2:$X$354))</f>
        <v>213</v>
      </c>
      <c r="AA214" s="12" t="str">
        <f aca="false">IF(X214="","Sairia — sem métrica",IF(PERCENTRANK($X$2:$X$354,X214)&lt;Critérios!$B$6,"Sairia — terço inferior","Fica"))</f>
        <v>Fica</v>
      </c>
      <c r="AB214" s="12" t="s">
        <v>105</v>
      </c>
      <c r="AD214" s="15" t="s">
        <v>95</v>
      </c>
      <c r="AE214" s="16"/>
      <c r="AF214" s="12" t="s">
        <v>495</v>
      </c>
      <c r="AG214" s="12" t="s">
        <v>1150</v>
      </c>
      <c r="AH214" s="12" t="n">
        <f aca="false">COUNT(G214,I214,K214)+COUNTA(Q214:V214)</f>
        <v>3</v>
      </c>
      <c r="AI214" s="12" t="str">
        <f aca="false">IF(AH214&gt;=3,"Sim","Não")</f>
        <v>Sim</v>
      </c>
      <c r="AJ214" s="12" t="str">
        <f aca="false">IF(AND(Z214&lt;&gt;"",Z214&lt;=Critérios!$B$9),"Sim","Não")</f>
        <v>Não</v>
      </c>
    </row>
    <row r="215" customFormat="false" ht="15" hidden="false" customHeight="false" outlineLevel="0" collapsed="false">
      <c r="A215" s="12" t="s">
        <v>1151</v>
      </c>
      <c r="B215" s="12" t="s">
        <v>1152</v>
      </c>
      <c r="C215" s="12" t="s">
        <v>1153</v>
      </c>
      <c r="D215" s="12" t="s">
        <v>321</v>
      </c>
      <c r="E215" s="12" t="s">
        <v>91</v>
      </c>
      <c r="F215" s="12" t="s">
        <v>92</v>
      </c>
      <c r="G215" s="13" t="n">
        <v>5159238</v>
      </c>
      <c r="H215" s="13" t="n">
        <v>38064213</v>
      </c>
      <c r="I215" s="13" t="n">
        <v>603900354</v>
      </c>
      <c r="J215" s="12" t="n">
        <v>6</v>
      </c>
      <c r="K215" s="13" t="n">
        <v>276155</v>
      </c>
      <c r="L215" s="12" t="n">
        <v>6.7</v>
      </c>
      <c r="M215" s="14" t="n">
        <f aca="false">IF(G215="","",PERCENTRANK($G$2:$G$354,G215))</f>
        <v>0.748</v>
      </c>
      <c r="N215" s="14" t="n">
        <f aca="false">IF(I215="","",PERCENTRANK($I$2:$I$354,I215))</f>
        <v>0.28</v>
      </c>
      <c r="O215" s="14" t="n">
        <f aca="false">IF(K215="","",PERCENTRANK($K$2:$K$354,K215))</f>
        <v>0.287</v>
      </c>
      <c r="P215" s="12" t="n">
        <f aca="false">COUNT(M215:O215)</f>
        <v>3</v>
      </c>
      <c r="W215" s="12" t="n">
        <f aca="false">COUNTA(Q215:V215)</f>
        <v>0</v>
      </c>
      <c r="X215" s="14" t="n">
        <f aca="false">IF(P215=0,"",MIN(1,AVERAGE(M215:O215)+Critérios!$B$5*W215))</f>
        <v>0.438333333333333</v>
      </c>
      <c r="Y215" s="12" t="str">
        <f aca="false">IF(X215="","",IF(X215&gt;=Critérios!$B$7,"A",IF(X215&gt;=Critérios!$B$8,"B","C")))</f>
        <v>B</v>
      </c>
      <c r="Z215" s="12" t="n">
        <f aca="false">IF(X215="","",RANK(X215,$X$2:$X$354))</f>
        <v>214</v>
      </c>
      <c r="AA215" s="12" t="str">
        <f aca="false">IF(X215="","Sairia — sem métrica",IF(PERCENTRANK($X$2:$X$354,X215)&lt;Critérios!$B$6,"Sairia — terço inferior","Fica"))</f>
        <v>Fica</v>
      </c>
      <c r="AB215" s="12" t="s">
        <v>94</v>
      </c>
      <c r="AD215" s="15" t="s">
        <v>95</v>
      </c>
      <c r="AE215" s="16"/>
      <c r="AF215" s="12" t="s">
        <v>323</v>
      </c>
      <c r="AG215" s="12" t="s">
        <v>1154</v>
      </c>
      <c r="AH215" s="12" t="n">
        <f aca="false">COUNT(G215,I215,K215)+COUNTA(Q215:V215)</f>
        <v>3</v>
      </c>
      <c r="AI215" s="12" t="str">
        <f aca="false">IF(AH215&gt;=3,"Sim","Não")</f>
        <v>Sim</v>
      </c>
      <c r="AJ215" s="12" t="str">
        <f aca="false">IF(AND(Z215&lt;&gt;"",Z215&lt;=Critérios!$B$9),"Sim","Não")</f>
        <v>Não</v>
      </c>
    </row>
    <row r="216" customFormat="false" ht="15" hidden="false" customHeight="false" outlineLevel="0" collapsed="false">
      <c r="A216" s="12" t="s">
        <v>1155</v>
      </c>
      <c r="B216" s="12" t="s">
        <v>1156</v>
      </c>
      <c r="C216" s="12" t="s">
        <v>1156</v>
      </c>
      <c r="D216" s="12" t="s">
        <v>321</v>
      </c>
      <c r="E216" s="12" t="s">
        <v>91</v>
      </c>
      <c r="F216" s="12" t="s">
        <v>92</v>
      </c>
      <c r="G216" s="13" t="n">
        <v>2704042</v>
      </c>
      <c r="H216" s="13" t="n">
        <v>21635690</v>
      </c>
      <c r="I216" s="13" t="n">
        <v>629443428</v>
      </c>
      <c r="J216" s="12" t="n">
        <v>4</v>
      </c>
      <c r="K216" s="13" t="n">
        <v>544773</v>
      </c>
      <c r="L216" s="12" t="n">
        <v>6.4</v>
      </c>
      <c r="M216" s="14" t="n">
        <f aca="false">IF(G216="","",PERCENTRANK($G$2:$G$354,G216))</f>
        <v>0.382</v>
      </c>
      <c r="N216" s="14" t="n">
        <f aca="false">IF(I216="","",PERCENTRANK($I$2:$I$354,I216))</f>
        <v>0.309</v>
      </c>
      <c r="O216" s="14" t="n">
        <f aca="false">IF(K216="","",PERCENTRANK($K$2:$K$354,K216))</f>
        <v>0.619</v>
      </c>
      <c r="P216" s="12" t="n">
        <f aca="false">COUNT(M216:O216)</f>
        <v>3</v>
      </c>
      <c r="W216" s="12" t="n">
        <f aca="false">COUNTA(Q216:V216)</f>
        <v>0</v>
      </c>
      <c r="X216" s="14" t="n">
        <f aca="false">IF(P216=0,"",MIN(1,AVERAGE(M216:O216)+Critérios!$B$5*W216))</f>
        <v>0.436666666666667</v>
      </c>
      <c r="Y216" s="12" t="str">
        <f aca="false">IF(X216="","",IF(X216&gt;=Critérios!$B$7,"A",IF(X216&gt;=Critérios!$B$8,"B","C")))</f>
        <v>B</v>
      </c>
      <c r="Z216" s="12" t="n">
        <f aca="false">IF(X216="","",RANK(X216,$X$2:$X$354))</f>
        <v>215</v>
      </c>
      <c r="AA216" s="12" t="str">
        <f aca="false">IF(X216="","Sairia — sem métrica",IF(PERCENTRANK($X$2:$X$354,X216)&lt;Critérios!$B$6,"Sairia — terço inferior","Fica"))</f>
        <v>Fica</v>
      </c>
      <c r="AB216" s="12" t="s">
        <v>105</v>
      </c>
      <c r="AD216" s="15" t="s">
        <v>95</v>
      </c>
      <c r="AE216" s="16"/>
      <c r="AF216" s="12" t="s">
        <v>323</v>
      </c>
      <c r="AG216" s="12" t="s">
        <v>1157</v>
      </c>
      <c r="AH216" s="12" t="n">
        <f aca="false">COUNT(G216,I216,K216)+COUNTA(Q216:V216)</f>
        <v>3</v>
      </c>
      <c r="AI216" s="12" t="str">
        <f aca="false">IF(AH216&gt;=3,"Sim","Não")</f>
        <v>Sim</v>
      </c>
      <c r="AJ216" s="12" t="str">
        <f aca="false">IF(AND(Z216&lt;&gt;"",Z216&lt;=Critérios!$B$9),"Sim","Não")</f>
        <v>Não</v>
      </c>
    </row>
    <row r="217" customFormat="false" ht="15" hidden="false" customHeight="false" outlineLevel="0" collapsed="false">
      <c r="A217" s="12" t="s">
        <v>1158</v>
      </c>
      <c r="B217" s="12" t="s">
        <v>1159</v>
      </c>
      <c r="C217" s="12" t="s">
        <v>1160</v>
      </c>
      <c r="D217" s="12" t="s">
        <v>183</v>
      </c>
      <c r="E217" s="12" t="s">
        <v>91</v>
      </c>
      <c r="F217" s="12" t="s">
        <v>92</v>
      </c>
      <c r="G217" s="13" t="n">
        <v>2711422</v>
      </c>
      <c r="H217" s="13" t="n">
        <v>37270687</v>
      </c>
      <c r="I217" s="13" t="n">
        <v>682714267</v>
      </c>
      <c r="J217" s="12" t="n">
        <v>8</v>
      </c>
      <c r="K217" s="13" t="n">
        <v>450897</v>
      </c>
      <c r="L217" s="12" t="n">
        <v>7.4</v>
      </c>
      <c r="M217" s="14" t="n">
        <f aca="false">IF(G217="","",PERCENTRANK($G$2:$G$354,G217))</f>
        <v>0.389</v>
      </c>
      <c r="N217" s="14" t="n">
        <f aca="false">IF(I217="","",PERCENTRANK($I$2:$I$354,I217))</f>
        <v>0.381</v>
      </c>
      <c r="O217" s="14" t="n">
        <f aca="false">IF(K217="","",PERCENTRANK($K$2:$K$354,K217))</f>
        <v>0.52</v>
      </c>
      <c r="P217" s="12" t="n">
        <f aca="false">COUNT(M217:O217)</f>
        <v>3</v>
      </c>
      <c r="W217" s="12" t="n">
        <f aca="false">COUNTA(Q217:V217)</f>
        <v>0</v>
      </c>
      <c r="X217" s="14" t="n">
        <f aca="false">IF(P217=0,"",MIN(1,AVERAGE(M217:O217)+Critérios!$B$5*W217))</f>
        <v>0.43</v>
      </c>
      <c r="Y217" s="12" t="str">
        <f aca="false">IF(X217="","",IF(X217&gt;=Critérios!$B$7,"A",IF(X217&gt;=Critérios!$B$8,"B","C")))</f>
        <v>B</v>
      </c>
      <c r="Z217" s="12" t="n">
        <f aca="false">IF(X217="","",RANK(X217,$X$2:$X$354))</f>
        <v>216</v>
      </c>
      <c r="AA217" s="12" t="str">
        <f aca="false">IF(X217="","Sairia — sem métrica",IF(PERCENTRANK($X$2:$X$354,X217)&lt;Critérios!$B$6,"Sairia — terço inferior","Fica"))</f>
        <v>Fica</v>
      </c>
      <c r="AB217" s="12" t="s">
        <v>105</v>
      </c>
      <c r="AD217" s="15" t="s">
        <v>95</v>
      </c>
      <c r="AE217" s="16"/>
      <c r="AF217" s="12" t="s">
        <v>247</v>
      </c>
      <c r="AG217" s="12" t="s">
        <v>1161</v>
      </c>
      <c r="AH217" s="12" t="n">
        <f aca="false">COUNT(G217,I217,K217)+COUNTA(Q217:V217)</f>
        <v>3</v>
      </c>
      <c r="AI217" s="12" t="str">
        <f aca="false">IF(AH217&gt;=3,"Sim","Não")</f>
        <v>Sim</v>
      </c>
      <c r="AJ217" s="12" t="str">
        <f aca="false">IF(AND(Z217&lt;&gt;"",Z217&lt;=Critérios!$B$9),"Sim","Não")</f>
        <v>Não</v>
      </c>
    </row>
    <row r="218" customFormat="false" ht="15" hidden="false" customHeight="false" outlineLevel="0" collapsed="false">
      <c r="A218" s="12" t="s">
        <v>1162</v>
      </c>
      <c r="B218" s="12" t="s">
        <v>1163</v>
      </c>
      <c r="C218" s="12" t="s">
        <v>1164</v>
      </c>
      <c r="D218" s="12" t="s">
        <v>500</v>
      </c>
      <c r="E218" s="12" t="s">
        <v>91</v>
      </c>
      <c r="F218" s="12" t="s">
        <v>92</v>
      </c>
      <c r="G218" s="13" t="n">
        <v>3276585</v>
      </c>
      <c r="H218" s="13" t="n">
        <v>24653629</v>
      </c>
      <c r="I218" s="13" t="n">
        <v>460435291</v>
      </c>
      <c r="J218" s="12" t="n">
        <v>7</v>
      </c>
      <c r="K218" s="13" t="n">
        <v>581905</v>
      </c>
      <c r="L218" s="12" t="n">
        <v>6.6</v>
      </c>
      <c r="M218" s="14" t="n">
        <f aca="false">IF(G218="","",PERCENTRANK($G$2:$G$354,G218))</f>
        <v>0.497</v>
      </c>
      <c r="N218" s="14" t="n">
        <f aca="false">IF(I218="","",PERCENTRANK($I$2:$I$354,I218))</f>
        <v>0.131</v>
      </c>
      <c r="O218" s="14" t="n">
        <f aca="false">IF(K218="","",PERCENTRANK($K$2:$K$354,K218))</f>
        <v>0.662</v>
      </c>
      <c r="P218" s="12" t="n">
        <f aca="false">COUNT(M218:O218)</f>
        <v>3</v>
      </c>
      <c r="W218" s="12" t="n">
        <f aca="false">COUNTA(Q218:V218)</f>
        <v>0</v>
      </c>
      <c r="X218" s="14" t="n">
        <f aca="false">IF(P218=0,"",MIN(1,AVERAGE(M218:O218)+Critérios!$B$5*W218))</f>
        <v>0.43</v>
      </c>
      <c r="Y218" s="12" t="str">
        <f aca="false">IF(X218="","",IF(X218&gt;=Critérios!$B$7,"A",IF(X218&gt;=Critérios!$B$8,"B","C")))</f>
        <v>B</v>
      </c>
      <c r="Z218" s="12" t="n">
        <f aca="false">IF(X218="","",RANK(X218,$X$2:$X$354))</f>
        <v>216</v>
      </c>
      <c r="AA218" s="12" t="str">
        <f aca="false">IF(X218="","Sairia — sem métrica",IF(PERCENTRANK($X$2:$X$354,X218)&lt;Critérios!$B$6,"Sairia — terço inferior","Fica"))</f>
        <v>Fica</v>
      </c>
      <c r="AB218" s="12" t="s">
        <v>94</v>
      </c>
      <c r="AD218" s="15" t="s">
        <v>95</v>
      </c>
      <c r="AE218" s="16"/>
      <c r="AF218" s="12" t="s">
        <v>501</v>
      </c>
      <c r="AG218" s="12" t="s">
        <v>1165</v>
      </c>
      <c r="AH218" s="12" t="n">
        <f aca="false">COUNT(G218,I218,K218)+COUNTA(Q218:V218)</f>
        <v>3</v>
      </c>
      <c r="AI218" s="12" t="str">
        <f aca="false">IF(AH218&gt;=3,"Sim","Não")</f>
        <v>Sim</v>
      </c>
      <c r="AJ218" s="12" t="str">
        <f aca="false">IF(AND(Z218&lt;&gt;"",Z218&lt;=Critérios!$B$9),"Sim","Não")</f>
        <v>Não</v>
      </c>
    </row>
    <row r="219" customFormat="false" ht="15" hidden="false" customHeight="false" outlineLevel="0" collapsed="false">
      <c r="A219" s="12" t="s">
        <v>1166</v>
      </c>
      <c r="B219" s="12" t="s">
        <v>1167</v>
      </c>
      <c r="C219" s="12" t="s">
        <v>1168</v>
      </c>
      <c r="D219" s="12" t="s">
        <v>286</v>
      </c>
      <c r="E219" s="12" t="s">
        <v>91</v>
      </c>
      <c r="F219" s="12" t="s">
        <v>92</v>
      </c>
      <c r="G219" s="13" t="n">
        <v>3567223</v>
      </c>
      <c r="H219" s="13" t="n">
        <v>21687926</v>
      </c>
      <c r="I219" s="13" t="n">
        <v>407711549</v>
      </c>
      <c r="J219" s="12" t="n">
        <v>9</v>
      </c>
      <c r="K219" s="13" t="n">
        <v>622147</v>
      </c>
      <c r="L219" s="12" t="n">
        <v>7.4</v>
      </c>
      <c r="M219" s="14" t="n">
        <f aca="false">IF(G219="","",PERCENTRANK($G$2:$G$354,G219))</f>
        <v>0.529</v>
      </c>
      <c r="N219" s="14" t="n">
        <f aca="false">IF(I219="","",PERCENTRANK($I$2:$I$354,I219))</f>
        <v>0.0678</v>
      </c>
      <c r="O219" s="14" t="n">
        <f aca="false">IF(K219="","",PERCENTRANK($K$2:$K$354,K219))</f>
        <v>0.685</v>
      </c>
      <c r="P219" s="12" t="n">
        <f aca="false">COUNT(M219:O219)</f>
        <v>3</v>
      </c>
      <c r="W219" s="12" t="n">
        <f aca="false">COUNTA(Q219:V219)</f>
        <v>0</v>
      </c>
      <c r="X219" s="14" t="n">
        <f aca="false">IF(P219=0,"",MIN(1,AVERAGE(M219:O219)+Critérios!$B$5*W219))</f>
        <v>0.427266666666667</v>
      </c>
      <c r="Y219" s="12" t="str">
        <f aca="false">IF(X219="","",IF(X219&gt;=Critérios!$B$7,"A",IF(X219&gt;=Critérios!$B$8,"B","C")))</f>
        <v>B</v>
      </c>
      <c r="Z219" s="12" t="n">
        <f aca="false">IF(X219="","",RANK(X219,$X$2:$X$354))</f>
        <v>218</v>
      </c>
      <c r="AA219" s="12" t="str">
        <f aca="false">IF(X219="","Sairia — sem métrica",IF(PERCENTRANK($X$2:$X$354,X219)&lt;Critérios!$B$6,"Sairia — terço inferior","Fica"))</f>
        <v>Fica</v>
      </c>
      <c r="AB219" s="12" t="s">
        <v>94</v>
      </c>
      <c r="AD219" s="15" t="s">
        <v>95</v>
      </c>
      <c r="AE219" s="16"/>
      <c r="AF219" s="12" t="s">
        <v>287</v>
      </c>
      <c r="AG219" s="12" t="s">
        <v>1169</v>
      </c>
      <c r="AH219" s="12" t="n">
        <f aca="false">COUNT(G219,I219,K219)+COUNTA(Q219:V219)</f>
        <v>3</v>
      </c>
      <c r="AI219" s="12" t="str">
        <f aca="false">IF(AH219&gt;=3,"Sim","Não")</f>
        <v>Sim</v>
      </c>
      <c r="AJ219" s="12" t="str">
        <f aca="false">IF(AND(Z219&lt;&gt;"",Z219&lt;=Critérios!$B$9),"Sim","Não")</f>
        <v>Não</v>
      </c>
    </row>
    <row r="220" customFormat="false" ht="15" hidden="false" customHeight="false" outlineLevel="0" collapsed="false">
      <c r="A220" s="12" t="s">
        <v>1170</v>
      </c>
      <c r="B220" s="12" t="s">
        <v>1171</v>
      </c>
      <c r="C220" s="12" t="s">
        <v>1172</v>
      </c>
      <c r="D220" s="12" t="s">
        <v>175</v>
      </c>
      <c r="E220" s="12" t="s">
        <v>91</v>
      </c>
      <c r="F220" s="12" t="s">
        <v>92</v>
      </c>
      <c r="G220" s="13" t="n">
        <v>4109647</v>
      </c>
      <c r="H220" s="13" t="n">
        <v>77049678</v>
      </c>
      <c r="I220" s="17"/>
      <c r="K220" s="13" t="n">
        <v>170282</v>
      </c>
      <c r="L220" s="12" t="n">
        <v>7</v>
      </c>
      <c r="M220" s="14" t="n">
        <f aca="false">IF(G220="","",PERCENTRANK($G$2:$G$354,G220))</f>
        <v>0.588</v>
      </c>
      <c r="N220" s="14" t="str">
        <f aca="false">IF(I220="","",PERCENTRANK($I$2:$I$354,I220))</f>
        <v/>
      </c>
      <c r="O220" s="14" t="n">
        <f aca="false">IF(K220="","",PERCENTRANK($K$2:$K$354,K220))</f>
        <v>0.136</v>
      </c>
      <c r="P220" s="12" t="n">
        <f aca="false">COUNT(M220:O220)</f>
        <v>2</v>
      </c>
      <c r="Q220" s="12" t="s">
        <v>1173</v>
      </c>
      <c r="S220" s="12" t="s">
        <v>1174</v>
      </c>
      <c r="W220" s="12" t="n">
        <f aca="false">COUNTA(Q220:V220)</f>
        <v>2</v>
      </c>
      <c r="X220" s="14" t="n">
        <f aca="false">IF(P220=0,"",MIN(1,AVERAGE(M220:O220)+Critérios!$B$5*W220))</f>
        <v>0.422</v>
      </c>
      <c r="Y220" s="12" t="str">
        <f aca="false">IF(X220="","",IF(X220&gt;=Critérios!$B$7,"A",IF(X220&gt;=Critérios!$B$8,"B","C")))</f>
        <v>B</v>
      </c>
      <c r="Z220" s="12" t="n">
        <f aca="false">IF(X220="","",RANK(X220,$X$2:$X$354))</f>
        <v>220</v>
      </c>
      <c r="AA220" s="12" t="str">
        <f aca="false">IF(X220="","Sairia — sem métrica",IF(PERCENTRANK($X$2:$X$354,X220)&lt;Critérios!$B$6,"Sairia — terço inferior","Fica"))</f>
        <v>Fica</v>
      </c>
      <c r="AB220" s="12" t="s">
        <v>105</v>
      </c>
      <c r="AC220" s="12" t="s">
        <v>719</v>
      </c>
      <c r="AD220" s="15" t="s">
        <v>95</v>
      </c>
      <c r="AE220" s="16"/>
      <c r="AF220" s="12" t="s">
        <v>1175</v>
      </c>
      <c r="AG220" s="12" t="s">
        <v>1176</v>
      </c>
      <c r="AH220" s="12" t="n">
        <f aca="false">COUNT(G220,I220,K220)+COUNTA(Q220:V220)</f>
        <v>4</v>
      </c>
      <c r="AI220" s="12" t="str">
        <f aca="false">IF(AH220&gt;=3,"Sim","Não")</f>
        <v>Sim</v>
      </c>
      <c r="AJ220" s="12" t="str">
        <f aca="false">IF(AND(Z220&lt;&gt;"",Z220&lt;=Critérios!$B$9),"Sim","Não")</f>
        <v>Não</v>
      </c>
    </row>
    <row r="221" customFormat="false" ht="15" hidden="false" customHeight="false" outlineLevel="0" collapsed="false">
      <c r="A221" s="12" t="s">
        <v>1177</v>
      </c>
      <c r="B221" s="12" t="s">
        <v>1178</v>
      </c>
      <c r="C221" s="12" t="s">
        <v>1179</v>
      </c>
      <c r="D221" s="12" t="s">
        <v>175</v>
      </c>
      <c r="E221" s="12" t="s">
        <v>91</v>
      </c>
      <c r="F221" s="12" t="s">
        <v>92</v>
      </c>
      <c r="G221" s="13" t="n">
        <v>2392882</v>
      </c>
      <c r="H221" s="13" t="n">
        <v>50445377</v>
      </c>
      <c r="I221" s="17"/>
      <c r="K221" s="13" t="n">
        <v>421132</v>
      </c>
      <c r="L221" s="12" t="n">
        <v>7.6</v>
      </c>
      <c r="M221" s="14" t="n">
        <f aca="false">IF(G221="","",PERCENTRANK($G$2:$G$354,G221))</f>
        <v>0.307</v>
      </c>
      <c r="N221" s="14" t="str">
        <f aca="false">IF(I221="","",PERCENTRANK($I$2:$I$354,I221))</f>
        <v/>
      </c>
      <c r="O221" s="14" t="n">
        <f aca="false">IF(K221="","",PERCENTRANK($K$2:$K$354,K221))</f>
        <v>0.477</v>
      </c>
      <c r="P221" s="12" t="n">
        <f aca="false">COUNT(M221:O221)</f>
        <v>2</v>
      </c>
      <c r="Q221" s="12" t="s">
        <v>1180</v>
      </c>
      <c r="W221" s="12" t="n">
        <f aca="false">COUNTA(Q221:V221)</f>
        <v>1</v>
      </c>
      <c r="X221" s="14" t="n">
        <f aca="false">IF(P221=0,"",MIN(1,AVERAGE(M221:O221)+Critérios!$B$5*W221))</f>
        <v>0.422</v>
      </c>
      <c r="Y221" s="12" t="str">
        <f aca="false">IF(X221="","",IF(X221&gt;=Critérios!$B$7,"A",IF(X221&gt;=Critérios!$B$8,"B","C")))</f>
        <v>B</v>
      </c>
      <c r="Z221" s="12" t="n">
        <f aca="false">IF(X221="","",RANK(X221,$X$2:$X$354))</f>
        <v>219</v>
      </c>
      <c r="AA221" s="12" t="str">
        <f aca="false">IF(X221="","Sairia — sem métrica",IF(PERCENTRANK($X$2:$X$354,X221)&lt;Critérios!$B$6,"Sairia — terço inferior","Fica"))</f>
        <v>Fica</v>
      </c>
      <c r="AB221" s="12" t="s">
        <v>105</v>
      </c>
      <c r="AC221" s="12" t="s">
        <v>719</v>
      </c>
      <c r="AD221" s="15" t="s">
        <v>95</v>
      </c>
      <c r="AE221" s="16"/>
      <c r="AF221" s="12" t="s">
        <v>1175</v>
      </c>
      <c r="AG221" s="12" t="s">
        <v>1181</v>
      </c>
      <c r="AH221" s="12" t="n">
        <f aca="false">COUNT(G221,I221,K221)+COUNTA(Q221:V221)</f>
        <v>3</v>
      </c>
      <c r="AI221" s="12" t="str">
        <f aca="false">IF(AH221&gt;=3,"Sim","Não")</f>
        <v>Sim</v>
      </c>
      <c r="AJ221" s="12" t="str">
        <f aca="false">IF(AND(Z221&lt;&gt;"",Z221&lt;=Critérios!$B$9),"Sim","Não")</f>
        <v>Não</v>
      </c>
    </row>
    <row r="222" customFormat="false" ht="15" hidden="false" customHeight="false" outlineLevel="0" collapsed="false">
      <c r="A222" s="12" t="s">
        <v>1182</v>
      </c>
      <c r="B222" s="12" t="s">
        <v>1183</v>
      </c>
      <c r="C222" s="12" t="s">
        <v>1183</v>
      </c>
      <c r="D222" s="12" t="s">
        <v>134</v>
      </c>
      <c r="E222" s="12" t="s">
        <v>91</v>
      </c>
      <c r="F222" s="12" t="s">
        <v>92</v>
      </c>
      <c r="G222" s="13" t="n">
        <v>2472825</v>
      </c>
      <c r="H222" s="13" t="n">
        <v>21996832</v>
      </c>
      <c r="I222" s="13" t="n">
        <v>524028679</v>
      </c>
      <c r="J222" s="12" t="n">
        <v>8</v>
      </c>
      <c r="K222" s="13" t="n">
        <v>712676</v>
      </c>
      <c r="L222" s="12" t="n">
        <v>7.5</v>
      </c>
      <c r="M222" s="14" t="n">
        <f aca="false">IF(G222="","",PERCENTRANK($G$2:$G$354,G222))</f>
        <v>0.327</v>
      </c>
      <c r="N222" s="14" t="n">
        <f aca="false">IF(I222="","",PERCENTRANK($I$2:$I$354,I222))</f>
        <v>0.203</v>
      </c>
      <c r="O222" s="14" t="n">
        <f aca="false">IF(K222="","",PERCENTRANK($K$2:$K$354,K222))</f>
        <v>0.733</v>
      </c>
      <c r="P222" s="12" t="n">
        <f aca="false">COUNT(M222:O222)</f>
        <v>3</v>
      </c>
      <c r="W222" s="12" t="n">
        <f aca="false">COUNTA(Q222:V222)</f>
        <v>0</v>
      </c>
      <c r="X222" s="14" t="n">
        <f aca="false">IF(P222=0,"",MIN(1,AVERAGE(M222:O222)+Critérios!$B$5*W222))</f>
        <v>0.421</v>
      </c>
      <c r="Y222" s="12" t="str">
        <f aca="false">IF(X222="","",IF(X222&gt;=Critérios!$B$7,"A",IF(X222&gt;=Critérios!$B$8,"B","C")))</f>
        <v>B</v>
      </c>
      <c r="Z222" s="12" t="n">
        <f aca="false">IF(X222="","",RANK(X222,$X$2:$X$354))</f>
        <v>221</v>
      </c>
      <c r="AA222" s="12" t="str">
        <f aca="false">IF(X222="","Sairia — sem métrica",IF(PERCENTRANK($X$2:$X$354,X222)&lt;Critérios!$B$6,"Sairia — terço inferior","Fica"))</f>
        <v>Fica</v>
      </c>
      <c r="AB222" s="12" t="s">
        <v>105</v>
      </c>
      <c r="AD222" s="15" t="s">
        <v>95</v>
      </c>
      <c r="AE222" s="16"/>
      <c r="AF222" s="12" t="s">
        <v>1184</v>
      </c>
      <c r="AG222" s="12" t="s">
        <v>1185</v>
      </c>
      <c r="AH222" s="12" t="n">
        <f aca="false">COUNT(G222,I222,K222)+COUNTA(Q222:V222)</f>
        <v>3</v>
      </c>
      <c r="AI222" s="12" t="str">
        <f aca="false">IF(AH222&gt;=3,"Sim","Não")</f>
        <v>Sim</v>
      </c>
      <c r="AJ222" s="12" t="str">
        <f aca="false">IF(AND(Z222&lt;&gt;"",Z222&lt;=Critérios!$B$9),"Sim","Não")</f>
        <v>Não</v>
      </c>
    </row>
    <row r="223" customFormat="false" ht="15" hidden="false" customHeight="false" outlineLevel="0" collapsed="false">
      <c r="A223" s="12" t="s">
        <v>1186</v>
      </c>
      <c r="B223" s="12" t="s">
        <v>1187</v>
      </c>
      <c r="C223" s="12" t="s">
        <v>1187</v>
      </c>
      <c r="D223" s="12" t="s">
        <v>214</v>
      </c>
      <c r="E223" s="12" t="s">
        <v>91</v>
      </c>
      <c r="F223" s="12" t="s">
        <v>92</v>
      </c>
      <c r="G223" s="13" t="n">
        <v>3033896</v>
      </c>
      <c r="H223" s="13" t="n">
        <v>31295006</v>
      </c>
      <c r="I223" s="13" t="n">
        <v>665692281</v>
      </c>
      <c r="J223" s="12" t="n">
        <v>6</v>
      </c>
      <c r="K223" s="13" t="n">
        <v>364972</v>
      </c>
      <c r="L223" s="12" t="n">
        <v>7.3</v>
      </c>
      <c r="M223" s="14" t="n">
        <f aca="false">IF(G223="","",PERCENTRANK($G$2:$G$354,G223))</f>
        <v>0.461</v>
      </c>
      <c r="N223" s="14" t="n">
        <f aca="false">IF(I223="","",PERCENTRANK($I$2:$I$354,I223))</f>
        <v>0.369</v>
      </c>
      <c r="O223" s="14" t="n">
        <f aca="false">IF(K223="","",PERCENTRANK($K$2:$K$354,K223))</f>
        <v>0.429</v>
      </c>
      <c r="P223" s="12" t="n">
        <f aca="false">COUNT(M223:O223)</f>
        <v>3</v>
      </c>
      <c r="W223" s="12" t="n">
        <f aca="false">COUNTA(Q223:V223)</f>
        <v>0</v>
      </c>
      <c r="X223" s="14" t="n">
        <f aca="false">IF(P223=0,"",MIN(1,AVERAGE(M223:O223)+Critérios!$B$5*W223))</f>
        <v>0.419666666666667</v>
      </c>
      <c r="Y223" s="12" t="str">
        <f aca="false">IF(X223="","",IF(X223&gt;=Critérios!$B$7,"A",IF(X223&gt;=Critérios!$B$8,"B","C")))</f>
        <v>B</v>
      </c>
      <c r="Z223" s="12" t="n">
        <f aca="false">IF(X223="","",RANK(X223,$X$2:$X$354))</f>
        <v>222</v>
      </c>
      <c r="AA223" s="12" t="str">
        <f aca="false">IF(X223="","Sairia — sem métrica",IF(PERCENTRANK($X$2:$X$354,X223)&lt;Critérios!$B$6,"Sairia — terço inferior","Fica"))</f>
        <v>Fica</v>
      </c>
      <c r="AB223" s="12" t="s">
        <v>105</v>
      </c>
      <c r="AD223" s="15" t="s">
        <v>95</v>
      </c>
      <c r="AE223" s="16"/>
      <c r="AF223" s="12" t="s">
        <v>215</v>
      </c>
      <c r="AG223" s="12" t="s">
        <v>1188</v>
      </c>
      <c r="AH223" s="12" t="n">
        <f aca="false">COUNT(G223,I223,K223)+COUNTA(Q223:V223)</f>
        <v>3</v>
      </c>
      <c r="AI223" s="12" t="str">
        <f aca="false">IF(AH223&gt;=3,"Sim","Não")</f>
        <v>Sim</v>
      </c>
      <c r="AJ223" s="12" t="str">
        <f aca="false">IF(AND(Z223&lt;&gt;"",Z223&lt;=Critérios!$B$9),"Sim","Não")</f>
        <v>Não</v>
      </c>
    </row>
    <row r="224" customFormat="false" ht="15" hidden="false" customHeight="false" outlineLevel="0" collapsed="false">
      <c r="A224" s="12" t="s">
        <v>1189</v>
      </c>
      <c r="B224" s="12" t="s">
        <v>1190</v>
      </c>
      <c r="C224" s="12" t="s">
        <v>1191</v>
      </c>
      <c r="D224" s="12" t="s">
        <v>321</v>
      </c>
      <c r="E224" s="12" t="s">
        <v>91</v>
      </c>
      <c r="F224" s="12" t="s">
        <v>92</v>
      </c>
      <c r="G224" s="13" t="n">
        <v>1401438</v>
      </c>
      <c r="H224" s="13" t="n">
        <v>10097298</v>
      </c>
      <c r="I224" s="13" t="n">
        <v>521311860</v>
      </c>
      <c r="J224" s="12" t="n">
        <v>9</v>
      </c>
      <c r="K224" s="13" t="n">
        <v>1345634</v>
      </c>
      <c r="L224" s="12" t="n">
        <v>8.4</v>
      </c>
      <c r="M224" s="14" t="n">
        <f aca="false">IF(G224="","",PERCENTRANK($G$2:$G$354,G224))</f>
        <v>0.108</v>
      </c>
      <c r="N224" s="14" t="n">
        <f aca="false">IF(I224="","",PERCENTRANK($I$2:$I$354,I224))</f>
        <v>0.195</v>
      </c>
      <c r="O224" s="14" t="n">
        <f aca="false">IF(K224="","",PERCENTRANK($K$2:$K$354,K224))</f>
        <v>0.955</v>
      </c>
      <c r="P224" s="12" t="n">
        <f aca="false">COUNT(M224:O224)</f>
        <v>3</v>
      </c>
      <c r="W224" s="12" t="n">
        <f aca="false">COUNTA(Q224:V224)</f>
        <v>0</v>
      </c>
      <c r="X224" s="14" t="n">
        <f aca="false">IF(P224=0,"",MIN(1,AVERAGE(M224:O224)+Critérios!$B$5*W224))</f>
        <v>0.419333333333333</v>
      </c>
      <c r="Y224" s="12" t="str">
        <f aca="false">IF(X224="","",IF(X224&gt;=Critérios!$B$7,"A",IF(X224&gt;=Critérios!$B$8,"B","C")))</f>
        <v>B</v>
      </c>
      <c r="Z224" s="12" t="n">
        <f aca="false">IF(X224="","",RANK(X224,$X$2:$X$354))</f>
        <v>223</v>
      </c>
      <c r="AA224" s="12" t="str">
        <f aca="false">IF(X224="","Sairia — sem métrica",IF(PERCENTRANK($X$2:$X$354,X224)&lt;Critérios!$B$6,"Sairia — terço inferior","Fica"))</f>
        <v>Fica</v>
      </c>
      <c r="AB224" s="12" t="s">
        <v>105</v>
      </c>
      <c r="AC224" s="12" t="s">
        <v>719</v>
      </c>
      <c r="AD224" s="15" t="s">
        <v>95</v>
      </c>
      <c r="AE224" s="16"/>
      <c r="AF224" s="12" t="s">
        <v>323</v>
      </c>
      <c r="AG224" s="12" t="s">
        <v>1192</v>
      </c>
      <c r="AH224" s="12" t="n">
        <f aca="false">COUNT(G224,I224,K224)+COUNTA(Q224:V224)</f>
        <v>3</v>
      </c>
      <c r="AI224" s="12" t="str">
        <f aca="false">IF(AH224&gt;=3,"Sim","Não")</f>
        <v>Sim</v>
      </c>
      <c r="AJ224" s="12" t="str">
        <f aca="false">IF(AND(Z224&lt;&gt;"",Z224&lt;=Critérios!$B$9),"Sim","Não")</f>
        <v>Não</v>
      </c>
    </row>
    <row r="225" customFormat="false" ht="15" hidden="false" customHeight="false" outlineLevel="0" collapsed="false">
      <c r="A225" s="12" t="s">
        <v>1193</v>
      </c>
      <c r="B225" s="12" t="s">
        <v>1194</v>
      </c>
      <c r="C225" s="12" t="s">
        <v>1195</v>
      </c>
      <c r="D225" s="12" t="s">
        <v>265</v>
      </c>
      <c r="E225" s="12" t="s">
        <v>583</v>
      </c>
      <c r="F225" s="12" t="s">
        <v>92</v>
      </c>
      <c r="G225" s="13" t="n">
        <v>5550000</v>
      </c>
      <c r="H225" s="13" t="n">
        <v>98840000</v>
      </c>
      <c r="I225" s="17"/>
      <c r="K225" s="13" t="n">
        <v>610</v>
      </c>
      <c r="L225" s="12" t="n">
        <v>7</v>
      </c>
      <c r="M225" s="14" t="n">
        <f aca="false">IF(G225="","",PERCENTRANK($G$2:$G$354,G225))</f>
        <v>0.771</v>
      </c>
      <c r="N225" s="14" t="str">
        <f aca="false">IF(I225="","",PERCENTRANK($I$2:$I$354,I225))</f>
        <v/>
      </c>
      <c r="O225" s="14" t="n">
        <f aca="false">IF(K225="","",PERCENTRANK($K$2:$K$354,K225))</f>
        <v>0.00568</v>
      </c>
      <c r="P225" s="12" t="n">
        <f aca="false">COUNT(M225:O225)</f>
        <v>2</v>
      </c>
      <c r="R225" s="12" t="s">
        <v>1196</v>
      </c>
      <c r="W225" s="12" t="n">
        <f aca="false">COUNTA(Q225:V225)</f>
        <v>1</v>
      </c>
      <c r="X225" s="14" t="n">
        <f aca="false">IF(P225=0,"",MIN(1,AVERAGE(M225:O225)+Critérios!$B$5*W225))</f>
        <v>0.41834</v>
      </c>
      <c r="Y225" s="12" t="str">
        <f aca="false">IF(X225="","",IF(X225&gt;=Critérios!$B$7,"A",IF(X225&gt;=Critérios!$B$8,"B","C")))</f>
        <v>B</v>
      </c>
      <c r="Z225" s="12" t="n">
        <f aca="false">IF(X225="","",RANK(X225,$X$2:$X$354))</f>
        <v>224</v>
      </c>
      <c r="AA225" s="12" t="str">
        <f aca="false">IF(X225="","Sairia — sem métrica",IF(PERCENTRANK($X$2:$X$354,X225)&lt;Critérios!$B$6,"Sairia — terço inferior","Fica"))</f>
        <v>Fica</v>
      </c>
      <c r="AB225" s="12" t="s">
        <v>105</v>
      </c>
      <c r="AC225" s="12" t="s">
        <v>267</v>
      </c>
      <c r="AD225" s="15" t="s">
        <v>95</v>
      </c>
      <c r="AE225" s="16"/>
      <c r="AF225" s="12" t="s">
        <v>1197</v>
      </c>
      <c r="AG225" s="12" t="s">
        <v>1198</v>
      </c>
      <c r="AH225" s="12" t="n">
        <f aca="false">COUNT(G225,I225,K225)+COUNTA(Q225:V225)</f>
        <v>3</v>
      </c>
      <c r="AI225" s="12" t="str">
        <f aca="false">IF(AH225&gt;=3,"Sim","Não")</f>
        <v>Sim</v>
      </c>
      <c r="AJ225" s="12" t="str">
        <f aca="false">IF(AND(Z225&lt;&gt;"",Z225&lt;=Critérios!$B$9),"Sim","Não")</f>
        <v>Não</v>
      </c>
    </row>
    <row r="226" customFormat="false" ht="15" hidden="false" customHeight="false" outlineLevel="0" collapsed="false">
      <c r="A226" s="12" t="s">
        <v>1199</v>
      </c>
      <c r="B226" s="12" t="s">
        <v>1200</v>
      </c>
      <c r="C226" s="12" t="s">
        <v>1201</v>
      </c>
      <c r="D226" s="12" t="s">
        <v>101</v>
      </c>
      <c r="E226" s="12" t="s">
        <v>91</v>
      </c>
      <c r="F226" s="12" t="s">
        <v>92</v>
      </c>
      <c r="G226" s="13" t="n">
        <v>1063131</v>
      </c>
      <c r="H226" s="13" t="n">
        <v>22489692</v>
      </c>
      <c r="I226" s="13" t="n">
        <v>774253007</v>
      </c>
      <c r="J226" s="12" t="n">
        <v>4</v>
      </c>
      <c r="K226" s="13" t="n">
        <v>495858</v>
      </c>
      <c r="L226" s="12" t="n">
        <v>7.3</v>
      </c>
      <c r="M226" s="14" t="n">
        <f aca="false">IF(G226="","",PERCENTRANK($G$2:$G$354,G226))</f>
        <v>0.0588</v>
      </c>
      <c r="N226" s="14" t="n">
        <f aca="false">IF(I226="","",PERCENTRANK($I$2:$I$354,I226))</f>
        <v>0.521</v>
      </c>
      <c r="O226" s="14" t="n">
        <f aca="false">IF(K226="","",PERCENTRANK($K$2:$K$354,K226))</f>
        <v>0.574</v>
      </c>
      <c r="P226" s="12" t="n">
        <f aca="false">COUNT(M226:O226)</f>
        <v>3</v>
      </c>
      <c r="Q226" s="12" t="s">
        <v>1202</v>
      </c>
      <c r="W226" s="12" t="n">
        <f aca="false">COUNTA(Q226:V226)</f>
        <v>1</v>
      </c>
      <c r="X226" s="14" t="n">
        <f aca="false">IF(P226=0,"",MIN(1,AVERAGE(M226:O226)+Critérios!$B$5*W226))</f>
        <v>0.4146</v>
      </c>
      <c r="Y226" s="12" t="str">
        <f aca="false">IF(X226="","",IF(X226&gt;=Critérios!$B$7,"A",IF(X226&gt;=Critérios!$B$8,"B","C")))</f>
        <v>B</v>
      </c>
      <c r="Z226" s="12" t="n">
        <f aca="false">IF(X226="","",RANK(X226,$X$2:$X$354))</f>
        <v>225</v>
      </c>
      <c r="AA226" s="12" t="str">
        <f aca="false">IF(X226="","Sairia — sem métrica",IF(PERCENTRANK($X$2:$X$354,X226)&lt;Critérios!$B$6,"Sairia — terço inferior","Fica"))</f>
        <v>Fica</v>
      </c>
      <c r="AB226" s="12" t="s">
        <v>105</v>
      </c>
      <c r="AD226" s="15" t="s">
        <v>95</v>
      </c>
      <c r="AE226" s="16"/>
      <c r="AF226" s="12" t="s">
        <v>1203</v>
      </c>
      <c r="AG226" s="12" t="s">
        <v>1204</v>
      </c>
      <c r="AH226" s="12" t="n">
        <f aca="false">COUNT(G226,I226,K226)+COUNTA(Q226:V226)</f>
        <v>4</v>
      </c>
      <c r="AI226" s="12" t="str">
        <f aca="false">IF(AH226&gt;=3,"Sim","Não")</f>
        <v>Sim</v>
      </c>
      <c r="AJ226" s="12" t="str">
        <f aca="false">IF(AND(Z226&lt;&gt;"",Z226&lt;=Critérios!$B$9),"Sim","Não")</f>
        <v>Não</v>
      </c>
    </row>
    <row r="227" customFormat="false" ht="15" hidden="false" customHeight="false" outlineLevel="0" collapsed="false">
      <c r="A227" s="12" t="s">
        <v>1205</v>
      </c>
      <c r="B227" s="12" t="s">
        <v>1206</v>
      </c>
      <c r="C227" s="12" t="s">
        <v>1136</v>
      </c>
      <c r="D227" s="12" t="s">
        <v>358</v>
      </c>
      <c r="E227" s="12" t="s">
        <v>91</v>
      </c>
      <c r="F227" s="12" t="s">
        <v>92</v>
      </c>
      <c r="G227" s="13" t="n">
        <v>2044487</v>
      </c>
      <c r="H227" s="13" t="n">
        <v>21937784</v>
      </c>
      <c r="I227" s="13" t="n">
        <v>494878759</v>
      </c>
      <c r="J227" s="12" t="n">
        <v>10</v>
      </c>
      <c r="K227" s="13" t="n">
        <v>911326</v>
      </c>
      <c r="L227" s="12" t="n">
        <v>8.1</v>
      </c>
      <c r="M227" s="14" t="n">
        <f aca="false">IF(G227="","",PERCENTRANK($G$2:$G$354,G227))</f>
        <v>0.229</v>
      </c>
      <c r="N227" s="14" t="n">
        <f aca="false">IF(I227="","",PERCENTRANK($I$2:$I$354,I227))</f>
        <v>0.174</v>
      </c>
      <c r="O227" s="14" t="n">
        <f aca="false">IF(K227="","",PERCENTRANK($K$2:$K$354,K227))</f>
        <v>0.838</v>
      </c>
      <c r="P227" s="12" t="n">
        <f aca="false">COUNT(M227:O227)</f>
        <v>3</v>
      </c>
      <c r="W227" s="12" t="n">
        <f aca="false">COUNTA(Q227:V227)</f>
        <v>0</v>
      </c>
      <c r="X227" s="14" t="n">
        <f aca="false">IF(P227=0,"",MIN(1,AVERAGE(M227:O227)+Critérios!$B$5*W227))</f>
        <v>0.413666666666667</v>
      </c>
      <c r="Y227" s="12" t="str">
        <f aca="false">IF(X227="","",IF(X227&gt;=Critérios!$B$7,"A",IF(X227&gt;=Critérios!$B$8,"B","C")))</f>
        <v>B</v>
      </c>
      <c r="Z227" s="12" t="n">
        <f aca="false">IF(X227="","",RANK(X227,$X$2:$X$354))</f>
        <v>226</v>
      </c>
      <c r="AA227" s="12" t="str">
        <f aca="false">IF(X227="","Sairia — sem métrica",IF(PERCENTRANK($X$2:$X$354,X227)&lt;Critérios!$B$6,"Sairia — terço inferior","Fica"))</f>
        <v>Fica</v>
      </c>
      <c r="AB227" s="12" t="s">
        <v>105</v>
      </c>
      <c r="AD227" s="15" t="s">
        <v>95</v>
      </c>
      <c r="AE227" s="16"/>
      <c r="AF227" s="12" t="s">
        <v>359</v>
      </c>
      <c r="AG227" s="12" t="s">
        <v>1207</v>
      </c>
      <c r="AH227" s="12" t="n">
        <f aca="false">COUNT(G227,I227,K227)+COUNTA(Q227:V227)</f>
        <v>3</v>
      </c>
      <c r="AI227" s="12" t="str">
        <f aca="false">IF(AH227&gt;=3,"Sim","Não")</f>
        <v>Sim</v>
      </c>
      <c r="AJ227" s="12" t="str">
        <f aca="false">IF(AND(Z227&lt;&gt;"",Z227&lt;=Critérios!$B$9),"Sim","Não")</f>
        <v>Não</v>
      </c>
    </row>
    <row r="228" customFormat="false" ht="15" hidden="false" customHeight="false" outlineLevel="0" collapsed="false">
      <c r="A228" s="12" t="s">
        <v>1208</v>
      </c>
      <c r="B228" s="12" t="s">
        <v>1209</v>
      </c>
      <c r="C228" s="12" t="s">
        <v>1210</v>
      </c>
      <c r="D228" s="12" t="s">
        <v>118</v>
      </c>
      <c r="E228" s="12" t="s">
        <v>91</v>
      </c>
      <c r="F228" s="12" t="s">
        <v>92</v>
      </c>
      <c r="G228" s="13" t="n">
        <v>5229276</v>
      </c>
      <c r="H228" s="13" t="n">
        <v>88239322</v>
      </c>
      <c r="I228" s="13" t="n">
        <v>485261639</v>
      </c>
      <c r="J228" s="12" t="n">
        <v>10</v>
      </c>
      <c r="K228" s="13" t="n">
        <v>232734</v>
      </c>
      <c r="L228" s="12" t="n">
        <v>7.9</v>
      </c>
      <c r="M228" s="14" t="n">
        <f aca="false">IF(G228="","",PERCENTRANK($G$2:$G$354,G228))</f>
        <v>0.752</v>
      </c>
      <c r="N228" s="14" t="n">
        <f aca="false">IF(I228="","",PERCENTRANK($I$2:$I$354,I228))</f>
        <v>0.161</v>
      </c>
      <c r="O228" s="14" t="n">
        <f aca="false">IF(K228="","",PERCENTRANK($K$2:$K$354,K228))</f>
        <v>0.236</v>
      </c>
      <c r="P228" s="12" t="n">
        <f aca="false">COUNT(M228:O228)</f>
        <v>3</v>
      </c>
      <c r="Q228" s="12" t="s">
        <v>1211</v>
      </c>
      <c r="W228" s="12" t="n">
        <f aca="false">COUNTA(Q228:V228)</f>
        <v>1</v>
      </c>
      <c r="X228" s="14" t="n">
        <f aca="false">IF(P228=0,"",MIN(1,AVERAGE(M228:O228)+Critérios!$B$5*W228))</f>
        <v>0.413</v>
      </c>
      <c r="Y228" s="12" t="str">
        <f aca="false">IF(X228="","",IF(X228&gt;=Critérios!$B$7,"A",IF(X228&gt;=Critérios!$B$8,"B","C")))</f>
        <v>B</v>
      </c>
      <c r="Z228" s="12" t="n">
        <f aca="false">IF(X228="","",RANK(X228,$X$2:$X$354))</f>
        <v>227</v>
      </c>
      <c r="AA228" s="12" t="str">
        <f aca="false">IF(X228="","Sairia — sem métrica",IF(PERCENTRANK($X$2:$X$354,X228)&lt;Critérios!$B$6,"Sairia — terço inferior","Fica"))</f>
        <v>Fica</v>
      </c>
      <c r="AB228" s="12" t="s">
        <v>105</v>
      </c>
      <c r="AD228" s="15" t="s">
        <v>95</v>
      </c>
      <c r="AE228" s="16"/>
      <c r="AF228" s="12" t="s">
        <v>1212</v>
      </c>
      <c r="AG228" s="12" t="s">
        <v>1213</v>
      </c>
      <c r="AH228" s="12" t="n">
        <f aca="false">COUNT(G228,I228,K228)+COUNTA(Q228:V228)</f>
        <v>4</v>
      </c>
      <c r="AI228" s="12" t="str">
        <f aca="false">IF(AH228&gt;=3,"Sim","Não")</f>
        <v>Sim</v>
      </c>
      <c r="AJ228" s="12" t="str">
        <f aca="false">IF(AND(Z228&lt;&gt;"",Z228&lt;=Critérios!$B$9),"Sim","Não")</f>
        <v>Não</v>
      </c>
    </row>
    <row r="229" customFormat="false" ht="15" hidden="false" customHeight="false" outlineLevel="0" collapsed="false">
      <c r="A229" s="12" t="s">
        <v>1214</v>
      </c>
      <c r="B229" s="12" t="s">
        <v>1215</v>
      </c>
      <c r="C229" s="12" t="s">
        <v>1216</v>
      </c>
      <c r="D229" s="12" t="s">
        <v>118</v>
      </c>
      <c r="E229" s="12" t="s">
        <v>91</v>
      </c>
      <c r="F229" s="12" t="s">
        <v>674</v>
      </c>
      <c r="G229" s="17"/>
      <c r="H229" s="17"/>
      <c r="I229" s="17"/>
      <c r="K229" s="13" t="n">
        <v>307621</v>
      </c>
      <c r="L229" s="12" t="n">
        <v>7</v>
      </c>
      <c r="M229" s="14" t="str">
        <f aca="false">IF(G229="","",PERCENTRANK($G$2:$G$354,G229))</f>
        <v/>
      </c>
      <c r="N229" s="14" t="str">
        <f aca="false">IF(I229="","",PERCENTRANK($I$2:$I$354,I229))</f>
        <v/>
      </c>
      <c r="O229" s="14" t="n">
        <f aca="false">IF(K229="","",PERCENTRANK($K$2:$K$354,K229))</f>
        <v>0.352</v>
      </c>
      <c r="P229" s="12" t="n">
        <f aca="false">COUNT(M229:O229)</f>
        <v>1</v>
      </c>
      <c r="Q229" s="12" t="s">
        <v>1217</v>
      </c>
      <c r="T229" s="12" t="s">
        <v>1218</v>
      </c>
      <c r="W229" s="12" t="n">
        <f aca="false">COUNTA(Q229:V229)</f>
        <v>2</v>
      </c>
      <c r="X229" s="14" t="n">
        <f aca="false">IF(P229=0,"",MIN(1,AVERAGE(M229:O229)+Critérios!$B$5*W229))</f>
        <v>0.412</v>
      </c>
      <c r="Y229" s="12" t="str">
        <f aca="false">IF(X229="","",IF(X229&gt;=Critérios!$B$7,"A",IF(X229&gt;=Critérios!$B$8,"B","C")))</f>
        <v>B</v>
      </c>
      <c r="Z229" s="12" t="n">
        <f aca="false">IF(X229="","",RANK(X229,$X$2:$X$354))</f>
        <v>229</v>
      </c>
      <c r="AA229" s="12" t="str">
        <f aca="false">IF(X229="","Sairia — sem métrica",IF(PERCENTRANK($X$2:$X$354,X229)&lt;Critérios!$B$6,"Sairia — terço inferior","Fica"))</f>
        <v>Fica</v>
      </c>
      <c r="AB229" s="12" t="s">
        <v>105</v>
      </c>
      <c r="AD229" s="15" t="s">
        <v>95</v>
      </c>
      <c r="AE229" s="16"/>
      <c r="AG229" s="12" t="s">
        <v>1219</v>
      </c>
      <c r="AH229" s="12" t="n">
        <f aca="false">COUNT(G229,I229,K229)+COUNTA(Q229:V229)</f>
        <v>3</v>
      </c>
      <c r="AI229" s="12" t="str">
        <f aca="false">IF(AH229&gt;=3,"Sim","Não")</f>
        <v>Sim</v>
      </c>
      <c r="AJ229" s="12" t="str">
        <f aca="false">IF(AND(Z229&lt;&gt;"",Z229&lt;=Critérios!$B$9),"Sim","Não")</f>
        <v>Não</v>
      </c>
    </row>
    <row r="230" customFormat="false" ht="15" hidden="false" customHeight="false" outlineLevel="0" collapsed="false">
      <c r="A230" s="12" t="s">
        <v>1220</v>
      </c>
      <c r="B230" s="12" t="s">
        <v>1221</v>
      </c>
      <c r="C230" s="12" t="s">
        <v>1222</v>
      </c>
      <c r="D230" s="12" t="s">
        <v>101</v>
      </c>
      <c r="E230" s="12" t="s">
        <v>91</v>
      </c>
      <c r="F230" s="12" t="s">
        <v>92</v>
      </c>
      <c r="G230" s="13" t="n">
        <v>1893242</v>
      </c>
      <c r="H230" s="13" t="n">
        <v>33101238</v>
      </c>
      <c r="I230" s="17"/>
      <c r="K230" s="13" t="n">
        <v>491816</v>
      </c>
      <c r="L230" s="12" t="n">
        <v>6.6</v>
      </c>
      <c r="M230" s="14" t="n">
        <f aca="false">IF(G230="","",PERCENTRANK($G$2:$G$354,G230))</f>
        <v>0.193</v>
      </c>
      <c r="N230" s="14" t="str">
        <f aca="false">IF(I230="","",PERCENTRANK($I$2:$I$354,I230))</f>
        <v/>
      </c>
      <c r="O230" s="14" t="n">
        <f aca="false">IF(K230="","",PERCENTRANK($K$2:$K$354,K230))</f>
        <v>0.571</v>
      </c>
      <c r="P230" s="12" t="n">
        <f aca="false">COUNT(M230:O230)</f>
        <v>2</v>
      </c>
      <c r="Q230" s="12" t="s">
        <v>1223</v>
      </c>
      <c r="W230" s="12" t="n">
        <f aca="false">COUNTA(Q230:V230)</f>
        <v>1</v>
      </c>
      <c r="X230" s="14" t="n">
        <f aca="false">IF(P230=0,"",MIN(1,AVERAGE(M230:O230)+Critérios!$B$5*W230))</f>
        <v>0.412</v>
      </c>
      <c r="Y230" s="12" t="str">
        <f aca="false">IF(X230="","",IF(X230&gt;=Critérios!$B$7,"A",IF(X230&gt;=Critérios!$B$8,"B","C")))</f>
        <v>B</v>
      </c>
      <c r="Z230" s="12" t="n">
        <f aca="false">IF(X230="","",RANK(X230,$X$2:$X$354))</f>
        <v>228</v>
      </c>
      <c r="AA230" s="12" t="str">
        <f aca="false">IF(X230="","Sairia — sem métrica",IF(PERCENTRANK($X$2:$X$354,X230)&lt;Critérios!$B$6,"Sairia — terço inferior","Fica"))</f>
        <v>Fica</v>
      </c>
      <c r="AB230" s="12" t="s">
        <v>105</v>
      </c>
      <c r="AC230" s="12" t="s">
        <v>719</v>
      </c>
      <c r="AD230" s="15" t="s">
        <v>95</v>
      </c>
      <c r="AE230" s="16"/>
      <c r="AF230" s="12" t="s">
        <v>720</v>
      </c>
      <c r="AG230" s="12" t="s">
        <v>1224</v>
      </c>
      <c r="AH230" s="12" t="n">
        <f aca="false">COUNT(G230,I230,K230)+COUNTA(Q230:V230)</f>
        <v>3</v>
      </c>
      <c r="AI230" s="12" t="str">
        <f aca="false">IF(AH230&gt;=3,"Sim","Não")</f>
        <v>Sim</v>
      </c>
      <c r="AJ230" s="12" t="str">
        <f aca="false">IF(AND(Z230&lt;&gt;"",Z230&lt;=Critérios!$B$9),"Sim","Não")</f>
        <v>Não</v>
      </c>
    </row>
    <row r="231" customFormat="false" ht="15" hidden="false" customHeight="false" outlineLevel="0" collapsed="false">
      <c r="A231" s="12" t="s">
        <v>1225</v>
      </c>
      <c r="B231" s="12" t="s">
        <v>1226</v>
      </c>
      <c r="C231" s="12" t="s">
        <v>1226</v>
      </c>
      <c r="D231" s="12" t="s">
        <v>251</v>
      </c>
      <c r="E231" s="12" t="s">
        <v>91</v>
      </c>
      <c r="F231" s="12" t="s">
        <v>92</v>
      </c>
      <c r="G231" s="17"/>
      <c r="H231" s="17"/>
      <c r="I231" s="13" t="n">
        <v>758729195</v>
      </c>
      <c r="J231" s="12" t="n">
        <v>5</v>
      </c>
      <c r="K231" s="13" t="n">
        <v>258647</v>
      </c>
      <c r="L231" s="12" t="n">
        <v>7.3</v>
      </c>
      <c r="M231" s="14" t="str">
        <f aca="false">IF(G231="","",PERCENTRANK($G$2:$G$354,G231))</f>
        <v/>
      </c>
      <c r="N231" s="14" t="n">
        <f aca="false">IF(I231="","",PERCENTRANK($I$2:$I$354,I231))</f>
        <v>0.496</v>
      </c>
      <c r="O231" s="14" t="n">
        <f aca="false">IF(K231="","",PERCENTRANK($K$2:$K$354,K231))</f>
        <v>0.264</v>
      </c>
      <c r="P231" s="12" t="n">
        <f aca="false">COUNT(M231:O231)</f>
        <v>2</v>
      </c>
      <c r="Q231" s="12" t="s">
        <v>1227</v>
      </c>
      <c r="W231" s="12" t="n">
        <f aca="false">COUNTA(Q231:V231)</f>
        <v>1</v>
      </c>
      <c r="X231" s="14" t="n">
        <f aca="false">IF(P231=0,"",MIN(1,AVERAGE(M231:O231)+Critérios!$B$5*W231))</f>
        <v>0.41</v>
      </c>
      <c r="Y231" s="12" t="str">
        <f aca="false">IF(X231="","",IF(X231&gt;=Critérios!$B$7,"A",IF(X231&gt;=Critérios!$B$8,"B","C")))</f>
        <v>B</v>
      </c>
      <c r="Z231" s="12" t="n">
        <f aca="false">IF(X231="","",RANK(X231,$X$2:$X$354))</f>
        <v>230</v>
      </c>
      <c r="AA231" s="12" t="str">
        <f aca="false">IF(X231="","Sairia — sem métrica",IF(PERCENTRANK($X$2:$X$354,X231)&lt;Critérios!$B$6,"Sairia — terço inferior","Fica"))</f>
        <v>Fica</v>
      </c>
      <c r="AB231" s="12" t="s">
        <v>94</v>
      </c>
      <c r="AD231" s="15" t="s">
        <v>95</v>
      </c>
      <c r="AE231" s="16"/>
      <c r="AF231" s="12" t="s">
        <v>552</v>
      </c>
      <c r="AG231" s="12" t="s">
        <v>1228</v>
      </c>
      <c r="AH231" s="12" t="n">
        <f aca="false">COUNT(G231,I231,K231)+COUNTA(Q231:V231)</f>
        <v>3</v>
      </c>
      <c r="AI231" s="12" t="str">
        <f aca="false">IF(AH231&gt;=3,"Sim","Não")</f>
        <v>Sim</v>
      </c>
      <c r="AJ231" s="12" t="str">
        <f aca="false">IF(AND(Z231&lt;&gt;"",Z231&lt;=Critérios!$B$9),"Sim","Não")</f>
        <v>Não</v>
      </c>
    </row>
    <row r="232" customFormat="false" ht="15" hidden="false" customHeight="false" outlineLevel="0" collapsed="false">
      <c r="A232" s="12" t="s">
        <v>1229</v>
      </c>
      <c r="B232" s="12" t="s">
        <v>1230</v>
      </c>
      <c r="C232" s="12" t="s">
        <v>1231</v>
      </c>
      <c r="D232" s="12" t="s">
        <v>358</v>
      </c>
      <c r="E232" s="12" t="s">
        <v>91</v>
      </c>
      <c r="F232" s="12" t="s">
        <v>92</v>
      </c>
      <c r="G232" s="13" t="n">
        <v>2425161</v>
      </c>
      <c r="H232" s="13" t="n">
        <v>23423043</v>
      </c>
      <c r="I232" s="13" t="n">
        <v>543113985</v>
      </c>
      <c r="J232" s="12" t="n">
        <v>9</v>
      </c>
      <c r="K232" s="13" t="n">
        <v>642075</v>
      </c>
      <c r="L232" s="12" t="n">
        <v>7.6</v>
      </c>
      <c r="M232" s="14" t="n">
        <f aca="false">IF(G232="","",PERCENTRANK($G$2:$G$354,G232))</f>
        <v>0.314</v>
      </c>
      <c r="N232" s="14" t="n">
        <f aca="false">IF(I232="","",PERCENTRANK($I$2:$I$354,I232))</f>
        <v>0.22</v>
      </c>
      <c r="O232" s="14" t="n">
        <f aca="false">IF(K232="","",PERCENTRANK($K$2:$K$354,K232))</f>
        <v>0.693</v>
      </c>
      <c r="P232" s="12" t="n">
        <f aca="false">COUNT(M232:O232)</f>
        <v>3</v>
      </c>
      <c r="W232" s="12" t="n">
        <f aca="false">COUNTA(Q232:V232)</f>
        <v>0</v>
      </c>
      <c r="X232" s="14" t="n">
        <f aca="false">IF(P232=0,"",MIN(1,AVERAGE(M232:O232)+Critérios!$B$5*W232))</f>
        <v>0.409</v>
      </c>
      <c r="Y232" s="12" t="str">
        <f aca="false">IF(X232="","",IF(X232&gt;=Critérios!$B$7,"A",IF(X232&gt;=Critérios!$B$8,"B","C")))</f>
        <v>B</v>
      </c>
      <c r="Z232" s="12" t="n">
        <f aca="false">IF(X232="","",RANK(X232,$X$2:$X$354))</f>
        <v>231</v>
      </c>
      <c r="AA232" s="12" t="str">
        <f aca="false">IF(X232="","Sairia — sem métrica",IF(PERCENTRANK($X$2:$X$354,X232)&lt;Critérios!$B$6,"Sairia — terço inferior","Fica"))</f>
        <v>Fica</v>
      </c>
      <c r="AB232" s="12" t="s">
        <v>105</v>
      </c>
      <c r="AD232" s="15" t="s">
        <v>95</v>
      </c>
      <c r="AE232" s="16"/>
      <c r="AF232" s="12" t="s">
        <v>359</v>
      </c>
      <c r="AG232" s="12" t="s">
        <v>1232</v>
      </c>
      <c r="AH232" s="12" t="n">
        <f aca="false">COUNT(G232,I232,K232)+COUNTA(Q232:V232)</f>
        <v>3</v>
      </c>
      <c r="AI232" s="12" t="str">
        <f aca="false">IF(AH232&gt;=3,"Sim","Não")</f>
        <v>Sim</v>
      </c>
      <c r="AJ232" s="12" t="str">
        <f aca="false">IF(AND(Z232&lt;&gt;"",Z232&lt;=Critérios!$B$9),"Sim","Não")</f>
        <v>Não</v>
      </c>
    </row>
    <row r="233" customFormat="false" ht="15" hidden="false" customHeight="false" outlineLevel="0" collapsed="false">
      <c r="A233" s="12" t="s">
        <v>1233</v>
      </c>
      <c r="B233" s="12" t="s">
        <v>1234</v>
      </c>
      <c r="C233" s="12" t="s">
        <v>1235</v>
      </c>
      <c r="D233" s="12" t="s">
        <v>175</v>
      </c>
      <c r="E233" s="12" t="s">
        <v>91</v>
      </c>
      <c r="F233" s="12" t="s">
        <v>92</v>
      </c>
      <c r="G233" s="13" t="n">
        <v>4122193</v>
      </c>
      <c r="H233" s="13" t="n">
        <v>84362774</v>
      </c>
      <c r="I233" s="17"/>
      <c r="K233" s="13" t="n">
        <v>180676</v>
      </c>
      <c r="L233" s="12" t="n">
        <v>7.2</v>
      </c>
      <c r="M233" s="14" t="n">
        <f aca="false">IF(G233="","",PERCENTRANK($G$2:$G$354,G233))</f>
        <v>0.592</v>
      </c>
      <c r="N233" s="14" t="str">
        <f aca="false">IF(I233="","",PERCENTRANK($I$2:$I$354,I233))</f>
        <v/>
      </c>
      <c r="O233" s="14" t="n">
        <f aca="false">IF(K233="","",PERCENTRANK($K$2:$K$354,K233))</f>
        <v>0.156</v>
      </c>
      <c r="P233" s="12" t="n">
        <f aca="false">COUNT(M233:O233)</f>
        <v>2</v>
      </c>
      <c r="Q233" s="12" t="s">
        <v>1236</v>
      </c>
      <c r="W233" s="12" t="n">
        <f aca="false">COUNTA(Q233:V233)</f>
        <v>1</v>
      </c>
      <c r="X233" s="14" t="n">
        <f aca="false">IF(P233=0,"",MIN(1,AVERAGE(M233:O233)+Critérios!$B$5*W233))</f>
        <v>0.404</v>
      </c>
      <c r="Y233" s="12" t="str">
        <f aca="false">IF(X233="","",IF(X233&gt;=Critérios!$B$7,"A",IF(X233&gt;=Critérios!$B$8,"B","C")))</f>
        <v>B</v>
      </c>
      <c r="Z233" s="12" t="n">
        <f aca="false">IF(X233="","",RANK(X233,$X$2:$X$354))</f>
        <v>232</v>
      </c>
      <c r="AA233" s="12" t="str">
        <f aca="false">IF(X233="","Sairia — sem métrica",IF(PERCENTRANK($X$2:$X$354,X233)&lt;Critérios!$B$6,"Sairia — terço inferior","Fica"))</f>
        <v>Fica</v>
      </c>
      <c r="AB233" s="12" t="s">
        <v>105</v>
      </c>
      <c r="AC233" s="12" t="s">
        <v>719</v>
      </c>
      <c r="AD233" s="15" t="s">
        <v>95</v>
      </c>
      <c r="AE233" s="16"/>
      <c r="AF233" s="12" t="s">
        <v>1175</v>
      </c>
      <c r="AG233" s="12" t="s">
        <v>1237</v>
      </c>
      <c r="AH233" s="12" t="n">
        <f aca="false">COUNT(G233,I233,K233)+COUNTA(Q233:V233)</f>
        <v>3</v>
      </c>
      <c r="AI233" s="12" t="str">
        <f aca="false">IF(AH233&gt;=3,"Sim","Não")</f>
        <v>Sim</v>
      </c>
      <c r="AJ233" s="12" t="str">
        <f aca="false">IF(AND(Z233&lt;&gt;"",Z233&lt;=Critérios!$B$9),"Sim","Não")</f>
        <v>Não</v>
      </c>
    </row>
    <row r="234" customFormat="false" ht="15" hidden="false" customHeight="false" outlineLevel="0" collapsed="false">
      <c r="A234" s="12" t="s">
        <v>1238</v>
      </c>
      <c r="B234" s="12" t="s">
        <v>1239</v>
      </c>
      <c r="C234" s="12" t="s">
        <v>1240</v>
      </c>
      <c r="D234" s="12" t="s">
        <v>101</v>
      </c>
      <c r="E234" s="12" t="s">
        <v>91</v>
      </c>
      <c r="F234" s="12" t="s">
        <v>92</v>
      </c>
      <c r="G234" s="13" t="n">
        <v>3945410</v>
      </c>
      <c r="H234" s="13" t="n">
        <v>65526487</v>
      </c>
      <c r="I234" s="13" t="n">
        <v>506863592</v>
      </c>
      <c r="J234" s="12" t="n">
        <v>7</v>
      </c>
      <c r="K234" s="13" t="n">
        <v>312746</v>
      </c>
      <c r="L234" s="12" t="n">
        <v>5.9</v>
      </c>
      <c r="M234" s="14" t="n">
        <f aca="false">IF(G234="","",PERCENTRANK($G$2:$G$354,G234))</f>
        <v>0.565</v>
      </c>
      <c r="N234" s="14" t="n">
        <f aca="false">IF(I234="","",PERCENTRANK($I$2:$I$354,I234))</f>
        <v>0.182</v>
      </c>
      <c r="O234" s="14" t="n">
        <f aca="false">IF(K234="","",PERCENTRANK($K$2:$K$354,K234))</f>
        <v>0.366</v>
      </c>
      <c r="P234" s="12" t="n">
        <f aca="false">COUNT(M234:O234)</f>
        <v>3</v>
      </c>
      <c r="Q234" s="12" t="s">
        <v>1241</v>
      </c>
      <c r="W234" s="12" t="n">
        <f aca="false">COUNTA(Q234:V234)</f>
        <v>1</v>
      </c>
      <c r="X234" s="14" t="n">
        <f aca="false">IF(P234=0,"",MIN(1,AVERAGE(M234:O234)+Critérios!$B$5*W234))</f>
        <v>0.401</v>
      </c>
      <c r="Y234" s="12" t="str">
        <f aca="false">IF(X234="","",IF(X234&gt;=Critérios!$B$7,"A",IF(X234&gt;=Critérios!$B$8,"B","C")))</f>
        <v>B</v>
      </c>
      <c r="Z234" s="12" t="n">
        <f aca="false">IF(X234="","",RANK(X234,$X$2:$X$354))</f>
        <v>233</v>
      </c>
      <c r="AA234" s="12" t="str">
        <f aca="false">IF(X234="","Sairia — sem métrica",IF(PERCENTRANK($X$2:$X$354,X234)&lt;Critérios!$B$6,"Sairia — terço inferior","Fica"))</f>
        <v>Fica</v>
      </c>
      <c r="AB234" s="12" t="s">
        <v>105</v>
      </c>
      <c r="AD234" s="15" t="s">
        <v>95</v>
      </c>
      <c r="AE234" s="16"/>
      <c r="AF234" s="12" t="s">
        <v>1203</v>
      </c>
      <c r="AG234" s="12" t="s">
        <v>1242</v>
      </c>
      <c r="AH234" s="12" t="n">
        <f aca="false">COUNT(G234,I234,K234)+COUNTA(Q234:V234)</f>
        <v>4</v>
      </c>
      <c r="AI234" s="12" t="str">
        <f aca="false">IF(AH234&gt;=3,"Sim","Não")</f>
        <v>Sim</v>
      </c>
      <c r="AJ234" s="12" t="str">
        <f aca="false">IF(AND(Z234&lt;&gt;"",Z234&lt;=Critérios!$B$9),"Sim","Não")</f>
        <v>Não</v>
      </c>
    </row>
    <row r="235" customFormat="false" ht="15" hidden="false" customHeight="false" outlineLevel="0" collapsed="false">
      <c r="A235" s="12" t="s">
        <v>1243</v>
      </c>
      <c r="B235" s="12" t="s">
        <v>1244</v>
      </c>
      <c r="C235" s="12" t="s">
        <v>1245</v>
      </c>
      <c r="D235" s="12" t="s">
        <v>118</v>
      </c>
      <c r="E235" s="12" t="s">
        <v>91</v>
      </c>
      <c r="F235" s="12" t="s">
        <v>292</v>
      </c>
      <c r="G235" s="17"/>
      <c r="H235" s="17"/>
      <c r="I235" s="17"/>
      <c r="K235" s="13" t="n">
        <v>279722</v>
      </c>
      <c r="L235" s="12" t="n">
        <v>6.5</v>
      </c>
      <c r="M235" s="14" t="str">
        <f aca="false">IF(G235="","",PERCENTRANK($G$2:$G$354,G235))</f>
        <v/>
      </c>
      <c r="N235" s="14" t="str">
        <f aca="false">IF(I235="","",PERCENTRANK($I$2:$I$354,I235))</f>
        <v/>
      </c>
      <c r="O235" s="14" t="n">
        <f aca="false">IF(K235="","",PERCENTRANK($K$2:$K$354,K235))</f>
        <v>0.31</v>
      </c>
      <c r="P235" s="12" t="n">
        <f aca="false">COUNT(M235:O235)</f>
        <v>1</v>
      </c>
      <c r="Q235" s="12" t="s">
        <v>1246</v>
      </c>
      <c r="S235" s="12" t="s">
        <v>1247</v>
      </c>
      <c r="T235" s="12" t="s">
        <v>1248</v>
      </c>
      <c r="W235" s="12" t="n">
        <f aca="false">COUNTA(Q235:V235)</f>
        <v>3</v>
      </c>
      <c r="X235" s="14" t="n">
        <f aca="false">IF(P235=0,"",MIN(1,AVERAGE(M235:O235)+Critérios!$B$5*W235))</f>
        <v>0.4</v>
      </c>
      <c r="Y235" s="12" t="str">
        <f aca="false">IF(X235="","",IF(X235&gt;=Critérios!$B$7,"A",IF(X235&gt;=Critérios!$B$8,"B","C")))</f>
        <v>B</v>
      </c>
      <c r="Z235" s="12" t="n">
        <f aca="false">IF(X235="","",RANK(X235,$X$2:$X$354))</f>
        <v>234</v>
      </c>
      <c r="AA235" s="12" t="str">
        <f aca="false">IF(X235="","Sairia — sem métrica",IF(PERCENTRANK($X$2:$X$354,X235)&lt;Critérios!$B$6,"Sairia — terço inferior","Fica"))</f>
        <v>Fica</v>
      </c>
      <c r="AB235" s="12" t="s">
        <v>105</v>
      </c>
      <c r="AD235" s="15" t="s">
        <v>95</v>
      </c>
      <c r="AE235" s="16"/>
      <c r="AG235" s="12" t="s">
        <v>1249</v>
      </c>
      <c r="AH235" s="12" t="n">
        <f aca="false">COUNT(G235,I235,K235)+COUNTA(Q235:V235)</f>
        <v>4</v>
      </c>
      <c r="AI235" s="12" t="str">
        <f aca="false">IF(AH235&gt;=3,"Sim","Não")</f>
        <v>Sim</v>
      </c>
      <c r="AJ235" s="12" t="str">
        <f aca="false">IF(AND(Z235&lt;&gt;"",Z235&lt;=Critérios!$B$9),"Sim","Não")</f>
        <v>Não</v>
      </c>
    </row>
    <row r="236" customFormat="false" ht="15" hidden="false" customHeight="false" outlineLevel="0" collapsed="false">
      <c r="A236" s="12" t="s">
        <v>1250</v>
      </c>
      <c r="B236" s="12" t="s">
        <v>1251</v>
      </c>
      <c r="C236" s="12" t="s">
        <v>1251</v>
      </c>
      <c r="D236" s="12" t="s">
        <v>396</v>
      </c>
      <c r="E236" s="12" t="s">
        <v>91</v>
      </c>
      <c r="F236" s="12" t="s">
        <v>92</v>
      </c>
      <c r="G236" s="13" t="n">
        <v>2058320</v>
      </c>
      <c r="H236" s="13" t="n">
        <v>10737015</v>
      </c>
      <c r="I236" s="13" t="n">
        <v>484944448</v>
      </c>
      <c r="J236" s="12" t="n">
        <v>4</v>
      </c>
      <c r="K236" s="13" t="n">
        <v>823711</v>
      </c>
      <c r="L236" s="12" t="n">
        <v>7.9</v>
      </c>
      <c r="M236" s="14" t="n">
        <f aca="false">IF(G236="","",PERCENTRANK($G$2:$G$354,G236))</f>
        <v>0.235</v>
      </c>
      <c r="N236" s="14" t="n">
        <f aca="false">IF(I236="","",PERCENTRANK($I$2:$I$354,I236))</f>
        <v>0.157</v>
      </c>
      <c r="O236" s="14" t="n">
        <f aca="false">IF(K236="","",PERCENTRANK($K$2:$K$354,K236))</f>
        <v>0.807</v>
      </c>
      <c r="P236" s="12" t="n">
        <f aca="false">COUNT(M236:O236)</f>
        <v>3</v>
      </c>
      <c r="W236" s="12" t="n">
        <f aca="false">COUNTA(Q236:V236)</f>
        <v>0</v>
      </c>
      <c r="X236" s="14" t="n">
        <f aca="false">IF(P236=0,"",MIN(1,AVERAGE(M236:O236)+Critérios!$B$5*W236))</f>
        <v>0.399666666666667</v>
      </c>
      <c r="Y236" s="12" t="str">
        <f aca="false">IF(X236="","",IF(X236&gt;=Critérios!$B$7,"A",IF(X236&gt;=Critérios!$B$8,"B","C")))</f>
        <v>C</v>
      </c>
      <c r="Z236" s="12" t="n">
        <f aca="false">IF(X236="","",RANK(X236,$X$2:$X$354))</f>
        <v>235</v>
      </c>
      <c r="AA236" s="12" t="str">
        <f aca="false">IF(X236="","Sairia — sem métrica",IF(PERCENTRANK($X$2:$X$354,X236)&lt;Critérios!$B$6,"Sairia — terço inferior","Fica"))</f>
        <v>Fica</v>
      </c>
      <c r="AB236" s="12" t="s">
        <v>105</v>
      </c>
      <c r="AD236" s="15" t="s">
        <v>95</v>
      </c>
      <c r="AE236" s="16"/>
      <c r="AF236" s="12" t="s">
        <v>397</v>
      </c>
      <c r="AG236" s="12" t="s">
        <v>1252</v>
      </c>
      <c r="AH236" s="12" t="n">
        <f aca="false">COUNT(G236,I236,K236)+COUNTA(Q236:V236)</f>
        <v>3</v>
      </c>
      <c r="AI236" s="12" t="str">
        <f aca="false">IF(AH236&gt;=3,"Sim","Não")</f>
        <v>Sim</v>
      </c>
      <c r="AJ236" s="12" t="str">
        <f aca="false">IF(AND(Z236&lt;&gt;"",Z236&lt;=Critérios!$B$9),"Sim","Não")</f>
        <v>Não</v>
      </c>
    </row>
    <row r="237" customFormat="false" ht="15" hidden="false" customHeight="false" outlineLevel="0" collapsed="false">
      <c r="A237" s="12" t="s">
        <v>1253</v>
      </c>
      <c r="B237" s="12" t="s">
        <v>1254</v>
      </c>
      <c r="C237" s="12" t="s">
        <v>1255</v>
      </c>
      <c r="D237" s="12" t="s">
        <v>500</v>
      </c>
      <c r="E237" s="12" t="s">
        <v>91</v>
      </c>
      <c r="F237" s="12" t="s">
        <v>92</v>
      </c>
      <c r="G237" s="13" t="n">
        <v>1725563</v>
      </c>
      <c r="H237" s="13" t="n">
        <v>14336579</v>
      </c>
      <c r="I237" s="13" t="n">
        <v>606099584</v>
      </c>
      <c r="J237" s="12" t="n">
        <v>4</v>
      </c>
      <c r="K237" s="13" t="n">
        <v>756289</v>
      </c>
      <c r="L237" s="12" t="n">
        <v>8</v>
      </c>
      <c r="M237" s="14" t="n">
        <f aca="false">IF(G237="","",PERCENTRANK($G$2:$G$354,G237))</f>
        <v>0.154</v>
      </c>
      <c r="N237" s="14" t="n">
        <f aca="false">IF(I237="","",PERCENTRANK($I$2:$I$354,I237))</f>
        <v>0.284</v>
      </c>
      <c r="O237" s="14" t="n">
        <f aca="false">IF(K237="","",PERCENTRANK($K$2:$K$354,K237))</f>
        <v>0.759</v>
      </c>
      <c r="P237" s="12" t="n">
        <f aca="false">COUNT(M237:O237)</f>
        <v>3</v>
      </c>
      <c r="W237" s="12" t="n">
        <f aca="false">COUNTA(Q237:V237)</f>
        <v>0</v>
      </c>
      <c r="X237" s="14" t="n">
        <f aca="false">IF(P237=0,"",MIN(1,AVERAGE(M237:O237)+Critérios!$B$5*W237))</f>
        <v>0.399</v>
      </c>
      <c r="Y237" s="12" t="str">
        <f aca="false">IF(X237="","",IF(X237&gt;=Critérios!$B$7,"A",IF(X237&gt;=Critérios!$B$8,"B","C")))</f>
        <v>C</v>
      </c>
      <c r="Z237" s="12" t="n">
        <f aca="false">IF(X237="","",RANK(X237,$X$2:$X$354))</f>
        <v>236</v>
      </c>
      <c r="AA237" s="12" t="str">
        <f aca="false">IF(X237="","Sairia — sem métrica",IF(PERCENTRANK($X$2:$X$354,X237)&lt;Critérios!$B$6,"Sairia — terço inferior","Fica"))</f>
        <v>Sairia — terço inferior</v>
      </c>
      <c r="AB237" s="12" t="s">
        <v>105</v>
      </c>
      <c r="AD237" s="15" t="s">
        <v>95</v>
      </c>
      <c r="AE237" s="16"/>
      <c r="AF237" s="12" t="s">
        <v>501</v>
      </c>
      <c r="AG237" s="12" t="s">
        <v>1256</v>
      </c>
      <c r="AH237" s="12" t="n">
        <f aca="false">COUNT(G237,I237,K237)+COUNTA(Q237:V237)</f>
        <v>3</v>
      </c>
      <c r="AI237" s="12" t="str">
        <f aca="false">IF(AH237&gt;=3,"Sim","Não")</f>
        <v>Sim</v>
      </c>
      <c r="AJ237" s="12" t="str">
        <f aca="false">IF(AND(Z237&lt;&gt;"",Z237&lt;=Critérios!$B$9),"Sim","Não")</f>
        <v>Não</v>
      </c>
    </row>
    <row r="238" customFormat="false" ht="15" hidden="false" customHeight="false" outlineLevel="0" collapsed="false">
      <c r="A238" s="12" t="s">
        <v>1257</v>
      </c>
      <c r="B238" s="12" t="s">
        <v>1258</v>
      </c>
      <c r="C238" s="12" t="s">
        <v>1259</v>
      </c>
      <c r="D238" s="12" t="s">
        <v>500</v>
      </c>
      <c r="E238" s="12" t="s">
        <v>91</v>
      </c>
      <c r="F238" s="12" t="s">
        <v>92</v>
      </c>
      <c r="G238" s="13" t="n">
        <v>2833924</v>
      </c>
      <c r="H238" s="13" t="n">
        <v>19072790</v>
      </c>
      <c r="I238" s="13" t="n">
        <v>480634249</v>
      </c>
      <c r="J238" s="12" t="n">
        <v>6</v>
      </c>
      <c r="K238" s="13" t="n">
        <v>551725</v>
      </c>
      <c r="L238" s="12" t="n">
        <v>7.3</v>
      </c>
      <c r="M238" s="14" t="n">
        <f aca="false">IF(G238="","",PERCENTRANK($G$2:$G$354,G238))</f>
        <v>0.415</v>
      </c>
      <c r="N238" s="14" t="n">
        <f aca="false">IF(I238="","",PERCENTRANK($I$2:$I$354,I238))</f>
        <v>0.148</v>
      </c>
      <c r="O238" s="14" t="n">
        <f aca="false">IF(K238="","",PERCENTRANK($K$2:$K$354,K238))</f>
        <v>0.625</v>
      </c>
      <c r="P238" s="12" t="n">
        <f aca="false">COUNT(M238:O238)</f>
        <v>3</v>
      </c>
      <c r="W238" s="12" t="n">
        <f aca="false">COUNTA(Q238:V238)</f>
        <v>0</v>
      </c>
      <c r="X238" s="14" t="n">
        <f aca="false">IF(P238=0,"",MIN(1,AVERAGE(M238:O238)+Critérios!$B$5*W238))</f>
        <v>0.396</v>
      </c>
      <c r="Y238" s="12" t="str">
        <f aca="false">IF(X238="","",IF(X238&gt;=Critérios!$B$7,"A",IF(X238&gt;=Critérios!$B$8,"B","C")))</f>
        <v>C</v>
      </c>
      <c r="Z238" s="12" t="n">
        <f aca="false">IF(X238="","",RANK(X238,$X$2:$X$354))</f>
        <v>237</v>
      </c>
      <c r="AA238" s="12" t="str">
        <f aca="false">IF(X238="","Sairia — sem métrica",IF(PERCENTRANK($X$2:$X$354,X238)&lt;Critérios!$B$6,"Sairia — terço inferior","Fica"))</f>
        <v>Sairia — terço inferior</v>
      </c>
      <c r="AB238" s="12" t="s">
        <v>105</v>
      </c>
      <c r="AD238" s="15" t="s">
        <v>95</v>
      </c>
      <c r="AE238" s="16"/>
      <c r="AF238" s="12" t="s">
        <v>501</v>
      </c>
      <c r="AG238" s="12" t="s">
        <v>1260</v>
      </c>
      <c r="AH238" s="12" t="n">
        <f aca="false">COUNT(G238,I238,K238)+COUNTA(Q238:V238)</f>
        <v>3</v>
      </c>
      <c r="AI238" s="12" t="str">
        <f aca="false">IF(AH238&gt;=3,"Sim","Não")</f>
        <v>Sim</v>
      </c>
      <c r="AJ238" s="12" t="str">
        <f aca="false">IF(AND(Z238&lt;&gt;"",Z238&lt;=Critérios!$B$9),"Sim","Não")</f>
        <v>Não</v>
      </c>
    </row>
    <row r="239" customFormat="false" ht="15" hidden="false" customHeight="false" outlineLevel="0" collapsed="false">
      <c r="A239" s="12" t="s">
        <v>1261</v>
      </c>
      <c r="B239" s="12" t="s">
        <v>1262</v>
      </c>
      <c r="C239" s="12" t="s">
        <v>1263</v>
      </c>
      <c r="D239" s="12" t="s">
        <v>286</v>
      </c>
      <c r="E239" s="12" t="s">
        <v>91</v>
      </c>
      <c r="F239" s="12" t="s">
        <v>92</v>
      </c>
      <c r="G239" s="13" t="n">
        <v>2927174</v>
      </c>
      <c r="H239" s="13" t="n">
        <v>18148165</v>
      </c>
      <c r="I239" s="13" t="n">
        <v>427343298</v>
      </c>
      <c r="J239" s="12" t="n">
        <v>8</v>
      </c>
      <c r="K239" s="13" t="n">
        <v>581290</v>
      </c>
      <c r="L239" s="12" t="n">
        <v>6.8</v>
      </c>
      <c r="M239" s="14" t="n">
        <f aca="false">IF(G239="","",PERCENTRANK($G$2:$G$354,G239))</f>
        <v>0.438</v>
      </c>
      <c r="N239" s="14" t="n">
        <f aca="false">IF(I239="","",PERCENTRANK($I$2:$I$354,I239))</f>
        <v>0.089</v>
      </c>
      <c r="O239" s="14" t="n">
        <f aca="false">IF(K239="","",PERCENTRANK($K$2:$K$354,K239))</f>
        <v>0.659</v>
      </c>
      <c r="P239" s="12" t="n">
        <f aca="false">COUNT(M239:O239)</f>
        <v>3</v>
      </c>
      <c r="W239" s="12" t="n">
        <f aca="false">COUNTA(Q239:V239)</f>
        <v>0</v>
      </c>
      <c r="X239" s="14" t="n">
        <f aca="false">IF(P239=0,"",MIN(1,AVERAGE(M239:O239)+Critérios!$B$5*W239))</f>
        <v>0.395333333333333</v>
      </c>
      <c r="Y239" s="12" t="str">
        <f aca="false">IF(X239="","",IF(X239&gt;=Critérios!$B$7,"A",IF(X239&gt;=Critérios!$B$8,"B","C")))</f>
        <v>C</v>
      </c>
      <c r="Z239" s="12" t="n">
        <f aca="false">IF(X239="","",RANK(X239,$X$2:$X$354))</f>
        <v>238</v>
      </c>
      <c r="AA239" s="12" t="str">
        <f aca="false">IF(X239="","Sairia — sem métrica",IF(PERCENTRANK($X$2:$X$354,X239)&lt;Critérios!$B$6,"Sairia — terço inferior","Fica"))</f>
        <v>Sairia — terço inferior</v>
      </c>
      <c r="AB239" s="12" t="s">
        <v>105</v>
      </c>
      <c r="AD239" s="15" t="s">
        <v>95</v>
      </c>
      <c r="AE239" s="16"/>
      <c r="AF239" s="12" t="s">
        <v>287</v>
      </c>
      <c r="AG239" s="12" t="s">
        <v>1264</v>
      </c>
      <c r="AH239" s="12" t="n">
        <f aca="false">COUNT(G239,I239,K239)+COUNTA(Q239:V239)</f>
        <v>3</v>
      </c>
      <c r="AI239" s="12" t="str">
        <f aca="false">IF(AH239&gt;=3,"Sim","Não")</f>
        <v>Sim</v>
      </c>
      <c r="AJ239" s="12" t="str">
        <f aca="false">IF(AND(Z239&lt;&gt;"",Z239&lt;=Critérios!$B$9),"Sim","Não")</f>
        <v>Não</v>
      </c>
    </row>
    <row r="240" customFormat="false" ht="15" hidden="false" customHeight="false" outlineLevel="0" collapsed="false">
      <c r="A240" s="12" t="s">
        <v>1265</v>
      </c>
      <c r="B240" s="12" t="s">
        <v>1266</v>
      </c>
      <c r="C240" s="12" t="s">
        <v>1267</v>
      </c>
      <c r="D240" s="12" t="s">
        <v>140</v>
      </c>
      <c r="E240" s="12" t="s">
        <v>91</v>
      </c>
      <c r="F240" s="12" t="s">
        <v>92</v>
      </c>
      <c r="G240" s="13" t="n">
        <v>2649531</v>
      </c>
      <c r="H240" s="13" t="n">
        <v>31344359</v>
      </c>
      <c r="I240" s="13" t="n">
        <v>654213485</v>
      </c>
      <c r="J240" s="12" t="n">
        <v>10</v>
      </c>
      <c r="K240" s="13" t="n">
        <v>416762</v>
      </c>
      <c r="L240" s="12" t="n">
        <v>6.8</v>
      </c>
      <c r="M240" s="14" t="n">
        <f aca="false">IF(G240="","",PERCENTRANK($G$2:$G$354,G240))</f>
        <v>0.366</v>
      </c>
      <c r="N240" s="14" t="n">
        <f aca="false">IF(I240="","",PERCENTRANK($I$2:$I$354,I240))</f>
        <v>0.352</v>
      </c>
      <c r="O240" s="14" t="n">
        <f aca="false">IF(K240="","",PERCENTRANK($K$2:$K$354,K240))</f>
        <v>0.466</v>
      </c>
      <c r="P240" s="12" t="n">
        <f aca="false">COUNT(M240:O240)</f>
        <v>3</v>
      </c>
      <c r="W240" s="12" t="n">
        <f aca="false">COUNTA(Q240:V240)</f>
        <v>0</v>
      </c>
      <c r="X240" s="14" t="n">
        <f aca="false">IF(P240=0,"",MIN(1,AVERAGE(M240:O240)+Critérios!$B$5*W240))</f>
        <v>0.394666666666667</v>
      </c>
      <c r="Y240" s="12" t="str">
        <f aca="false">IF(X240="","",IF(X240&gt;=Critérios!$B$7,"A",IF(X240&gt;=Critérios!$B$8,"B","C")))</f>
        <v>C</v>
      </c>
      <c r="Z240" s="12" t="n">
        <f aca="false">IF(X240="","",RANK(X240,$X$2:$X$354))</f>
        <v>239</v>
      </c>
      <c r="AA240" s="12" t="str">
        <f aca="false">IF(X240="","Sairia — sem métrica",IF(PERCENTRANK($X$2:$X$354,X240)&lt;Critérios!$B$6,"Sairia — terço inferior","Fica"))</f>
        <v>Sairia — terço inferior</v>
      </c>
      <c r="AB240" s="12" t="s">
        <v>94</v>
      </c>
      <c r="AD240" s="15" t="s">
        <v>95</v>
      </c>
      <c r="AE240" s="16"/>
      <c r="AF240" s="12" t="s">
        <v>242</v>
      </c>
      <c r="AG240" s="12" t="s">
        <v>1268</v>
      </c>
      <c r="AH240" s="12" t="n">
        <f aca="false">COUNT(G240,I240,K240)+COUNTA(Q240:V240)</f>
        <v>3</v>
      </c>
      <c r="AI240" s="12" t="str">
        <f aca="false">IF(AH240&gt;=3,"Sim","Não")</f>
        <v>Sim</v>
      </c>
      <c r="AJ240" s="12" t="str">
        <f aca="false">IF(AND(Z240&lt;&gt;"",Z240&lt;=Critérios!$B$9),"Sim","Não")</f>
        <v>Não</v>
      </c>
    </row>
    <row r="241" customFormat="false" ht="15" hidden="false" customHeight="false" outlineLevel="0" collapsed="false">
      <c r="A241" s="12" t="s">
        <v>1269</v>
      </c>
      <c r="B241" s="12" t="s">
        <v>1270</v>
      </c>
      <c r="C241" s="12" t="s">
        <v>1271</v>
      </c>
      <c r="D241" s="12" t="s">
        <v>500</v>
      </c>
      <c r="E241" s="12" t="s">
        <v>91</v>
      </c>
      <c r="F241" s="12" t="s">
        <v>92</v>
      </c>
      <c r="G241" s="13" t="n">
        <v>3030300</v>
      </c>
      <c r="H241" s="13" t="n">
        <v>22904000</v>
      </c>
      <c r="I241" s="13" t="n">
        <v>574480841</v>
      </c>
      <c r="J241" s="12" t="n">
        <v>5</v>
      </c>
      <c r="K241" s="13" t="n">
        <v>417664</v>
      </c>
      <c r="L241" s="12" t="n">
        <v>6.5</v>
      </c>
      <c r="M241" s="14" t="n">
        <f aca="false">IF(G241="","",PERCENTRANK($G$2:$G$354,G241))</f>
        <v>0.458</v>
      </c>
      <c r="N241" s="14" t="n">
        <f aca="false">IF(I241="","",PERCENTRANK($I$2:$I$354,I241))</f>
        <v>0.25</v>
      </c>
      <c r="O241" s="14" t="n">
        <f aca="false">IF(K241="","",PERCENTRANK($K$2:$K$354,K241))</f>
        <v>0.469</v>
      </c>
      <c r="P241" s="12" t="n">
        <f aca="false">COUNT(M241:O241)</f>
        <v>3</v>
      </c>
      <c r="W241" s="12" t="n">
        <f aca="false">COUNTA(Q241:V241)</f>
        <v>0</v>
      </c>
      <c r="X241" s="14" t="n">
        <f aca="false">IF(P241=0,"",MIN(1,AVERAGE(M241:O241)+Critérios!$B$5*W241))</f>
        <v>0.392333333333333</v>
      </c>
      <c r="Y241" s="12" t="str">
        <f aca="false">IF(X241="","",IF(X241&gt;=Critérios!$B$7,"A",IF(X241&gt;=Critérios!$B$8,"B","C")))</f>
        <v>C</v>
      </c>
      <c r="Z241" s="12" t="n">
        <f aca="false">IF(X241="","",RANK(X241,$X$2:$X$354))</f>
        <v>240</v>
      </c>
      <c r="AA241" s="12" t="str">
        <f aca="false">IF(X241="","Sairia — sem métrica",IF(PERCENTRANK($X$2:$X$354,X241)&lt;Critérios!$B$6,"Sairia — terço inferior","Fica"))</f>
        <v>Sairia — terço inferior</v>
      </c>
      <c r="AB241" s="12" t="s">
        <v>105</v>
      </c>
      <c r="AD241" s="15" t="s">
        <v>95</v>
      </c>
      <c r="AE241" s="16"/>
      <c r="AF241" s="12" t="s">
        <v>1272</v>
      </c>
      <c r="AG241" s="12" t="s">
        <v>1273</v>
      </c>
      <c r="AH241" s="12" t="n">
        <f aca="false">COUNT(G241,I241,K241)+COUNTA(Q241:V241)</f>
        <v>3</v>
      </c>
      <c r="AI241" s="12" t="str">
        <f aca="false">IF(AH241&gt;=3,"Sim","Não")</f>
        <v>Sim</v>
      </c>
      <c r="AJ241" s="12" t="str">
        <f aca="false">IF(AND(Z241&lt;&gt;"",Z241&lt;=Critérios!$B$9),"Sim","Não")</f>
        <v>Não</v>
      </c>
    </row>
    <row r="242" customFormat="false" ht="15" hidden="false" customHeight="false" outlineLevel="0" collapsed="false">
      <c r="A242" s="12" t="s">
        <v>1274</v>
      </c>
      <c r="B242" s="12" t="s">
        <v>1275</v>
      </c>
      <c r="C242" s="12" t="s">
        <v>1276</v>
      </c>
      <c r="D242" s="12" t="s">
        <v>101</v>
      </c>
      <c r="E242" s="12" t="s">
        <v>91</v>
      </c>
      <c r="F242" s="12" t="s">
        <v>92</v>
      </c>
      <c r="G242" s="13" t="n">
        <v>3985719</v>
      </c>
      <c r="H242" s="13" t="n">
        <v>67678537</v>
      </c>
      <c r="I242" s="13" t="n">
        <v>726229501</v>
      </c>
      <c r="J242" s="12" t="n">
        <v>5</v>
      </c>
      <c r="K242" s="13" t="n">
        <v>184819</v>
      </c>
      <c r="L242" s="12" t="n">
        <v>5.2</v>
      </c>
      <c r="M242" s="14" t="n">
        <f aca="false">IF(G242="","",PERCENTRANK($G$2:$G$354,G242))</f>
        <v>0.569</v>
      </c>
      <c r="N242" s="14" t="n">
        <f aca="false">IF(I242="","",PERCENTRANK($I$2:$I$354,I242))</f>
        <v>0.445</v>
      </c>
      <c r="O242" s="14" t="n">
        <f aca="false">IF(K242="","",PERCENTRANK($K$2:$K$354,K242))</f>
        <v>0.162</v>
      </c>
      <c r="P242" s="12" t="n">
        <f aca="false">COUNT(M242:O242)</f>
        <v>3</v>
      </c>
      <c r="W242" s="12" t="n">
        <f aca="false">COUNTA(Q242:V242)</f>
        <v>0</v>
      </c>
      <c r="X242" s="14" t="n">
        <f aca="false">IF(P242=0,"",MIN(1,AVERAGE(M242:O242)+Critérios!$B$5*W242))</f>
        <v>0.392</v>
      </c>
      <c r="Y242" s="12" t="str">
        <f aca="false">IF(X242="","",IF(X242&gt;=Critérios!$B$7,"A",IF(X242&gt;=Critérios!$B$8,"B","C")))</f>
        <v>C</v>
      </c>
      <c r="Z242" s="12" t="n">
        <f aca="false">IF(X242="","",RANK(X242,$X$2:$X$354))</f>
        <v>241</v>
      </c>
      <c r="AA242" s="12" t="str">
        <f aca="false">IF(X242="","Sairia — sem métrica",IF(PERCENTRANK($X$2:$X$354,X242)&lt;Critérios!$B$6,"Sairia — terço inferior","Fica"))</f>
        <v>Sairia — terço inferior</v>
      </c>
      <c r="AB242" s="12" t="s">
        <v>94</v>
      </c>
      <c r="AD242" s="15" t="s">
        <v>95</v>
      </c>
      <c r="AE242" s="16"/>
      <c r="AF242" s="12" t="s">
        <v>1203</v>
      </c>
      <c r="AG242" s="12" t="s">
        <v>1277</v>
      </c>
      <c r="AH242" s="12" t="n">
        <f aca="false">COUNT(G242,I242,K242)+COUNTA(Q242:V242)</f>
        <v>3</v>
      </c>
      <c r="AI242" s="12" t="str">
        <f aca="false">IF(AH242&gt;=3,"Sim","Não")</f>
        <v>Sim</v>
      </c>
      <c r="AJ242" s="12" t="str">
        <f aca="false">IF(AND(Z242&lt;&gt;"",Z242&lt;=Critérios!$B$9),"Sim","Não")</f>
        <v>Não</v>
      </c>
    </row>
    <row r="243" customFormat="false" ht="15" hidden="false" customHeight="false" outlineLevel="0" collapsed="false">
      <c r="A243" s="12" t="s">
        <v>1278</v>
      </c>
      <c r="B243" s="12" t="s">
        <v>1279</v>
      </c>
      <c r="C243" s="12" t="s">
        <v>1280</v>
      </c>
      <c r="D243" s="12" t="s">
        <v>90</v>
      </c>
      <c r="E243" s="12" t="s">
        <v>91</v>
      </c>
      <c r="F243" s="12" t="s">
        <v>92</v>
      </c>
      <c r="G243" s="13" t="n">
        <v>3940204</v>
      </c>
      <c r="H243" s="13" t="n">
        <v>58484475</v>
      </c>
      <c r="I243" s="17"/>
      <c r="K243" s="13" t="n">
        <v>183941</v>
      </c>
      <c r="L243" s="12" t="n">
        <v>7.4</v>
      </c>
      <c r="M243" s="14" t="n">
        <f aca="false">IF(G243="","",PERCENTRANK($G$2:$G$354,G243))</f>
        <v>0.559</v>
      </c>
      <c r="N243" s="14" t="str">
        <f aca="false">IF(I243="","",PERCENTRANK($I$2:$I$354,I243))</f>
        <v/>
      </c>
      <c r="O243" s="14" t="n">
        <f aca="false">IF(K243="","",PERCENTRANK($K$2:$K$354,K243))</f>
        <v>0.159</v>
      </c>
      <c r="P243" s="12" t="n">
        <f aca="false">COUNT(M243:O243)</f>
        <v>2</v>
      </c>
      <c r="Q243" s="12" t="s">
        <v>1281</v>
      </c>
      <c r="W243" s="12" t="n">
        <f aca="false">COUNTA(Q243:V243)</f>
        <v>1</v>
      </c>
      <c r="X243" s="14" t="n">
        <f aca="false">IF(P243=0,"",MIN(1,AVERAGE(M243:O243)+Critérios!$B$5*W243))</f>
        <v>0.389</v>
      </c>
      <c r="Y243" s="12" t="str">
        <f aca="false">IF(X243="","",IF(X243&gt;=Critérios!$B$7,"A",IF(X243&gt;=Critérios!$B$8,"B","C")))</f>
        <v>C</v>
      </c>
      <c r="Z243" s="12" t="n">
        <f aca="false">IF(X243="","",RANK(X243,$X$2:$X$354))</f>
        <v>242</v>
      </c>
      <c r="AA243" s="12" t="str">
        <f aca="false">IF(X243="","Sairia — sem métrica",IF(PERCENTRANK($X$2:$X$354,X243)&lt;Critérios!$B$6,"Sairia — terço inferior","Fica"))</f>
        <v>Sairia — terço inferior</v>
      </c>
      <c r="AB243" s="12" t="s">
        <v>105</v>
      </c>
      <c r="AD243" s="15" t="s">
        <v>95</v>
      </c>
      <c r="AE243" s="16"/>
      <c r="AF243" s="12" t="s">
        <v>1027</v>
      </c>
      <c r="AG243" s="12" t="s">
        <v>1282</v>
      </c>
      <c r="AH243" s="12" t="n">
        <f aca="false">COUNT(G243,I243,K243)+COUNTA(Q243:V243)</f>
        <v>3</v>
      </c>
      <c r="AI243" s="12" t="str">
        <f aca="false">IF(AH243&gt;=3,"Sim","Não")</f>
        <v>Sim</v>
      </c>
      <c r="AJ243" s="12" t="str">
        <f aca="false">IF(AND(Z243&lt;&gt;"",Z243&lt;=Critérios!$B$9),"Sim","Não")</f>
        <v>Não</v>
      </c>
    </row>
    <row r="244" customFormat="false" ht="15" hidden="false" customHeight="false" outlineLevel="0" collapsed="false">
      <c r="A244" s="12" t="s">
        <v>1283</v>
      </c>
      <c r="B244" s="12" t="s">
        <v>1284</v>
      </c>
      <c r="C244" s="12" t="s">
        <v>1285</v>
      </c>
      <c r="D244" s="12" t="s">
        <v>396</v>
      </c>
      <c r="E244" s="12" t="s">
        <v>91</v>
      </c>
      <c r="F244" s="12" t="s">
        <v>92</v>
      </c>
      <c r="G244" s="13" t="n">
        <v>2438408</v>
      </c>
      <c r="H244" s="13" t="n">
        <v>15318653</v>
      </c>
      <c r="I244" s="13" t="n">
        <v>450717150</v>
      </c>
      <c r="J244" s="12" t="n">
        <v>5</v>
      </c>
      <c r="K244" s="13" t="n">
        <v>686017</v>
      </c>
      <c r="L244" s="12" t="n">
        <v>7.7</v>
      </c>
      <c r="M244" s="14" t="n">
        <f aca="false">IF(G244="","",PERCENTRANK($G$2:$G$354,G244))</f>
        <v>0.32</v>
      </c>
      <c r="N244" s="14" t="n">
        <f aca="false">IF(I244="","",PERCENTRANK($I$2:$I$354,I244))</f>
        <v>0.119</v>
      </c>
      <c r="O244" s="14" t="n">
        <f aca="false">IF(K244="","",PERCENTRANK($K$2:$K$354,K244))</f>
        <v>0.724</v>
      </c>
      <c r="P244" s="12" t="n">
        <f aca="false">COUNT(M244:O244)</f>
        <v>3</v>
      </c>
      <c r="W244" s="12" t="n">
        <f aca="false">COUNTA(Q244:V244)</f>
        <v>0</v>
      </c>
      <c r="X244" s="14" t="n">
        <f aca="false">IF(P244=0,"",MIN(1,AVERAGE(M244:O244)+Critérios!$B$5*W244))</f>
        <v>0.387666666666667</v>
      </c>
      <c r="Y244" s="12" t="str">
        <f aca="false">IF(X244="","",IF(X244&gt;=Critérios!$B$7,"A",IF(X244&gt;=Critérios!$B$8,"B","C")))</f>
        <v>C</v>
      </c>
      <c r="Z244" s="12" t="n">
        <f aca="false">IF(X244="","",RANK(X244,$X$2:$X$354))</f>
        <v>243</v>
      </c>
      <c r="AA244" s="12" t="str">
        <f aca="false">IF(X244="","Sairia — sem métrica",IF(PERCENTRANK($X$2:$X$354,X244)&lt;Critérios!$B$6,"Sairia — terço inferior","Fica"))</f>
        <v>Sairia — terço inferior</v>
      </c>
      <c r="AB244" s="12" t="s">
        <v>94</v>
      </c>
      <c r="AD244" s="15" t="s">
        <v>95</v>
      </c>
      <c r="AE244" s="16"/>
      <c r="AF244" s="12" t="s">
        <v>406</v>
      </c>
      <c r="AG244" s="12" t="s">
        <v>1286</v>
      </c>
      <c r="AH244" s="12" t="n">
        <f aca="false">COUNT(G244,I244,K244)+COUNTA(Q244:V244)</f>
        <v>3</v>
      </c>
      <c r="AI244" s="12" t="str">
        <f aca="false">IF(AH244&gt;=3,"Sim","Não")</f>
        <v>Sim</v>
      </c>
      <c r="AJ244" s="12" t="str">
        <f aca="false">IF(AND(Z244&lt;&gt;"",Z244&lt;=Critérios!$B$9),"Sim","Não")</f>
        <v>Não</v>
      </c>
    </row>
    <row r="245" customFormat="false" ht="15" hidden="false" customHeight="false" outlineLevel="0" collapsed="false">
      <c r="A245" s="12" t="s">
        <v>1287</v>
      </c>
      <c r="B245" s="12" t="s">
        <v>1288</v>
      </c>
      <c r="C245" s="12" t="s">
        <v>1289</v>
      </c>
      <c r="D245" s="12" t="s">
        <v>134</v>
      </c>
      <c r="E245" s="12" t="s">
        <v>91</v>
      </c>
      <c r="F245" s="12" t="s">
        <v>92</v>
      </c>
      <c r="G245" s="13" t="n">
        <v>1764821</v>
      </c>
      <c r="H245" s="13" t="n">
        <v>15758293</v>
      </c>
      <c r="I245" s="13" t="n">
        <v>469328079</v>
      </c>
      <c r="J245" s="12" t="n">
        <v>10</v>
      </c>
      <c r="K245" s="13" t="n">
        <v>947342</v>
      </c>
      <c r="L245" s="12" t="n">
        <v>7.7</v>
      </c>
      <c r="M245" s="14" t="n">
        <f aca="false">IF(G245="","",PERCENTRANK($G$2:$G$354,G245))</f>
        <v>0.163</v>
      </c>
      <c r="N245" s="14" t="n">
        <f aca="false">IF(I245="","",PERCENTRANK($I$2:$I$354,I245))</f>
        <v>0.136</v>
      </c>
      <c r="O245" s="14" t="n">
        <f aca="false">IF(K245="","",PERCENTRANK($K$2:$K$354,K245))</f>
        <v>0.864</v>
      </c>
      <c r="P245" s="12" t="n">
        <f aca="false">COUNT(M245:O245)</f>
        <v>3</v>
      </c>
      <c r="W245" s="12" t="n">
        <f aca="false">COUNTA(Q245:V245)</f>
        <v>0</v>
      </c>
      <c r="X245" s="14" t="n">
        <f aca="false">IF(P245=0,"",MIN(1,AVERAGE(M245:O245)+Critérios!$B$5*W245))</f>
        <v>0.387666666666667</v>
      </c>
      <c r="Y245" s="12" t="str">
        <f aca="false">IF(X245="","",IF(X245&gt;=Critérios!$B$7,"A",IF(X245&gt;=Critérios!$B$8,"B","C")))</f>
        <v>C</v>
      </c>
      <c r="Z245" s="12" t="n">
        <f aca="false">IF(X245="","",RANK(X245,$X$2:$X$354))</f>
        <v>243</v>
      </c>
      <c r="AA245" s="12" t="str">
        <f aca="false">IF(X245="","Sairia — sem métrica",IF(PERCENTRANK($X$2:$X$354,X245)&lt;Critérios!$B$6,"Sairia — terço inferior","Fica"))</f>
        <v>Sairia — terço inferior</v>
      </c>
      <c r="AB245" s="12" t="s">
        <v>94</v>
      </c>
      <c r="AD245" s="15" t="s">
        <v>95</v>
      </c>
      <c r="AE245" s="16"/>
      <c r="AF245" s="12" t="s">
        <v>524</v>
      </c>
      <c r="AG245" s="12" t="s">
        <v>1290</v>
      </c>
      <c r="AH245" s="12" t="n">
        <f aca="false">COUNT(G245,I245,K245)+COUNTA(Q245:V245)</f>
        <v>3</v>
      </c>
      <c r="AI245" s="12" t="str">
        <f aca="false">IF(AH245&gt;=3,"Sim","Não")</f>
        <v>Sim</v>
      </c>
      <c r="AJ245" s="12" t="str">
        <f aca="false">IF(AND(Z245&lt;&gt;"",Z245&lt;=Critérios!$B$9),"Sim","Não")</f>
        <v>Não</v>
      </c>
    </row>
    <row r="246" customFormat="false" ht="15" hidden="false" customHeight="false" outlineLevel="0" collapsed="false">
      <c r="A246" s="12" t="s">
        <v>1291</v>
      </c>
      <c r="B246" s="12" t="s">
        <v>1292</v>
      </c>
      <c r="C246" s="12" t="s">
        <v>1293</v>
      </c>
      <c r="D246" s="12" t="s">
        <v>175</v>
      </c>
      <c r="E246" s="12" t="s">
        <v>91</v>
      </c>
      <c r="F246" s="12" t="s">
        <v>92</v>
      </c>
      <c r="G246" s="13" t="n">
        <v>2692195</v>
      </c>
      <c r="H246" s="13" t="n">
        <v>55870930</v>
      </c>
      <c r="I246" s="17"/>
      <c r="K246" s="13" t="n">
        <v>280766</v>
      </c>
      <c r="L246" s="12" t="n">
        <v>6</v>
      </c>
      <c r="M246" s="14" t="n">
        <f aca="false">IF(G246="","",PERCENTRANK($G$2:$G$354,G246))</f>
        <v>0.379</v>
      </c>
      <c r="N246" s="14" t="str">
        <f aca="false">IF(I246="","",PERCENTRANK($I$2:$I$354,I246))</f>
        <v/>
      </c>
      <c r="O246" s="14" t="n">
        <f aca="false">IF(K246="","",PERCENTRANK($K$2:$K$354,K246))</f>
        <v>0.313</v>
      </c>
      <c r="P246" s="12" t="n">
        <f aca="false">COUNT(M246:O246)</f>
        <v>2</v>
      </c>
      <c r="Q246" s="12" t="s">
        <v>1294</v>
      </c>
      <c r="W246" s="12" t="n">
        <f aca="false">COUNTA(Q246:V246)</f>
        <v>1</v>
      </c>
      <c r="X246" s="14" t="n">
        <f aca="false">IF(P246=0,"",MIN(1,AVERAGE(M246:O246)+Critérios!$B$5*W246))</f>
        <v>0.376</v>
      </c>
      <c r="Y246" s="12" t="str">
        <f aca="false">IF(X246="","",IF(X246&gt;=Critérios!$B$7,"A",IF(X246&gt;=Critérios!$B$8,"B","C")))</f>
        <v>C</v>
      </c>
      <c r="Z246" s="12" t="n">
        <f aca="false">IF(X246="","",RANK(X246,$X$2:$X$354))</f>
        <v>245</v>
      </c>
      <c r="AA246" s="12" t="str">
        <f aca="false">IF(X246="","Sairia — sem métrica",IF(PERCENTRANK($X$2:$X$354,X246)&lt;Critérios!$B$6,"Sairia — terço inferior","Fica"))</f>
        <v>Sairia — terço inferior</v>
      </c>
      <c r="AB246" s="12" t="s">
        <v>105</v>
      </c>
      <c r="AC246" s="12" t="s">
        <v>719</v>
      </c>
      <c r="AD246" s="15" t="s">
        <v>95</v>
      </c>
      <c r="AE246" s="16"/>
      <c r="AF246" s="12" t="s">
        <v>1175</v>
      </c>
      <c r="AG246" s="12" t="s">
        <v>1295</v>
      </c>
      <c r="AH246" s="12" t="n">
        <f aca="false">COUNT(G246,I246,K246)+COUNTA(Q246:V246)</f>
        <v>3</v>
      </c>
      <c r="AI246" s="12" t="str">
        <f aca="false">IF(AH246&gt;=3,"Sim","Não")</f>
        <v>Sim</v>
      </c>
      <c r="AJ246" s="12" t="str">
        <f aca="false">IF(AND(Z246&lt;&gt;"",Z246&lt;=Critérios!$B$9),"Sim","Não")</f>
        <v>Não</v>
      </c>
    </row>
    <row r="247" customFormat="false" ht="15" hidden="false" customHeight="false" outlineLevel="0" collapsed="false">
      <c r="A247" s="12" t="s">
        <v>1296</v>
      </c>
      <c r="B247" s="12" t="s">
        <v>1297</v>
      </c>
      <c r="C247" s="12" t="s">
        <v>1298</v>
      </c>
      <c r="D247" s="12" t="s">
        <v>127</v>
      </c>
      <c r="E247" s="12" t="s">
        <v>91</v>
      </c>
      <c r="F247" s="12" t="s">
        <v>92</v>
      </c>
      <c r="G247" s="13" t="n">
        <v>2250938</v>
      </c>
      <c r="H247" s="13" t="n">
        <v>16679263</v>
      </c>
      <c r="I247" s="13" t="n">
        <v>487287646</v>
      </c>
      <c r="J247" s="12" t="n">
        <v>7</v>
      </c>
      <c r="K247" s="13" t="n">
        <v>603995</v>
      </c>
      <c r="L247" s="12" t="n">
        <v>6.5</v>
      </c>
      <c r="M247" s="14" t="n">
        <f aca="false">IF(G247="","",PERCENTRANK($G$2:$G$354,G247))</f>
        <v>0.284</v>
      </c>
      <c r="N247" s="14" t="n">
        <f aca="false">IF(I247="","",PERCENTRANK($I$2:$I$354,I247))</f>
        <v>0.169</v>
      </c>
      <c r="O247" s="14" t="n">
        <f aca="false">IF(K247="","",PERCENTRANK($K$2:$K$354,K247))</f>
        <v>0.673</v>
      </c>
      <c r="P247" s="12" t="n">
        <f aca="false">COUNT(M247:O247)</f>
        <v>3</v>
      </c>
      <c r="W247" s="12" t="n">
        <f aca="false">COUNTA(Q247:V247)</f>
        <v>0</v>
      </c>
      <c r="X247" s="14" t="n">
        <f aca="false">IF(P247=0,"",MIN(1,AVERAGE(M247:O247)+Critérios!$B$5*W247))</f>
        <v>0.375333333333333</v>
      </c>
      <c r="Y247" s="12" t="str">
        <f aca="false">IF(X247="","",IF(X247&gt;=Critérios!$B$7,"A",IF(X247&gt;=Critérios!$B$8,"B","C")))</f>
        <v>C</v>
      </c>
      <c r="Z247" s="12" t="n">
        <f aca="false">IF(X247="","",RANK(X247,$X$2:$X$354))</f>
        <v>247</v>
      </c>
      <c r="AA247" s="12" t="str">
        <f aca="false">IF(X247="","Sairia — sem métrica",IF(PERCENTRANK($X$2:$X$354,X247)&lt;Critérios!$B$6,"Sairia — terço inferior","Fica"))</f>
        <v>Sairia — terço inferior</v>
      </c>
      <c r="AB247" s="12" t="s">
        <v>105</v>
      </c>
      <c r="AD247" s="15" t="s">
        <v>95</v>
      </c>
      <c r="AE247" s="16"/>
      <c r="AF247" s="12" t="s">
        <v>495</v>
      </c>
      <c r="AG247" s="12" t="s">
        <v>1299</v>
      </c>
      <c r="AH247" s="12" t="n">
        <f aca="false">COUNT(G247,I247,K247)+COUNTA(Q247:V247)</f>
        <v>3</v>
      </c>
      <c r="AI247" s="12" t="str">
        <f aca="false">IF(AH247&gt;=3,"Sim","Não")</f>
        <v>Sim</v>
      </c>
      <c r="AJ247" s="12" t="str">
        <f aca="false">IF(AND(Z247&lt;&gt;"",Z247&lt;=Critérios!$B$9),"Sim","Não")</f>
        <v>Não</v>
      </c>
    </row>
    <row r="248" customFormat="false" ht="15" hidden="false" customHeight="false" outlineLevel="0" collapsed="false">
      <c r="A248" s="12" t="s">
        <v>1300</v>
      </c>
      <c r="B248" s="12" t="s">
        <v>1301</v>
      </c>
      <c r="C248" s="12" t="s">
        <v>1302</v>
      </c>
      <c r="D248" s="12" t="s">
        <v>273</v>
      </c>
      <c r="E248" s="12" t="s">
        <v>91</v>
      </c>
      <c r="F248" s="12" t="s">
        <v>92</v>
      </c>
      <c r="G248" s="13" t="n">
        <v>3445424</v>
      </c>
      <c r="H248" s="13" t="n">
        <v>18741669</v>
      </c>
      <c r="I248" s="13" t="n">
        <v>441818803</v>
      </c>
      <c r="J248" s="12" t="n">
        <v>5</v>
      </c>
      <c r="K248" s="13" t="n">
        <v>437363</v>
      </c>
      <c r="L248" s="12" t="n">
        <v>6.2</v>
      </c>
      <c r="M248" s="14" t="n">
        <f aca="false">IF(G248="","",PERCENTRANK($G$2:$G$354,G248))</f>
        <v>0.52</v>
      </c>
      <c r="N248" s="14" t="n">
        <f aca="false">IF(I248="","",PERCENTRANK($I$2:$I$354,I248))</f>
        <v>0.11</v>
      </c>
      <c r="O248" s="14" t="n">
        <f aca="false">IF(K248="","",PERCENTRANK($K$2:$K$354,K248))</f>
        <v>0.497</v>
      </c>
      <c r="P248" s="12" t="n">
        <f aca="false">COUNT(M248:O248)</f>
        <v>3</v>
      </c>
      <c r="W248" s="12" t="n">
        <f aca="false">COUNTA(Q248:V248)</f>
        <v>0</v>
      </c>
      <c r="X248" s="14" t="n">
        <f aca="false">IF(P248=0,"",MIN(1,AVERAGE(M248:O248)+Critérios!$B$5*W248))</f>
        <v>0.375666666666667</v>
      </c>
      <c r="Y248" s="12" t="str">
        <f aca="false">IF(X248="","",IF(X248&gt;=Critérios!$B$7,"A",IF(X248&gt;=Critérios!$B$8,"B","C")))</f>
        <v>C</v>
      </c>
      <c r="Z248" s="12" t="n">
        <f aca="false">IF(X248="","",RANK(X248,$X$2:$X$354))</f>
        <v>246</v>
      </c>
      <c r="AA248" s="12" t="str">
        <f aca="false">IF(X248="","Sairia — sem métrica",IF(PERCENTRANK($X$2:$X$354,X248)&lt;Critérios!$B$6,"Sairia — terço inferior","Fica"))</f>
        <v>Sairia — terço inferior</v>
      </c>
      <c r="AB248" s="12" t="s">
        <v>94</v>
      </c>
      <c r="AD248" s="15" t="s">
        <v>95</v>
      </c>
      <c r="AE248" s="16"/>
      <c r="AF248" s="12" t="s">
        <v>275</v>
      </c>
      <c r="AG248" s="12" t="s">
        <v>1303</v>
      </c>
      <c r="AH248" s="12" t="n">
        <f aca="false">COUNT(G248,I248,K248)+COUNTA(Q248:V248)</f>
        <v>3</v>
      </c>
      <c r="AI248" s="12" t="str">
        <f aca="false">IF(AH248&gt;=3,"Sim","Não")</f>
        <v>Sim</v>
      </c>
      <c r="AJ248" s="12" t="str">
        <f aca="false">IF(AND(Z248&lt;&gt;"",Z248&lt;=Critérios!$B$9),"Sim","Não")</f>
        <v>Não</v>
      </c>
    </row>
    <row r="249" customFormat="false" ht="15" hidden="false" customHeight="false" outlineLevel="0" collapsed="false">
      <c r="A249" s="12" t="s">
        <v>1304</v>
      </c>
      <c r="B249" s="12" t="s">
        <v>1305</v>
      </c>
      <c r="C249" s="12" t="s">
        <v>1306</v>
      </c>
      <c r="D249" s="12" t="s">
        <v>207</v>
      </c>
      <c r="E249" s="12" t="s">
        <v>91</v>
      </c>
      <c r="F249" s="12" t="s">
        <v>92</v>
      </c>
      <c r="G249" s="13" t="n">
        <v>3052636</v>
      </c>
      <c r="H249" s="13" t="n">
        <v>47412358</v>
      </c>
      <c r="I249" s="17"/>
      <c r="K249" s="13" t="n">
        <v>225863</v>
      </c>
      <c r="L249" s="12" t="n">
        <v>5.4</v>
      </c>
      <c r="M249" s="14" t="n">
        <f aca="false">IF(G249="","",PERCENTRANK($G$2:$G$354,G249))</f>
        <v>0.464</v>
      </c>
      <c r="N249" s="14" t="str">
        <f aca="false">IF(I249="","",PERCENTRANK($I$2:$I$354,I249))</f>
        <v/>
      </c>
      <c r="O249" s="14" t="n">
        <f aca="false">IF(K249="","",PERCENTRANK($K$2:$K$354,K249))</f>
        <v>0.224</v>
      </c>
      <c r="P249" s="12" t="n">
        <f aca="false">COUNT(M249:O249)</f>
        <v>2</v>
      </c>
      <c r="R249" s="12" t="s">
        <v>1307</v>
      </c>
      <c r="W249" s="12" t="n">
        <f aca="false">COUNTA(Q249:V249)</f>
        <v>1</v>
      </c>
      <c r="X249" s="14" t="n">
        <f aca="false">IF(P249=0,"",MIN(1,AVERAGE(M249:O249)+Critérios!$B$5*W249))</f>
        <v>0.374</v>
      </c>
      <c r="Y249" s="12" t="str">
        <f aca="false">IF(X249="","",IF(X249&gt;=Critérios!$B$7,"A",IF(X249&gt;=Critérios!$B$8,"B","C")))</f>
        <v>C</v>
      </c>
      <c r="Z249" s="12" t="n">
        <f aca="false">IF(X249="","",RANK(X249,$X$2:$X$354))</f>
        <v>248</v>
      </c>
      <c r="AA249" s="12" t="str">
        <f aca="false">IF(X249="","Sairia — sem métrica",IF(PERCENTRANK($X$2:$X$354,X249)&lt;Critérios!$B$6,"Sairia — terço inferior","Fica"))</f>
        <v>Sairia — terço inferior</v>
      </c>
      <c r="AB249" s="12" t="s">
        <v>105</v>
      </c>
      <c r="AD249" s="15" t="s">
        <v>95</v>
      </c>
      <c r="AE249" s="16"/>
      <c r="AF249" s="12" t="s">
        <v>209</v>
      </c>
      <c r="AG249" s="12" t="s">
        <v>1308</v>
      </c>
      <c r="AH249" s="12" t="n">
        <f aca="false">COUNT(G249,I249,K249)+COUNTA(Q249:V249)</f>
        <v>3</v>
      </c>
      <c r="AI249" s="12" t="str">
        <f aca="false">IF(AH249&gt;=3,"Sim","Não")</f>
        <v>Sim</v>
      </c>
      <c r="AJ249" s="12" t="str">
        <f aca="false">IF(AND(Z249&lt;&gt;"",Z249&lt;=Critérios!$B$9),"Sim","Não")</f>
        <v>Não</v>
      </c>
    </row>
    <row r="250" customFormat="false" ht="15" hidden="false" customHeight="false" outlineLevel="0" collapsed="false">
      <c r="A250" s="12" t="s">
        <v>1309</v>
      </c>
      <c r="B250" s="12" t="s">
        <v>1310</v>
      </c>
      <c r="C250" s="12" t="s">
        <v>1311</v>
      </c>
      <c r="D250" s="12" t="s">
        <v>286</v>
      </c>
      <c r="E250" s="12" t="s">
        <v>91</v>
      </c>
      <c r="F250" s="12" t="s">
        <v>92</v>
      </c>
      <c r="G250" s="13" t="n">
        <v>2752983</v>
      </c>
      <c r="H250" s="13" t="n">
        <v>19382963</v>
      </c>
      <c r="I250" s="13" t="n">
        <v>454627263</v>
      </c>
      <c r="J250" s="12" t="n">
        <v>6</v>
      </c>
      <c r="K250" s="13" t="n">
        <v>511966</v>
      </c>
      <c r="L250" s="12" t="n">
        <v>7.8</v>
      </c>
      <c r="M250" s="14" t="n">
        <f aca="false">IF(G250="","",PERCENTRANK($G$2:$G$354,G250))</f>
        <v>0.402</v>
      </c>
      <c r="N250" s="14" t="n">
        <f aca="false">IF(I250="","",PERCENTRANK($I$2:$I$354,I250))</f>
        <v>0.123</v>
      </c>
      <c r="O250" s="14" t="n">
        <f aca="false">IF(K250="","",PERCENTRANK($K$2:$K$354,K250))</f>
        <v>0.594</v>
      </c>
      <c r="P250" s="12" t="n">
        <f aca="false">COUNT(M250:O250)</f>
        <v>3</v>
      </c>
      <c r="W250" s="12" t="n">
        <f aca="false">COUNTA(Q250:V250)</f>
        <v>0</v>
      </c>
      <c r="X250" s="14" t="n">
        <f aca="false">IF(P250=0,"",MIN(1,AVERAGE(M250:O250)+Critérios!$B$5*W250))</f>
        <v>0.373</v>
      </c>
      <c r="Y250" s="12" t="str">
        <f aca="false">IF(X250="","",IF(X250&gt;=Critérios!$B$7,"A",IF(X250&gt;=Critérios!$B$8,"B","C")))</f>
        <v>C</v>
      </c>
      <c r="Z250" s="12" t="n">
        <f aca="false">IF(X250="","",RANK(X250,$X$2:$X$354))</f>
        <v>249</v>
      </c>
      <c r="AA250" s="12" t="str">
        <f aca="false">IF(X250="","Sairia — sem métrica",IF(PERCENTRANK($X$2:$X$354,X250)&lt;Critérios!$B$6,"Sairia — terço inferior","Fica"))</f>
        <v>Sairia — terço inferior</v>
      </c>
      <c r="AB250" s="12" t="s">
        <v>105</v>
      </c>
      <c r="AD250" s="15" t="s">
        <v>95</v>
      </c>
      <c r="AE250" s="16"/>
      <c r="AF250" s="12" t="s">
        <v>1312</v>
      </c>
      <c r="AG250" s="12" t="s">
        <v>1313</v>
      </c>
      <c r="AH250" s="12" t="n">
        <f aca="false">COUNT(G250,I250,K250)+COUNTA(Q250:V250)</f>
        <v>3</v>
      </c>
      <c r="AI250" s="12" t="str">
        <f aca="false">IF(AH250&gt;=3,"Sim","Não")</f>
        <v>Sim</v>
      </c>
      <c r="AJ250" s="12" t="str">
        <f aca="false">IF(AND(Z250&lt;&gt;"",Z250&lt;=Critérios!$B$9),"Sim","Não")</f>
        <v>Não</v>
      </c>
    </row>
    <row r="251" customFormat="false" ht="15" hidden="false" customHeight="false" outlineLevel="0" collapsed="false">
      <c r="A251" s="12" t="s">
        <v>1314</v>
      </c>
      <c r="B251" s="12" t="s">
        <v>1315</v>
      </c>
      <c r="C251" s="12" t="s">
        <v>1315</v>
      </c>
      <c r="D251" s="12" t="s">
        <v>251</v>
      </c>
      <c r="E251" s="12" t="s">
        <v>91</v>
      </c>
      <c r="F251" s="12" t="s">
        <v>169</v>
      </c>
      <c r="G251" s="17"/>
      <c r="H251" s="17"/>
      <c r="I251" s="17"/>
      <c r="K251" s="13" t="n">
        <v>279438</v>
      </c>
      <c r="L251" s="12" t="n">
        <v>7.1</v>
      </c>
      <c r="M251" s="14" t="str">
        <f aca="false">IF(G251="","",PERCENTRANK($G$2:$G$354,G251))</f>
        <v/>
      </c>
      <c r="N251" s="14" t="str">
        <f aca="false">IF(I251="","",PERCENTRANK($I$2:$I$354,I251))</f>
        <v/>
      </c>
      <c r="O251" s="14" t="n">
        <f aca="false">IF(K251="","",PERCENTRANK($K$2:$K$354,K251))</f>
        <v>0.304</v>
      </c>
      <c r="P251" s="12" t="n">
        <f aca="false">COUNT(M251:O251)</f>
        <v>1</v>
      </c>
      <c r="Q251" s="12" t="s">
        <v>1316</v>
      </c>
      <c r="R251" s="12" t="s">
        <v>1317</v>
      </c>
      <c r="W251" s="12" t="n">
        <f aca="false">COUNTA(Q251:V251)</f>
        <v>2</v>
      </c>
      <c r="X251" s="14" t="n">
        <f aca="false">IF(P251=0,"",MIN(1,AVERAGE(M251:O251)+Critérios!$B$5*W251))</f>
        <v>0.364</v>
      </c>
      <c r="Y251" s="12" t="str">
        <f aca="false">IF(X251="","",IF(X251&gt;=Critérios!$B$7,"A",IF(X251&gt;=Critérios!$B$8,"B","C")))</f>
        <v>C</v>
      </c>
      <c r="Z251" s="12" t="n">
        <f aca="false">IF(X251="","",RANK(X251,$X$2:$X$354))</f>
        <v>250</v>
      </c>
      <c r="AA251" s="12" t="str">
        <f aca="false">IF(X251="","Sairia — sem métrica",IF(PERCENTRANK($X$2:$X$354,X251)&lt;Critérios!$B$6,"Sairia — terço inferior","Fica"))</f>
        <v>Sairia — terço inferior</v>
      </c>
      <c r="AB251" s="12" t="s">
        <v>105</v>
      </c>
      <c r="AD251" s="15" t="s">
        <v>95</v>
      </c>
      <c r="AE251" s="16"/>
      <c r="AG251" s="12" t="s">
        <v>1318</v>
      </c>
      <c r="AH251" s="12" t="n">
        <f aca="false">COUNT(G251,I251,K251)+COUNTA(Q251:V251)</f>
        <v>3</v>
      </c>
      <c r="AI251" s="12" t="str">
        <f aca="false">IF(AH251&gt;=3,"Sim","Não")</f>
        <v>Sim</v>
      </c>
      <c r="AJ251" s="12" t="str">
        <f aca="false">IF(AND(Z251&lt;&gt;"",Z251&lt;=Critérios!$B$9),"Sim","Não")</f>
        <v>Não</v>
      </c>
    </row>
    <row r="252" customFormat="false" ht="15" hidden="false" customHeight="false" outlineLevel="0" collapsed="false">
      <c r="A252" s="12" t="s">
        <v>1319</v>
      </c>
      <c r="B252" s="12" t="s">
        <v>1320</v>
      </c>
      <c r="C252" s="12" t="s">
        <v>1321</v>
      </c>
      <c r="D252" s="12" t="s">
        <v>175</v>
      </c>
      <c r="E252" s="12" t="s">
        <v>91</v>
      </c>
      <c r="F252" s="12" t="s">
        <v>674</v>
      </c>
      <c r="G252" s="17"/>
      <c r="H252" s="17"/>
      <c r="I252" s="17"/>
      <c r="K252" s="13" t="n">
        <v>279268</v>
      </c>
      <c r="L252" s="12" t="n">
        <v>7.2</v>
      </c>
      <c r="M252" s="14" t="str">
        <f aca="false">IF(G252="","",PERCENTRANK($G$2:$G$354,G252))</f>
        <v/>
      </c>
      <c r="N252" s="14" t="str">
        <f aca="false">IF(I252="","",PERCENTRANK($I$2:$I$354,I252))</f>
        <v/>
      </c>
      <c r="O252" s="14" t="n">
        <f aca="false">IF(K252="","",PERCENTRANK($K$2:$K$354,K252))</f>
        <v>0.301</v>
      </c>
      <c r="P252" s="12" t="n">
        <f aca="false">COUNT(M252:O252)</f>
        <v>1</v>
      </c>
      <c r="Q252" s="12" t="s">
        <v>1322</v>
      </c>
      <c r="T252" s="12" t="s">
        <v>1323</v>
      </c>
      <c r="W252" s="12" t="n">
        <f aca="false">COUNTA(Q252:V252)</f>
        <v>2</v>
      </c>
      <c r="X252" s="14" t="n">
        <f aca="false">IF(P252=0,"",MIN(1,AVERAGE(M252:O252)+Critérios!$B$5*W252))</f>
        <v>0.361</v>
      </c>
      <c r="Y252" s="12" t="str">
        <f aca="false">IF(X252="","",IF(X252&gt;=Critérios!$B$7,"A",IF(X252&gt;=Critérios!$B$8,"B","C")))</f>
        <v>C</v>
      </c>
      <c r="Z252" s="12" t="n">
        <f aca="false">IF(X252="","",RANK(X252,$X$2:$X$354))</f>
        <v>251</v>
      </c>
      <c r="AA252" s="12" t="str">
        <f aca="false">IF(X252="","Sairia — sem métrica",IF(PERCENTRANK($X$2:$X$354,X252)&lt;Critérios!$B$6,"Sairia — terço inferior","Fica"))</f>
        <v>Sairia — terço inferior</v>
      </c>
      <c r="AB252" s="12" t="s">
        <v>105</v>
      </c>
      <c r="AD252" s="15" t="s">
        <v>95</v>
      </c>
      <c r="AE252" s="16"/>
      <c r="AG252" s="12" t="s">
        <v>1324</v>
      </c>
      <c r="AH252" s="12" t="n">
        <f aca="false">COUNT(G252,I252,K252)+COUNTA(Q252:V252)</f>
        <v>3</v>
      </c>
      <c r="AI252" s="12" t="str">
        <f aca="false">IF(AH252&gt;=3,"Sim","Não")</f>
        <v>Sim</v>
      </c>
      <c r="AJ252" s="12" t="str">
        <f aca="false">IF(AND(Z252&lt;&gt;"",Z252&lt;=Critérios!$B$9),"Sim","Não")</f>
        <v>Não</v>
      </c>
    </row>
    <row r="253" customFormat="false" ht="15" hidden="false" customHeight="false" outlineLevel="0" collapsed="false">
      <c r="A253" s="12" t="s">
        <v>1325</v>
      </c>
      <c r="B253" s="12" t="s">
        <v>1326</v>
      </c>
      <c r="C253" s="12" t="s">
        <v>1327</v>
      </c>
      <c r="D253" s="12" t="s">
        <v>118</v>
      </c>
      <c r="E253" s="12" t="s">
        <v>91</v>
      </c>
      <c r="F253" s="12" t="s">
        <v>292</v>
      </c>
      <c r="G253" s="17"/>
      <c r="H253" s="17"/>
      <c r="I253" s="17"/>
      <c r="K253" s="13" t="n">
        <v>263310</v>
      </c>
      <c r="L253" s="12" t="n">
        <v>6.7</v>
      </c>
      <c r="M253" s="14" t="str">
        <f aca="false">IF(G253="","",PERCENTRANK($G$2:$G$354,G253))</f>
        <v/>
      </c>
      <c r="N253" s="14" t="str">
        <f aca="false">IF(I253="","",PERCENTRANK($I$2:$I$354,I253))</f>
        <v/>
      </c>
      <c r="O253" s="14" t="n">
        <f aca="false">IF(K253="","",PERCENTRANK($K$2:$K$354,K253))</f>
        <v>0.27</v>
      </c>
      <c r="P253" s="12" t="n">
        <f aca="false">COUNT(M253:O253)</f>
        <v>1</v>
      </c>
      <c r="Q253" s="12" t="s">
        <v>1328</v>
      </c>
      <c r="S253" s="12" t="s">
        <v>1329</v>
      </c>
      <c r="T253" s="12" t="s">
        <v>1330</v>
      </c>
      <c r="W253" s="12" t="n">
        <f aca="false">COUNTA(Q253:V253)</f>
        <v>3</v>
      </c>
      <c r="X253" s="14" t="n">
        <f aca="false">IF(P253=0,"",MIN(1,AVERAGE(M253:O253)+Critérios!$B$5*W253))</f>
        <v>0.36</v>
      </c>
      <c r="Y253" s="12" t="str">
        <f aca="false">IF(X253="","",IF(X253&gt;=Critérios!$B$7,"A",IF(X253&gt;=Critérios!$B$8,"B","C")))</f>
        <v>C</v>
      </c>
      <c r="Z253" s="12" t="n">
        <f aca="false">IF(X253="","",RANK(X253,$X$2:$X$354))</f>
        <v>252</v>
      </c>
      <c r="AA253" s="12" t="str">
        <f aca="false">IF(X253="","Sairia — sem métrica",IF(PERCENTRANK($X$2:$X$354,X253)&lt;Critérios!$B$6,"Sairia — terço inferior","Fica"))</f>
        <v>Sairia — terço inferior</v>
      </c>
      <c r="AB253" s="12" t="s">
        <v>105</v>
      </c>
      <c r="AD253" s="15" t="s">
        <v>95</v>
      </c>
      <c r="AE253" s="16"/>
      <c r="AG253" s="12" t="s">
        <v>1331</v>
      </c>
      <c r="AH253" s="12" t="n">
        <f aca="false">COUNT(G253,I253,K253)+COUNTA(Q253:V253)</f>
        <v>4</v>
      </c>
      <c r="AI253" s="12" t="str">
        <f aca="false">IF(AH253&gt;=3,"Sim","Não")</f>
        <v>Sim</v>
      </c>
      <c r="AJ253" s="12" t="str">
        <f aca="false">IF(AND(Z253&lt;&gt;"",Z253&lt;=Critérios!$B$9),"Sim","Não")</f>
        <v>Não</v>
      </c>
    </row>
    <row r="254" customFormat="false" ht="15" hidden="false" customHeight="false" outlineLevel="0" collapsed="false">
      <c r="A254" s="12" t="s">
        <v>1332</v>
      </c>
      <c r="B254" s="12" t="s">
        <v>1333</v>
      </c>
      <c r="C254" s="12" t="s">
        <v>1334</v>
      </c>
      <c r="D254" s="12" t="s">
        <v>118</v>
      </c>
      <c r="E254" s="12" t="s">
        <v>91</v>
      </c>
      <c r="F254" s="12" t="s">
        <v>674</v>
      </c>
      <c r="G254" s="17"/>
      <c r="H254" s="17"/>
      <c r="I254" s="17"/>
      <c r="K254" s="13" t="n">
        <v>278445</v>
      </c>
      <c r="L254" s="12" t="n">
        <v>7.1</v>
      </c>
      <c r="M254" s="14" t="str">
        <f aca="false">IF(G254="","",PERCENTRANK($G$2:$G$354,G254))</f>
        <v/>
      </c>
      <c r="N254" s="14" t="str">
        <f aca="false">IF(I254="","",PERCENTRANK($I$2:$I$354,I254))</f>
        <v/>
      </c>
      <c r="O254" s="14" t="n">
        <f aca="false">IF(K254="","",PERCENTRANK($K$2:$K$354,K254))</f>
        <v>0.298</v>
      </c>
      <c r="P254" s="12" t="n">
        <f aca="false">COUNT(M254:O254)</f>
        <v>1</v>
      </c>
      <c r="Q254" s="12" t="s">
        <v>1335</v>
      </c>
      <c r="T254" s="12" t="s">
        <v>1336</v>
      </c>
      <c r="W254" s="12" t="n">
        <f aca="false">COUNTA(Q254:V254)</f>
        <v>2</v>
      </c>
      <c r="X254" s="14" t="n">
        <f aca="false">IF(P254=0,"",MIN(1,AVERAGE(M254:O254)+Critérios!$B$5*W254))</f>
        <v>0.358</v>
      </c>
      <c r="Y254" s="12" t="str">
        <f aca="false">IF(X254="","",IF(X254&gt;=Critérios!$B$7,"A",IF(X254&gt;=Critérios!$B$8,"B","C")))</f>
        <v>C</v>
      </c>
      <c r="Z254" s="12" t="n">
        <f aca="false">IF(X254="","",RANK(X254,$X$2:$X$354))</f>
        <v>253</v>
      </c>
      <c r="AA254" s="12" t="str">
        <f aca="false">IF(X254="","Sairia — sem métrica",IF(PERCENTRANK($X$2:$X$354,X254)&lt;Critérios!$B$6,"Sairia — terço inferior","Fica"))</f>
        <v>Sairia — terço inferior</v>
      </c>
      <c r="AB254" s="12" t="s">
        <v>105</v>
      </c>
      <c r="AD254" s="15" t="s">
        <v>95</v>
      </c>
      <c r="AE254" s="16"/>
      <c r="AG254" s="12" t="s">
        <v>1337</v>
      </c>
      <c r="AH254" s="12" t="n">
        <f aca="false">COUNT(G254,I254,K254)+COUNTA(Q254:V254)</f>
        <v>3</v>
      </c>
      <c r="AI254" s="12" t="str">
        <f aca="false">IF(AH254&gt;=3,"Sim","Não")</f>
        <v>Sim</v>
      </c>
      <c r="AJ254" s="12" t="str">
        <f aca="false">IF(AND(Z254&lt;&gt;"",Z254&lt;=Critérios!$B$9),"Sim","Não")</f>
        <v>Não</v>
      </c>
    </row>
    <row r="255" customFormat="false" ht="15" hidden="false" customHeight="false" outlineLevel="0" collapsed="false">
      <c r="A255" s="12" t="s">
        <v>1338</v>
      </c>
      <c r="B255" s="12"/>
      <c r="C255" s="12" t="s">
        <v>1339</v>
      </c>
      <c r="D255" s="12" t="s">
        <v>265</v>
      </c>
      <c r="E255" s="12" t="s">
        <v>91</v>
      </c>
      <c r="F255" s="12" t="s">
        <v>92</v>
      </c>
      <c r="G255" s="17"/>
      <c r="H255" s="17"/>
      <c r="I255" s="13" t="n">
        <v>512738088</v>
      </c>
      <c r="J255" s="12" t="n">
        <v>10</v>
      </c>
      <c r="K255" s="13" t="n">
        <v>398485</v>
      </c>
      <c r="L255" s="12" t="n">
        <v>7.8</v>
      </c>
      <c r="M255" s="14" t="str">
        <f aca="false">IF(G255="","",PERCENTRANK($G$2:$G$354,G255))</f>
        <v/>
      </c>
      <c r="N255" s="14" t="n">
        <f aca="false">IF(I255="","",PERCENTRANK($I$2:$I$354,I255))</f>
        <v>0.186</v>
      </c>
      <c r="O255" s="14" t="n">
        <f aca="false">IF(K255="","",PERCENTRANK($K$2:$K$354,K255))</f>
        <v>0.457</v>
      </c>
      <c r="P255" s="12" t="n">
        <f aca="false">COUNT(M255:O255)</f>
        <v>2</v>
      </c>
      <c r="R255" s="12" t="s">
        <v>1340</v>
      </c>
      <c r="W255" s="12" t="n">
        <f aca="false">COUNTA(Q255:V255)</f>
        <v>1</v>
      </c>
      <c r="X255" s="14" t="n">
        <f aca="false">IF(P255=0,"",MIN(1,AVERAGE(M255:O255)+Critérios!$B$5*W255))</f>
        <v>0.3515</v>
      </c>
      <c r="Y255" s="12" t="str">
        <f aca="false">IF(X255="","",IF(X255&gt;=Critérios!$B$7,"A",IF(X255&gt;=Critérios!$B$8,"B","C")))</f>
        <v>C</v>
      </c>
      <c r="Z255" s="12" t="n">
        <f aca="false">IF(X255="","",RANK(X255,$X$2:$X$354))</f>
        <v>254</v>
      </c>
      <c r="AA255" s="12" t="str">
        <f aca="false">IF(X255="","Sairia — sem métrica",IF(PERCENTRANK($X$2:$X$354,X255)&lt;Critérios!$B$6,"Sairia — terço inferior","Fica"))</f>
        <v>Sairia — terço inferior</v>
      </c>
      <c r="AB255" s="12" t="s">
        <v>105</v>
      </c>
      <c r="AC255" s="12" t="s">
        <v>1341</v>
      </c>
      <c r="AD255" s="15" t="s">
        <v>95</v>
      </c>
      <c r="AE255" s="16"/>
      <c r="AF255" s="12" t="s">
        <v>1342</v>
      </c>
      <c r="AG255" s="12" t="s">
        <v>1343</v>
      </c>
      <c r="AH255" s="12" t="n">
        <f aca="false">COUNT(G255,I255,K255)+COUNTA(Q255:V255)</f>
        <v>3</v>
      </c>
      <c r="AI255" s="12" t="str">
        <f aca="false">IF(AH255&gt;=3,"Sim","Não")</f>
        <v>Sim</v>
      </c>
      <c r="AJ255" s="12" t="str">
        <f aca="false">IF(AND(Z255&lt;&gt;"",Z255&lt;=Critérios!$B$9),"Sim","Não")</f>
        <v>Não</v>
      </c>
    </row>
    <row r="256" customFormat="false" ht="15" hidden="false" customHeight="false" outlineLevel="0" collapsed="false">
      <c r="A256" s="12" t="s">
        <v>1344</v>
      </c>
      <c r="B256" s="12" t="s">
        <v>1345</v>
      </c>
      <c r="C256" s="12" t="s">
        <v>1346</v>
      </c>
      <c r="D256" s="12" t="s">
        <v>214</v>
      </c>
      <c r="E256" s="12" t="s">
        <v>91</v>
      </c>
      <c r="F256" s="12" t="s">
        <v>92</v>
      </c>
      <c r="G256" s="13" t="n">
        <v>5097245</v>
      </c>
      <c r="H256" s="13" t="n">
        <v>52157432</v>
      </c>
      <c r="I256" s="13" t="n">
        <v>563749323</v>
      </c>
      <c r="J256" s="12" t="n">
        <v>9</v>
      </c>
      <c r="K256" s="13" t="n">
        <v>106239</v>
      </c>
      <c r="L256" s="12" t="n">
        <v>5.4</v>
      </c>
      <c r="M256" s="14" t="n">
        <f aca="false">IF(G256="","",PERCENTRANK($G$2:$G$354,G256))</f>
        <v>0.735</v>
      </c>
      <c r="N256" s="14" t="n">
        <f aca="false">IF(I256="","",PERCENTRANK($I$2:$I$354,I256))</f>
        <v>0.242</v>
      </c>
      <c r="O256" s="14" t="n">
        <f aca="false">IF(K256="","",PERCENTRANK($K$2:$K$354,K256))</f>
        <v>0.0739</v>
      </c>
      <c r="P256" s="12" t="n">
        <f aca="false">COUNT(M256:O256)</f>
        <v>3</v>
      </c>
      <c r="W256" s="12" t="n">
        <f aca="false">COUNTA(Q256:V256)</f>
        <v>0</v>
      </c>
      <c r="X256" s="14" t="n">
        <f aca="false">IF(P256=0,"",MIN(1,AVERAGE(M256:O256)+Critérios!$B$5*W256))</f>
        <v>0.3503</v>
      </c>
      <c r="Y256" s="12" t="str">
        <f aca="false">IF(X256="","",IF(X256&gt;=Critérios!$B$7,"A",IF(X256&gt;=Critérios!$B$8,"B","C")))</f>
        <v>C</v>
      </c>
      <c r="Z256" s="12" t="n">
        <f aca="false">IF(X256="","",RANK(X256,$X$2:$X$354))</f>
        <v>255</v>
      </c>
      <c r="AA256" s="12" t="str">
        <f aca="false">IF(X256="","Sairia — sem métrica",IF(PERCENTRANK($X$2:$X$354,X256)&lt;Critérios!$B$6,"Sairia — terço inferior","Fica"))</f>
        <v>Sairia — terço inferior</v>
      </c>
      <c r="AB256" s="12" t="s">
        <v>94</v>
      </c>
      <c r="AD256" s="15" t="s">
        <v>95</v>
      </c>
      <c r="AE256" s="16"/>
      <c r="AF256" s="12" t="s">
        <v>215</v>
      </c>
      <c r="AG256" s="12" t="s">
        <v>1347</v>
      </c>
      <c r="AH256" s="12" t="n">
        <f aca="false">COUNT(G256,I256,K256)+COUNTA(Q256:V256)</f>
        <v>3</v>
      </c>
      <c r="AI256" s="12" t="str">
        <f aca="false">IF(AH256&gt;=3,"Sim","Não")</f>
        <v>Sim</v>
      </c>
      <c r="AJ256" s="12" t="str">
        <f aca="false">IF(AND(Z256&lt;&gt;"",Z256&lt;=Critérios!$B$9),"Sim","Não")</f>
        <v>Não</v>
      </c>
    </row>
    <row r="257" customFormat="false" ht="15" hidden="false" customHeight="false" outlineLevel="0" collapsed="false">
      <c r="A257" s="12" t="s">
        <v>1348</v>
      </c>
      <c r="B257" s="12" t="s">
        <v>1349</v>
      </c>
      <c r="C257" s="12" t="s">
        <v>1349</v>
      </c>
      <c r="D257" s="12" t="s">
        <v>118</v>
      </c>
      <c r="E257" s="12" t="s">
        <v>91</v>
      </c>
      <c r="F257" s="12" t="s">
        <v>169</v>
      </c>
      <c r="G257" s="17"/>
      <c r="H257" s="17"/>
      <c r="I257" s="17"/>
      <c r="K257" s="13" t="n">
        <v>276674</v>
      </c>
      <c r="L257" s="12" t="n">
        <v>7</v>
      </c>
      <c r="M257" s="14" t="str">
        <f aca="false">IF(G257="","",PERCENTRANK($G$2:$G$354,G257))</f>
        <v/>
      </c>
      <c r="N257" s="14" t="str">
        <f aca="false">IF(I257="","",PERCENTRANK($I$2:$I$354,I257))</f>
        <v/>
      </c>
      <c r="O257" s="14" t="n">
        <f aca="false">IF(K257="","",PERCENTRANK($K$2:$K$354,K257))</f>
        <v>0.29</v>
      </c>
      <c r="P257" s="12" t="n">
        <f aca="false">COUNT(M257:O257)</f>
        <v>1</v>
      </c>
      <c r="Q257" s="12" t="s">
        <v>1350</v>
      </c>
      <c r="R257" s="12" t="s">
        <v>1351</v>
      </c>
      <c r="W257" s="12" t="n">
        <f aca="false">COUNTA(Q257:V257)</f>
        <v>2</v>
      </c>
      <c r="X257" s="14" t="n">
        <f aca="false">IF(P257=0,"",MIN(1,AVERAGE(M257:O257)+Critérios!$B$5*W257))</f>
        <v>0.35</v>
      </c>
      <c r="Y257" s="12" t="str">
        <f aca="false">IF(X257="","",IF(X257&gt;=Critérios!$B$7,"A",IF(X257&gt;=Critérios!$B$8,"B","C")))</f>
        <v>C</v>
      </c>
      <c r="Z257" s="12" t="n">
        <f aca="false">IF(X257="","",RANK(X257,$X$2:$X$354))</f>
        <v>256</v>
      </c>
      <c r="AA257" s="12" t="str">
        <f aca="false">IF(X257="","Sairia — sem métrica",IF(PERCENTRANK($X$2:$X$354,X257)&lt;Critérios!$B$6,"Sairia — terço inferior","Fica"))</f>
        <v>Sairia — terço inferior</v>
      </c>
      <c r="AB257" s="12" t="s">
        <v>105</v>
      </c>
      <c r="AD257" s="15" t="s">
        <v>95</v>
      </c>
      <c r="AE257" s="16"/>
      <c r="AG257" s="12" t="s">
        <v>1352</v>
      </c>
      <c r="AH257" s="12" t="n">
        <f aca="false">COUNT(G257,I257,K257)+COUNTA(Q257:V257)</f>
        <v>3</v>
      </c>
      <c r="AI257" s="12" t="str">
        <f aca="false">IF(AH257&gt;=3,"Sim","Não")</f>
        <v>Sim</v>
      </c>
      <c r="AJ257" s="12" t="str">
        <f aca="false">IF(AND(Z257&lt;&gt;"",Z257&lt;=Critérios!$B$9),"Sim","Não")</f>
        <v>Não</v>
      </c>
    </row>
    <row r="258" customFormat="false" ht="15" hidden="false" customHeight="false" outlineLevel="0" collapsed="false">
      <c r="A258" s="12" t="s">
        <v>1353</v>
      </c>
      <c r="B258" s="12" t="s">
        <v>1354</v>
      </c>
      <c r="C258" s="12" t="s">
        <v>1355</v>
      </c>
      <c r="D258" s="12" t="s">
        <v>505</v>
      </c>
      <c r="E258" s="12" t="s">
        <v>91</v>
      </c>
      <c r="F258" s="12" t="s">
        <v>92</v>
      </c>
      <c r="G258" s="13" t="n">
        <v>2992342</v>
      </c>
      <c r="H258" s="13" t="n">
        <v>62509620</v>
      </c>
      <c r="I258" s="17"/>
      <c r="K258" s="13" t="n">
        <v>194907</v>
      </c>
      <c r="L258" s="12" t="n">
        <v>5.6</v>
      </c>
      <c r="M258" s="14" t="n">
        <f aca="false">IF(G258="","",PERCENTRANK($G$2:$G$354,G258))</f>
        <v>0.448</v>
      </c>
      <c r="N258" s="14" t="str">
        <f aca="false">IF(I258="","",PERCENTRANK($I$2:$I$354,I258))</f>
        <v/>
      </c>
      <c r="O258" s="14" t="n">
        <f aca="false">IF(K258="","",PERCENTRANK($K$2:$K$354,K258))</f>
        <v>0.188</v>
      </c>
      <c r="P258" s="12" t="n">
        <f aca="false">COUNT(M258:O258)</f>
        <v>2</v>
      </c>
      <c r="Q258" s="12" t="s">
        <v>1356</v>
      </c>
      <c r="W258" s="12" t="n">
        <f aca="false">COUNTA(Q258:V258)</f>
        <v>1</v>
      </c>
      <c r="X258" s="14" t="n">
        <f aca="false">IF(P258=0,"",MIN(1,AVERAGE(M258:O258)+Critérios!$B$5*W258))</f>
        <v>0.348</v>
      </c>
      <c r="Y258" s="12" t="str">
        <f aca="false">IF(X258="","",IF(X258&gt;=Critérios!$B$7,"A",IF(X258&gt;=Critérios!$B$8,"B","C")))</f>
        <v>C</v>
      </c>
      <c r="Z258" s="12" t="n">
        <f aca="false">IF(X258="","",RANK(X258,$X$2:$X$354))</f>
        <v>257</v>
      </c>
      <c r="AA258" s="12" t="str">
        <f aca="false">IF(X258="","Sairia — sem métrica",IF(PERCENTRANK($X$2:$X$354,X258)&lt;Critérios!$B$6,"Sairia — terço inferior","Fica"))</f>
        <v>Sairia — terço inferior</v>
      </c>
      <c r="AB258" s="12" t="s">
        <v>105</v>
      </c>
      <c r="AD258" s="15" t="s">
        <v>95</v>
      </c>
      <c r="AE258" s="16"/>
      <c r="AF258" s="12" t="s">
        <v>1044</v>
      </c>
      <c r="AG258" s="12" t="s">
        <v>1357</v>
      </c>
      <c r="AH258" s="12" t="n">
        <f aca="false">COUNT(G258,I258,K258)+COUNTA(Q258:V258)</f>
        <v>3</v>
      </c>
      <c r="AI258" s="12" t="str">
        <f aca="false">IF(AH258&gt;=3,"Sim","Não")</f>
        <v>Sim</v>
      </c>
      <c r="AJ258" s="12" t="str">
        <f aca="false">IF(AND(Z258&lt;&gt;"",Z258&lt;=Critérios!$B$9),"Sim","Não")</f>
        <v>Não</v>
      </c>
    </row>
    <row r="259" customFormat="false" ht="15" hidden="false" customHeight="false" outlineLevel="0" collapsed="false">
      <c r="A259" s="12" t="s">
        <v>1358</v>
      </c>
      <c r="B259" s="12" t="s">
        <v>1359</v>
      </c>
      <c r="C259" s="12" t="s">
        <v>1360</v>
      </c>
      <c r="D259" s="12" t="s">
        <v>101</v>
      </c>
      <c r="E259" s="12" t="s">
        <v>91</v>
      </c>
      <c r="F259" s="12" t="s">
        <v>92</v>
      </c>
      <c r="G259" s="13" t="n">
        <v>1328333</v>
      </c>
      <c r="H259" s="13" t="n">
        <v>23021236</v>
      </c>
      <c r="I259" s="17"/>
      <c r="K259" s="13" t="n">
        <v>467541</v>
      </c>
      <c r="L259" s="12" t="n">
        <v>7.2</v>
      </c>
      <c r="M259" s="14" t="n">
        <f aca="false">IF(G259="","",PERCENTRANK($G$2:$G$354,G259))</f>
        <v>0.0948</v>
      </c>
      <c r="N259" s="14" t="str">
        <f aca="false">IF(I259="","",PERCENTRANK($I$2:$I$354,I259))</f>
        <v/>
      </c>
      <c r="O259" s="14" t="n">
        <f aca="false">IF(K259="","",PERCENTRANK($K$2:$K$354,K259))</f>
        <v>0.54</v>
      </c>
      <c r="P259" s="12" t="n">
        <f aca="false">COUNT(M259:O259)</f>
        <v>2</v>
      </c>
      <c r="Q259" s="12" t="s">
        <v>1361</v>
      </c>
      <c r="W259" s="12" t="n">
        <f aca="false">COUNTA(Q259:V259)</f>
        <v>1</v>
      </c>
      <c r="X259" s="14" t="n">
        <f aca="false">IF(P259=0,"",MIN(1,AVERAGE(M259:O259)+Critérios!$B$5*W259))</f>
        <v>0.3474</v>
      </c>
      <c r="Y259" s="12" t="str">
        <f aca="false">IF(X259="","",IF(X259&gt;=Critérios!$B$7,"A",IF(X259&gt;=Critérios!$B$8,"B","C")))</f>
        <v>C</v>
      </c>
      <c r="Z259" s="12" t="n">
        <f aca="false">IF(X259="","",RANK(X259,$X$2:$X$354))</f>
        <v>258</v>
      </c>
      <c r="AA259" s="12" t="str">
        <f aca="false">IF(X259="","Sairia — sem métrica",IF(PERCENTRANK($X$2:$X$354,X259)&lt;Critérios!$B$6,"Sairia — terço inferior","Fica"))</f>
        <v>Sairia — terço inferior</v>
      </c>
      <c r="AB259" s="12" t="s">
        <v>94</v>
      </c>
      <c r="AC259" s="12" t="s">
        <v>719</v>
      </c>
      <c r="AD259" s="15" t="s">
        <v>95</v>
      </c>
      <c r="AE259" s="16"/>
      <c r="AF259" s="12" t="s">
        <v>720</v>
      </c>
      <c r="AG259" s="12" t="s">
        <v>1362</v>
      </c>
      <c r="AH259" s="12" t="n">
        <f aca="false">COUNT(G259,I259,K259)+COUNTA(Q259:V259)</f>
        <v>3</v>
      </c>
      <c r="AI259" s="12" t="str">
        <f aca="false">IF(AH259&gt;=3,"Sim","Não")</f>
        <v>Sim</v>
      </c>
      <c r="AJ259" s="12" t="str">
        <f aca="false">IF(AND(Z259&lt;&gt;"",Z259&lt;=Critérios!$B$9),"Sim","Não")</f>
        <v>Não</v>
      </c>
    </row>
    <row r="260" customFormat="false" ht="15" hidden="false" customHeight="false" outlineLevel="0" collapsed="false">
      <c r="A260" s="12" t="s">
        <v>1363</v>
      </c>
      <c r="B260" s="12" t="s">
        <v>1364</v>
      </c>
      <c r="C260" s="12" t="s">
        <v>1365</v>
      </c>
      <c r="D260" s="12" t="s">
        <v>273</v>
      </c>
      <c r="E260" s="12" t="s">
        <v>91</v>
      </c>
      <c r="F260" s="12" t="s">
        <v>92</v>
      </c>
      <c r="G260" s="13" t="n">
        <v>2493753</v>
      </c>
      <c r="H260" s="13" t="n">
        <v>13300946</v>
      </c>
      <c r="I260" s="13" t="n">
        <v>383257136</v>
      </c>
      <c r="J260" s="12" t="n">
        <v>8</v>
      </c>
      <c r="K260" s="13" t="n">
        <v>573821</v>
      </c>
      <c r="L260" s="12" t="n">
        <v>7.5</v>
      </c>
      <c r="M260" s="14" t="n">
        <f aca="false">IF(G260="","",PERCENTRANK($G$2:$G$354,G260))</f>
        <v>0.333</v>
      </c>
      <c r="N260" s="14" t="n">
        <f aca="false">IF(I260="","",PERCENTRANK($I$2:$I$354,I260))</f>
        <v>0.0508</v>
      </c>
      <c r="O260" s="14" t="n">
        <f aca="false">IF(K260="","",PERCENTRANK($K$2:$K$354,K260))</f>
        <v>0.651</v>
      </c>
      <c r="P260" s="12" t="n">
        <f aca="false">COUNT(M260:O260)</f>
        <v>3</v>
      </c>
      <c r="W260" s="12" t="n">
        <f aca="false">COUNTA(Q260:V260)</f>
        <v>0</v>
      </c>
      <c r="X260" s="14" t="n">
        <f aca="false">IF(P260=0,"",MIN(1,AVERAGE(M260:O260)+Critérios!$B$5*W260))</f>
        <v>0.344933333333333</v>
      </c>
      <c r="Y260" s="12" t="str">
        <f aca="false">IF(X260="","",IF(X260&gt;=Critérios!$B$7,"A",IF(X260&gt;=Critérios!$B$8,"B","C")))</f>
        <v>C</v>
      </c>
      <c r="Z260" s="12" t="n">
        <f aca="false">IF(X260="","",RANK(X260,$X$2:$X$354))</f>
        <v>259</v>
      </c>
      <c r="AA260" s="12" t="str">
        <f aca="false">IF(X260="","Sairia — sem métrica",IF(PERCENTRANK($X$2:$X$354,X260)&lt;Critérios!$B$6,"Sairia — terço inferior","Fica"))</f>
        <v>Sairia — terço inferior</v>
      </c>
      <c r="AB260" s="12" t="s">
        <v>94</v>
      </c>
      <c r="AD260" s="15" t="s">
        <v>95</v>
      </c>
      <c r="AE260" s="16"/>
      <c r="AF260" s="12" t="s">
        <v>275</v>
      </c>
      <c r="AG260" s="12" t="s">
        <v>1366</v>
      </c>
      <c r="AH260" s="12" t="n">
        <f aca="false">COUNT(G260,I260,K260)+COUNTA(Q260:V260)</f>
        <v>3</v>
      </c>
      <c r="AI260" s="12" t="str">
        <f aca="false">IF(AH260&gt;=3,"Sim","Não")</f>
        <v>Sim</v>
      </c>
      <c r="AJ260" s="12" t="str">
        <f aca="false">IF(AND(Z260&lt;&gt;"",Z260&lt;=Critérios!$B$9),"Sim","Não")</f>
        <v>Não</v>
      </c>
    </row>
    <row r="261" customFormat="false" ht="15" hidden="false" customHeight="false" outlineLevel="0" collapsed="false">
      <c r="A261" s="12" t="s">
        <v>1367</v>
      </c>
      <c r="B261" s="12" t="s">
        <v>1368</v>
      </c>
      <c r="C261" s="12" t="s">
        <v>1369</v>
      </c>
      <c r="D261" s="12" t="s">
        <v>101</v>
      </c>
      <c r="E261" s="12" t="s">
        <v>91</v>
      </c>
      <c r="F261" s="12" t="s">
        <v>92</v>
      </c>
      <c r="G261" s="13" t="n">
        <v>2141134</v>
      </c>
      <c r="H261" s="13" t="n">
        <v>38418870</v>
      </c>
      <c r="I261" s="13" t="n">
        <v>432243292</v>
      </c>
      <c r="J261" s="12" t="n">
        <v>9</v>
      </c>
      <c r="K261" s="13" t="n">
        <v>504735</v>
      </c>
      <c r="L261" s="12" t="n">
        <v>7.3</v>
      </c>
      <c r="M261" s="14" t="n">
        <f aca="false">IF(G261="","",PERCENTRANK($G$2:$G$354,G261))</f>
        <v>0.261</v>
      </c>
      <c r="N261" s="14" t="n">
        <f aca="false">IF(I261="","",PERCENTRANK($I$2:$I$354,I261))</f>
        <v>0.0975</v>
      </c>
      <c r="O261" s="14" t="n">
        <f aca="false">IF(K261="","",PERCENTRANK($K$2:$K$354,K261))</f>
        <v>0.585</v>
      </c>
      <c r="P261" s="12" t="n">
        <f aca="false">COUNT(M261:O261)</f>
        <v>3</v>
      </c>
      <c r="Q261" s="12" t="s">
        <v>1370</v>
      </c>
      <c r="W261" s="12" t="n">
        <f aca="false">COUNTA(Q261:V261)</f>
        <v>1</v>
      </c>
      <c r="X261" s="14" t="n">
        <f aca="false">IF(P261=0,"",MIN(1,AVERAGE(M261:O261)+Critérios!$B$5*W261))</f>
        <v>0.3445</v>
      </c>
      <c r="Y261" s="12" t="str">
        <f aca="false">IF(X261="","",IF(X261&gt;=Critérios!$B$7,"A",IF(X261&gt;=Critérios!$B$8,"B","C")))</f>
        <v>C</v>
      </c>
      <c r="Z261" s="12" t="n">
        <f aca="false">IF(X261="","",RANK(X261,$X$2:$X$354))</f>
        <v>260</v>
      </c>
      <c r="AA261" s="12" t="str">
        <f aca="false">IF(X261="","Sairia — sem métrica",IF(PERCENTRANK($X$2:$X$354,X261)&lt;Critérios!$B$6,"Sairia — terço inferior","Fica"))</f>
        <v>Sairia — terço inferior</v>
      </c>
      <c r="AB261" s="12" t="s">
        <v>105</v>
      </c>
      <c r="AD261" s="15" t="s">
        <v>95</v>
      </c>
      <c r="AE261" s="16"/>
      <c r="AF261" s="12" t="s">
        <v>1203</v>
      </c>
      <c r="AG261" s="12" t="s">
        <v>1371</v>
      </c>
      <c r="AH261" s="12" t="n">
        <f aca="false">COUNT(G261,I261,K261)+COUNTA(Q261:V261)</f>
        <v>4</v>
      </c>
      <c r="AI261" s="12" t="str">
        <f aca="false">IF(AH261&gt;=3,"Sim","Não")</f>
        <v>Sim</v>
      </c>
      <c r="AJ261" s="12" t="str">
        <f aca="false">IF(AND(Z261&lt;&gt;"",Z261&lt;=Critérios!$B$9),"Sim","Não")</f>
        <v>Não</v>
      </c>
    </row>
    <row r="262" customFormat="false" ht="15" hidden="false" customHeight="false" outlineLevel="0" collapsed="false">
      <c r="A262" s="12" t="s">
        <v>1372</v>
      </c>
      <c r="B262" s="12" t="s">
        <v>1373</v>
      </c>
      <c r="C262" s="12" t="s">
        <v>1374</v>
      </c>
      <c r="D262" s="12" t="s">
        <v>214</v>
      </c>
      <c r="E262" s="12" t="s">
        <v>91</v>
      </c>
      <c r="F262" s="12" t="s">
        <v>92</v>
      </c>
      <c r="G262" s="13" t="n">
        <v>3409512</v>
      </c>
      <c r="H262" s="13" t="n">
        <v>33646383</v>
      </c>
      <c r="I262" s="13" t="n">
        <v>559852396</v>
      </c>
      <c r="J262" s="12" t="n">
        <v>10</v>
      </c>
      <c r="K262" s="13" t="n">
        <v>265457</v>
      </c>
      <c r="L262" s="12" t="n">
        <v>6.2</v>
      </c>
      <c r="M262" s="14" t="n">
        <f aca="false">IF(G262="","",PERCENTRANK($G$2:$G$354,G262))</f>
        <v>0.516</v>
      </c>
      <c r="N262" s="14" t="n">
        <f aca="false">IF(I262="","",PERCENTRANK($I$2:$I$354,I262))</f>
        <v>0.237</v>
      </c>
      <c r="O262" s="14" t="n">
        <f aca="false">IF(K262="","",PERCENTRANK($K$2:$K$354,K262))</f>
        <v>0.276</v>
      </c>
      <c r="P262" s="12" t="n">
        <f aca="false">COUNT(M262:O262)</f>
        <v>3</v>
      </c>
      <c r="W262" s="12" t="n">
        <f aca="false">COUNTA(Q262:V262)</f>
        <v>0</v>
      </c>
      <c r="X262" s="14" t="n">
        <f aca="false">IF(P262=0,"",MIN(1,AVERAGE(M262:O262)+Critérios!$B$5*W262))</f>
        <v>0.343</v>
      </c>
      <c r="Y262" s="12" t="str">
        <f aca="false">IF(X262="","",IF(X262&gt;=Critérios!$B$7,"A",IF(X262&gt;=Critérios!$B$8,"B","C")))</f>
        <v>C</v>
      </c>
      <c r="Z262" s="12" t="n">
        <f aca="false">IF(X262="","",RANK(X262,$X$2:$X$354))</f>
        <v>261</v>
      </c>
      <c r="AA262" s="12" t="str">
        <f aca="false">IF(X262="","Sairia — sem métrica",IF(PERCENTRANK($X$2:$X$354,X262)&lt;Critérios!$B$6,"Sairia — terço inferior","Fica"))</f>
        <v>Sairia — terço inferior</v>
      </c>
      <c r="AB262" s="12" t="s">
        <v>105</v>
      </c>
      <c r="AD262" s="15" t="s">
        <v>95</v>
      </c>
      <c r="AE262" s="16"/>
      <c r="AF262" s="12" t="s">
        <v>215</v>
      </c>
      <c r="AG262" s="12" t="s">
        <v>1375</v>
      </c>
      <c r="AH262" s="12" t="n">
        <f aca="false">COUNT(G262,I262,K262)+COUNTA(Q262:V262)</f>
        <v>3</v>
      </c>
      <c r="AI262" s="12" t="str">
        <f aca="false">IF(AH262&gt;=3,"Sim","Não")</f>
        <v>Sim</v>
      </c>
      <c r="AJ262" s="12" t="str">
        <f aca="false">IF(AND(Z262&lt;&gt;"",Z262&lt;=Critérios!$B$9),"Sim","Não")</f>
        <v>Não</v>
      </c>
    </row>
    <row r="263" customFormat="false" ht="15" hidden="false" customHeight="false" outlineLevel="0" collapsed="false">
      <c r="A263" s="12" t="s">
        <v>1376</v>
      </c>
      <c r="B263" s="12" t="s">
        <v>1377</v>
      </c>
      <c r="C263" s="12" t="s">
        <v>1378</v>
      </c>
      <c r="D263" s="12" t="s">
        <v>321</v>
      </c>
      <c r="E263" s="12" t="s">
        <v>91</v>
      </c>
      <c r="F263" s="12" t="s">
        <v>92</v>
      </c>
      <c r="G263" s="13" t="n">
        <v>1851477</v>
      </c>
      <c r="H263" s="13" t="n">
        <v>16321222</v>
      </c>
      <c r="I263" s="13" t="n">
        <v>589580482</v>
      </c>
      <c r="J263" s="12" t="n">
        <v>7</v>
      </c>
      <c r="K263" s="13" t="n">
        <v>504146</v>
      </c>
      <c r="L263" s="12" t="n">
        <v>6.5</v>
      </c>
      <c r="M263" s="14" t="n">
        <f aca="false">IF(G263="","",PERCENTRANK($G$2:$G$354,G263))</f>
        <v>0.18</v>
      </c>
      <c r="N263" s="14" t="n">
        <f aca="false">IF(I263="","",PERCENTRANK($I$2:$I$354,I263))</f>
        <v>0.267</v>
      </c>
      <c r="O263" s="14" t="n">
        <f aca="false">IF(K263="","",PERCENTRANK($K$2:$K$354,K263))</f>
        <v>0.582</v>
      </c>
      <c r="P263" s="12" t="n">
        <f aca="false">COUNT(M263:O263)</f>
        <v>3</v>
      </c>
      <c r="W263" s="12" t="n">
        <f aca="false">COUNTA(Q263:V263)</f>
        <v>0</v>
      </c>
      <c r="X263" s="14" t="n">
        <f aca="false">IF(P263=0,"",MIN(1,AVERAGE(M263:O263)+Critérios!$B$5*W263))</f>
        <v>0.343</v>
      </c>
      <c r="Y263" s="12" t="str">
        <f aca="false">IF(X263="","",IF(X263&gt;=Critérios!$B$7,"A",IF(X263&gt;=Critérios!$B$8,"B","C")))</f>
        <v>C</v>
      </c>
      <c r="Z263" s="12" t="n">
        <f aca="false">IF(X263="","",RANK(X263,$X$2:$X$354))</f>
        <v>261</v>
      </c>
      <c r="AA263" s="12" t="str">
        <f aca="false">IF(X263="","Sairia — sem métrica",IF(PERCENTRANK($X$2:$X$354,X263)&lt;Critérios!$B$6,"Sairia — terço inferior","Fica"))</f>
        <v>Sairia — terço inferior</v>
      </c>
      <c r="AB263" s="12" t="s">
        <v>105</v>
      </c>
      <c r="AD263" s="15" t="s">
        <v>95</v>
      </c>
      <c r="AE263" s="16"/>
      <c r="AF263" s="12" t="s">
        <v>323</v>
      </c>
      <c r="AG263" s="12" t="s">
        <v>1379</v>
      </c>
      <c r="AH263" s="12" t="n">
        <f aca="false">COUNT(G263,I263,K263)+COUNTA(Q263:V263)</f>
        <v>3</v>
      </c>
      <c r="AI263" s="12" t="str">
        <f aca="false">IF(AH263&gt;=3,"Sim","Não")</f>
        <v>Sim</v>
      </c>
      <c r="AJ263" s="12" t="str">
        <f aca="false">IF(AND(Z263&lt;&gt;"",Z263&lt;=Critérios!$B$9),"Sim","Não")</f>
        <v>Não</v>
      </c>
    </row>
    <row r="264" customFormat="false" ht="15" hidden="false" customHeight="false" outlineLevel="0" collapsed="false">
      <c r="A264" s="12" t="s">
        <v>1380</v>
      </c>
      <c r="B264" s="12" t="s">
        <v>1381</v>
      </c>
      <c r="C264" s="12" t="s">
        <v>1382</v>
      </c>
      <c r="D264" s="12" t="s">
        <v>134</v>
      </c>
      <c r="E264" s="12" t="s">
        <v>91</v>
      </c>
      <c r="F264" s="12" t="s">
        <v>92</v>
      </c>
      <c r="G264" s="13" t="n">
        <v>3059245</v>
      </c>
      <c r="H264" s="13" t="n">
        <v>28006515</v>
      </c>
      <c r="I264" s="13" t="n">
        <v>485930816</v>
      </c>
      <c r="J264" s="12" t="n">
        <v>9</v>
      </c>
      <c r="K264" s="13" t="n">
        <v>329090</v>
      </c>
      <c r="L264" s="12" t="n">
        <v>6.7</v>
      </c>
      <c r="M264" s="14" t="n">
        <f aca="false">IF(G264="","",PERCENTRANK($G$2:$G$354,G264))</f>
        <v>0.467</v>
      </c>
      <c r="N264" s="14" t="n">
        <f aca="false">IF(I264="","",PERCENTRANK($I$2:$I$354,I264))</f>
        <v>0.165</v>
      </c>
      <c r="O264" s="14" t="n">
        <f aca="false">IF(K264="","",PERCENTRANK($K$2:$K$354,K264))</f>
        <v>0.389</v>
      </c>
      <c r="P264" s="12" t="n">
        <f aca="false">COUNT(M264:O264)</f>
        <v>3</v>
      </c>
      <c r="W264" s="12" t="n">
        <f aca="false">COUNTA(Q264:V264)</f>
        <v>0</v>
      </c>
      <c r="X264" s="14" t="n">
        <f aca="false">IF(P264=0,"",MIN(1,AVERAGE(M264:O264)+Critérios!$B$5*W264))</f>
        <v>0.340333333333333</v>
      </c>
      <c r="Y264" s="12" t="str">
        <f aca="false">IF(X264="","",IF(X264&gt;=Critérios!$B$7,"A",IF(X264&gt;=Critérios!$B$8,"B","C")))</f>
        <v>C</v>
      </c>
      <c r="Z264" s="12" t="n">
        <f aca="false">IF(X264="","",RANK(X264,$X$2:$X$354))</f>
        <v>263</v>
      </c>
      <c r="AA264" s="12" t="str">
        <f aca="false">IF(X264="","Sairia — sem métrica",IF(PERCENTRANK($X$2:$X$354,X264)&lt;Critérios!$B$6,"Sairia — terço inferior","Fica"))</f>
        <v>Sairia — terço inferior</v>
      </c>
      <c r="AB264" s="12" t="s">
        <v>105</v>
      </c>
      <c r="AD264" s="15" t="s">
        <v>95</v>
      </c>
      <c r="AE264" s="16"/>
      <c r="AF264" s="12" t="s">
        <v>524</v>
      </c>
      <c r="AG264" s="12" t="s">
        <v>1383</v>
      </c>
      <c r="AH264" s="12" t="n">
        <f aca="false">COUNT(G264,I264,K264)+COUNTA(Q264:V264)</f>
        <v>3</v>
      </c>
      <c r="AI264" s="12" t="str">
        <f aca="false">IF(AH264&gt;=3,"Sim","Não")</f>
        <v>Sim</v>
      </c>
      <c r="AJ264" s="12" t="str">
        <f aca="false">IF(AND(Z264&lt;&gt;"",Z264&lt;=Critérios!$B$9),"Sim","Não")</f>
        <v>Não</v>
      </c>
    </row>
    <row r="265" customFormat="false" ht="15" hidden="false" customHeight="false" outlineLevel="0" collapsed="false">
      <c r="A265" s="12" t="s">
        <v>1384</v>
      </c>
      <c r="B265" s="12" t="s">
        <v>1385</v>
      </c>
      <c r="C265" s="12" t="s">
        <v>1385</v>
      </c>
      <c r="D265" s="12" t="s">
        <v>505</v>
      </c>
      <c r="E265" s="12" t="s">
        <v>91</v>
      </c>
      <c r="F265" s="12" t="s">
        <v>169</v>
      </c>
      <c r="G265" s="17"/>
      <c r="H265" s="17"/>
      <c r="I265" s="17"/>
      <c r="K265" s="13" t="n">
        <v>267448</v>
      </c>
      <c r="L265" s="12" t="n">
        <v>6.7</v>
      </c>
      <c r="M265" s="14" t="str">
        <f aca="false">IF(G265="","",PERCENTRANK($G$2:$G$354,G265))</f>
        <v/>
      </c>
      <c r="N265" s="14" t="str">
        <f aca="false">IF(I265="","",PERCENTRANK($I$2:$I$354,I265))</f>
        <v/>
      </c>
      <c r="O265" s="14" t="n">
        <f aca="false">IF(K265="","",PERCENTRANK($K$2:$K$354,K265))</f>
        <v>0.278</v>
      </c>
      <c r="P265" s="12" t="n">
        <f aca="false">COUNT(M265:O265)</f>
        <v>1</v>
      </c>
      <c r="Q265" s="12" t="s">
        <v>1386</v>
      </c>
      <c r="R265" s="12" t="s">
        <v>1387</v>
      </c>
      <c r="W265" s="12" t="n">
        <f aca="false">COUNTA(Q265:V265)</f>
        <v>2</v>
      </c>
      <c r="X265" s="14" t="n">
        <f aca="false">IF(P265=0,"",MIN(1,AVERAGE(M265:O265)+Critérios!$B$5*W265))</f>
        <v>0.338</v>
      </c>
      <c r="Y265" s="12" t="str">
        <f aca="false">IF(X265="","",IF(X265&gt;=Critérios!$B$7,"A",IF(X265&gt;=Critérios!$B$8,"B","C")))</f>
        <v>C</v>
      </c>
      <c r="Z265" s="12" t="n">
        <f aca="false">IF(X265="","",RANK(X265,$X$2:$X$354))</f>
        <v>264</v>
      </c>
      <c r="AA265" s="12" t="str">
        <f aca="false">IF(X265="","Sairia — sem métrica",IF(PERCENTRANK($X$2:$X$354,X265)&lt;Critérios!$B$6,"Sairia — terço inferior","Fica"))</f>
        <v>Sairia — terço inferior</v>
      </c>
      <c r="AB265" s="12" t="s">
        <v>105</v>
      </c>
      <c r="AD265" s="15" t="s">
        <v>95</v>
      </c>
      <c r="AE265" s="16"/>
      <c r="AG265" s="12" t="s">
        <v>1388</v>
      </c>
      <c r="AH265" s="12" t="n">
        <f aca="false">COUNT(G265,I265,K265)+COUNTA(Q265:V265)</f>
        <v>3</v>
      </c>
      <c r="AI265" s="12" t="str">
        <f aca="false">IF(AH265&gt;=3,"Sim","Não")</f>
        <v>Sim</v>
      </c>
      <c r="AJ265" s="12" t="str">
        <f aca="false">IF(AND(Z265&lt;&gt;"",Z265&lt;=Critérios!$B$9),"Sim","Não")</f>
        <v>Não</v>
      </c>
    </row>
    <row r="266" customFormat="false" ht="15" hidden="false" customHeight="false" outlineLevel="0" collapsed="false">
      <c r="A266" s="12" t="s">
        <v>1389</v>
      </c>
      <c r="B266" s="12" t="s">
        <v>1390</v>
      </c>
      <c r="C266" s="12"/>
      <c r="D266" s="12" t="s">
        <v>505</v>
      </c>
      <c r="E266" s="12" t="s">
        <v>91</v>
      </c>
      <c r="F266" s="12" t="s">
        <v>92</v>
      </c>
      <c r="G266" s="13" t="n">
        <v>2100910</v>
      </c>
      <c r="H266" s="13" t="n">
        <v>45639000</v>
      </c>
      <c r="I266" s="17"/>
      <c r="K266" s="13" t="n">
        <v>308664</v>
      </c>
      <c r="L266" s="12" t="n">
        <v>7.1</v>
      </c>
      <c r="M266" s="14" t="n">
        <f aca="false">IF(G266="","",PERCENTRANK($G$2:$G$354,G266))</f>
        <v>0.252</v>
      </c>
      <c r="N266" s="14" t="str">
        <f aca="false">IF(I266="","",PERCENTRANK($I$2:$I$354,I266))</f>
        <v/>
      </c>
      <c r="O266" s="14" t="n">
        <f aca="false">IF(K266="","",PERCENTRANK($K$2:$K$354,K266))</f>
        <v>0.358</v>
      </c>
      <c r="P266" s="12" t="n">
        <f aca="false">COUNT(M266:O266)</f>
        <v>2</v>
      </c>
      <c r="Q266" s="12" t="s">
        <v>1391</v>
      </c>
      <c r="W266" s="12" t="n">
        <f aca="false">COUNTA(Q266:V266)</f>
        <v>1</v>
      </c>
      <c r="X266" s="14" t="n">
        <f aca="false">IF(P266=0,"",MIN(1,AVERAGE(M266:O266)+Critérios!$B$5*W266))</f>
        <v>0.335</v>
      </c>
      <c r="Y266" s="12" t="str">
        <f aca="false">IF(X266="","",IF(X266&gt;=Critérios!$B$7,"A",IF(X266&gt;=Critérios!$B$8,"B","C")))</f>
        <v>C</v>
      </c>
      <c r="Z266" s="12" t="n">
        <f aca="false">IF(X266="","",RANK(X266,$X$2:$X$354))</f>
        <v>265</v>
      </c>
      <c r="AA266" s="12" t="str">
        <f aca="false">IF(X266="","Sairia — sem métrica",IF(PERCENTRANK($X$2:$X$354,X266)&lt;Critérios!$B$6,"Sairia — terço inferior","Fica"))</f>
        <v>Sairia — terço inferior</v>
      </c>
      <c r="AB266" s="12" t="s">
        <v>94</v>
      </c>
      <c r="AD266" s="15" t="s">
        <v>95</v>
      </c>
      <c r="AE266" s="16"/>
      <c r="AF266" s="12" t="s">
        <v>1044</v>
      </c>
      <c r="AG266" s="12" t="s">
        <v>1392</v>
      </c>
      <c r="AH266" s="12" t="n">
        <f aca="false">COUNT(G266,I266,K266)+COUNTA(Q266:V266)</f>
        <v>3</v>
      </c>
      <c r="AI266" s="12" t="str">
        <f aca="false">IF(AH266&gt;=3,"Sim","Não")</f>
        <v>Sim</v>
      </c>
      <c r="AJ266" s="12" t="str">
        <f aca="false">IF(AND(Z266&lt;&gt;"",Z266&lt;=Critérios!$B$9),"Sim","Não")</f>
        <v>Não</v>
      </c>
    </row>
    <row r="267" customFormat="false" ht="15" hidden="false" customHeight="false" outlineLevel="0" collapsed="false">
      <c r="A267" s="12" t="s">
        <v>1393</v>
      </c>
      <c r="B267" s="12" t="s">
        <v>1394</v>
      </c>
      <c r="C267" s="12" t="s">
        <v>1395</v>
      </c>
      <c r="D267" s="12" t="s">
        <v>251</v>
      </c>
      <c r="E267" s="12" t="s">
        <v>91</v>
      </c>
      <c r="F267" s="12" t="s">
        <v>92</v>
      </c>
      <c r="G267" s="13" t="n">
        <v>2081648</v>
      </c>
      <c r="H267" s="13" t="n">
        <v>48475353</v>
      </c>
      <c r="I267" s="17"/>
      <c r="K267" s="13" t="n">
        <v>314943</v>
      </c>
      <c r="L267" s="12" t="n">
        <v>6.4</v>
      </c>
      <c r="M267" s="14" t="n">
        <f aca="false">IF(G267="","",PERCENTRANK($G$2:$G$354,G267))</f>
        <v>0.239</v>
      </c>
      <c r="N267" s="14" t="str">
        <f aca="false">IF(I267="","",PERCENTRANK($I$2:$I$354,I267))</f>
        <v/>
      </c>
      <c r="O267" s="14" t="n">
        <f aca="false">IF(K267="","",PERCENTRANK($K$2:$K$354,K267))</f>
        <v>0.369</v>
      </c>
      <c r="P267" s="12" t="n">
        <f aca="false">COUNT(M267:O267)</f>
        <v>2</v>
      </c>
      <c r="Q267" s="12" t="s">
        <v>1396</v>
      </c>
      <c r="W267" s="12" t="n">
        <f aca="false">COUNTA(Q267:V267)</f>
        <v>1</v>
      </c>
      <c r="X267" s="14" t="n">
        <f aca="false">IF(P267=0,"",MIN(1,AVERAGE(M267:O267)+Critérios!$B$5*W267))</f>
        <v>0.334</v>
      </c>
      <c r="Y267" s="12" t="str">
        <f aca="false">IF(X267="","",IF(X267&gt;=Critérios!$B$7,"A",IF(X267&gt;=Critérios!$B$8,"B","C")))</f>
        <v>C</v>
      </c>
      <c r="Z267" s="12" t="n">
        <f aca="false">IF(X267="","",RANK(X267,$X$2:$X$354))</f>
        <v>266</v>
      </c>
      <c r="AA267" s="12" t="str">
        <f aca="false">IF(X267="","Sairia — sem métrica",IF(PERCENTRANK($X$2:$X$354,X267)&lt;Critérios!$B$6,"Sairia — terço inferior","Fica"))</f>
        <v>Sairia — terço inferior</v>
      </c>
      <c r="AB267" s="12" t="s">
        <v>105</v>
      </c>
      <c r="AC267" s="12" t="s">
        <v>719</v>
      </c>
      <c r="AD267" s="15" t="s">
        <v>95</v>
      </c>
      <c r="AE267" s="16"/>
      <c r="AF267" s="12" t="s">
        <v>1397</v>
      </c>
      <c r="AG267" s="12" t="s">
        <v>1398</v>
      </c>
      <c r="AH267" s="12" t="n">
        <f aca="false">COUNT(G267,I267,K267)+COUNTA(Q267:V267)</f>
        <v>3</v>
      </c>
      <c r="AI267" s="12" t="str">
        <f aca="false">IF(AH267&gt;=3,"Sim","Não")</f>
        <v>Sim</v>
      </c>
      <c r="AJ267" s="12" t="str">
        <f aca="false">IF(AND(Z267&lt;&gt;"",Z267&lt;=Critérios!$B$9),"Sim","Não")</f>
        <v>Não</v>
      </c>
    </row>
    <row r="268" customFormat="false" ht="15" hidden="false" customHeight="false" outlineLevel="0" collapsed="false">
      <c r="A268" s="12" t="s">
        <v>1399</v>
      </c>
      <c r="B268" s="12" t="s">
        <v>1400</v>
      </c>
      <c r="C268" s="12" t="s">
        <v>1401</v>
      </c>
      <c r="D268" s="12" t="s">
        <v>118</v>
      </c>
      <c r="E268" s="12" t="s">
        <v>91</v>
      </c>
      <c r="F268" s="12" t="s">
        <v>92</v>
      </c>
      <c r="G268" s="13" t="n">
        <v>2561226</v>
      </c>
      <c r="H268" s="13" t="n">
        <v>50982404</v>
      </c>
      <c r="I268" s="17"/>
      <c r="K268" s="13" t="n">
        <v>196133</v>
      </c>
      <c r="L268" s="12" t="n">
        <v>6.2</v>
      </c>
      <c r="M268" s="14" t="n">
        <f aca="false">IF(G268="","",PERCENTRANK($G$2:$G$354,G268))</f>
        <v>0.356</v>
      </c>
      <c r="N268" s="14" t="str">
        <f aca="false">IF(I268="","",PERCENTRANK($I$2:$I$354,I268))</f>
        <v/>
      </c>
      <c r="O268" s="14" t="n">
        <f aca="false">IF(K268="","",PERCENTRANK($K$2:$K$354,K268))</f>
        <v>0.19</v>
      </c>
      <c r="P268" s="12" t="n">
        <f aca="false">COUNT(M268:O268)</f>
        <v>2</v>
      </c>
      <c r="Q268" s="12" t="s">
        <v>1402</v>
      </c>
      <c r="T268" s="12" t="s">
        <v>1403</v>
      </c>
      <c r="W268" s="12" t="n">
        <f aca="false">COUNTA(Q268:V268)</f>
        <v>2</v>
      </c>
      <c r="X268" s="14" t="n">
        <f aca="false">IF(P268=0,"",MIN(1,AVERAGE(M268:O268)+Critérios!$B$5*W268))</f>
        <v>0.333</v>
      </c>
      <c r="Y268" s="12" t="str">
        <f aca="false">IF(X268="","",IF(X268&gt;=Critérios!$B$7,"A",IF(X268&gt;=Critérios!$B$8,"B","C")))</f>
        <v>C</v>
      </c>
      <c r="Z268" s="12" t="n">
        <f aca="false">IF(X268="","",RANK(X268,$X$2:$X$354))</f>
        <v>267</v>
      </c>
      <c r="AA268" s="12" t="str">
        <f aca="false">IF(X268="","Sairia — sem métrica",IF(PERCENTRANK($X$2:$X$354,X268)&lt;Critérios!$B$6,"Sairia — terço inferior","Fica"))</f>
        <v>Sairia — terço inferior</v>
      </c>
      <c r="AB268" s="12" t="s">
        <v>105</v>
      </c>
      <c r="AC268" s="12" t="s">
        <v>719</v>
      </c>
      <c r="AD268" s="15" t="s">
        <v>95</v>
      </c>
      <c r="AE268" s="16"/>
      <c r="AF268" s="12" t="s">
        <v>931</v>
      </c>
      <c r="AG268" s="12" t="s">
        <v>1404</v>
      </c>
      <c r="AH268" s="12" t="n">
        <f aca="false">COUNT(G268,I268,K268)+COUNTA(Q268:V268)</f>
        <v>4</v>
      </c>
      <c r="AI268" s="12" t="str">
        <f aca="false">IF(AH268&gt;=3,"Sim","Não")</f>
        <v>Sim</v>
      </c>
      <c r="AJ268" s="12" t="str">
        <f aca="false">IF(AND(Z268&lt;&gt;"",Z268&lt;=Critérios!$B$9),"Sim","Não")</f>
        <v>Não</v>
      </c>
    </row>
    <row r="269" customFormat="false" ht="15" hidden="false" customHeight="false" outlineLevel="0" collapsed="false">
      <c r="A269" s="12" t="s">
        <v>1405</v>
      </c>
      <c r="B269" s="12" t="s">
        <v>1406</v>
      </c>
      <c r="C269" s="12" t="s">
        <v>1407</v>
      </c>
      <c r="D269" s="12" t="s">
        <v>118</v>
      </c>
      <c r="E269" s="12" t="s">
        <v>91</v>
      </c>
      <c r="F269" s="12" t="s">
        <v>92</v>
      </c>
      <c r="G269" s="13" t="n">
        <v>1464982</v>
      </c>
      <c r="H269" s="13" t="n">
        <v>27020534</v>
      </c>
      <c r="I269" s="17"/>
      <c r="K269" s="13" t="n">
        <v>309053</v>
      </c>
      <c r="L269" s="12" t="n">
        <v>6.3</v>
      </c>
      <c r="M269" s="14" t="n">
        <f aca="false">IF(G269="","",PERCENTRANK($G$2:$G$354,G269))</f>
        <v>0.121</v>
      </c>
      <c r="N269" s="14" t="str">
        <f aca="false">IF(I269="","",PERCENTRANK($I$2:$I$354,I269))</f>
        <v/>
      </c>
      <c r="O269" s="14" t="n">
        <f aca="false">IF(K269="","",PERCENTRANK($K$2:$K$354,K269))</f>
        <v>0.361</v>
      </c>
      <c r="P269" s="12" t="n">
        <f aca="false">COUNT(M269:O269)</f>
        <v>2</v>
      </c>
      <c r="Q269" s="12" t="s">
        <v>1408</v>
      </c>
      <c r="S269" s="12" t="s">
        <v>1409</v>
      </c>
      <c r="T269" s="12" t="s">
        <v>1410</v>
      </c>
      <c r="W269" s="12" t="n">
        <f aca="false">COUNTA(Q269:V269)</f>
        <v>3</v>
      </c>
      <c r="X269" s="14" t="n">
        <f aca="false">IF(P269=0,"",MIN(1,AVERAGE(M269:O269)+Critérios!$B$5*W269))</f>
        <v>0.331</v>
      </c>
      <c r="Y269" s="12" t="str">
        <f aca="false">IF(X269="","",IF(X269&gt;=Critérios!$B$7,"A",IF(X269&gt;=Critérios!$B$8,"B","C")))</f>
        <v>C</v>
      </c>
      <c r="Z269" s="12" t="n">
        <f aca="false">IF(X269="","",RANK(X269,$X$2:$X$354))</f>
        <v>268</v>
      </c>
      <c r="AA269" s="12" t="str">
        <f aca="false">IF(X269="","Sairia — sem métrica",IF(PERCENTRANK($X$2:$X$354,X269)&lt;Critérios!$B$6,"Sairia — terço inferior","Fica"))</f>
        <v>Sairia — terço inferior</v>
      </c>
      <c r="AB269" s="12" t="s">
        <v>105</v>
      </c>
      <c r="AC269" s="12" t="s">
        <v>719</v>
      </c>
      <c r="AD269" s="15" t="s">
        <v>95</v>
      </c>
      <c r="AE269" s="16"/>
      <c r="AF269" s="12" t="s">
        <v>931</v>
      </c>
      <c r="AG269" s="12" t="s">
        <v>1411</v>
      </c>
      <c r="AH269" s="12" t="n">
        <f aca="false">COUNT(G269,I269,K269)+COUNTA(Q269:V269)</f>
        <v>5</v>
      </c>
      <c r="AI269" s="12" t="str">
        <f aca="false">IF(AH269&gt;=3,"Sim","Não")</f>
        <v>Sim</v>
      </c>
      <c r="AJ269" s="12" t="str">
        <f aca="false">IF(AND(Z269&lt;&gt;"",Z269&lt;=Critérios!$B$9),"Sim","Não")</f>
        <v>Não</v>
      </c>
    </row>
    <row r="270" customFormat="false" ht="15" hidden="false" customHeight="false" outlineLevel="0" collapsed="false">
      <c r="A270" s="12" t="s">
        <v>1412</v>
      </c>
      <c r="B270" s="12" t="s">
        <v>1413</v>
      </c>
      <c r="C270" s="12" t="s">
        <v>1414</v>
      </c>
      <c r="D270" s="12" t="s">
        <v>127</v>
      </c>
      <c r="E270" s="12" t="s">
        <v>91</v>
      </c>
      <c r="F270" s="12" t="s">
        <v>92</v>
      </c>
      <c r="G270" s="13" t="n">
        <v>1786310</v>
      </c>
      <c r="H270" s="13" t="n">
        <v>12428001</v>
      </c>
      <c r="I270" s="13" t="n">
        <v>474968763</v>
      </c>
      <c r="J270" s="12" t="n">
        <v>8</v>
      </c>
      <c r="K270" s="13" t="n">
        <v>580041</v>
      </c>
      <c r="L270" s="12" t="n">
        <v>6.7</v>
      </c>
      <c r="M270" s="14" t="n">
        <f aca="false">IF(G270="","",PERCENTRANK($G$2:$G$354,G270))</f>
        <v>0.17</v>
      </c>
      <c r="N270" s="14" t="n">
        <f aca="false">IF(I270="","",PERCENTRANK($I$2:$I$354,I270))</f>
        <v>0.144</v>
      </c>
      <c r="O270" s="14" t="n">
        <f aca="false">IF(K270="","",PERCENTRANK($K$2:$K$354,K270))</f>
        <v>0.656</v>
      </c>
      <c r="P270" s="12" t="n">
        <f aca="false">COUNT(M270:O270)</f>
        <v>3</v>
      </c>
      <c r="W270" s="12" t="n">
        <f aca="false">COUNTA(Q270:V270)</f>
        <v>0</v>
      </c>
      <c r="X270" s="14" t="n">
        <f aca="false">IF(P270=0,"",MIN(1,AVERAGE(M270:O270)+Critérios!$B$5*W270))</f>
        <v>0.323333333333333</v>
      </c>
      <c r="Y270" s="12" t="str">
        <f aca="false">IF(X270="","",IF(X270&gt;=Critérios!$B$7,"A",IF(X270&gt;=Critérios!$B$8,"B","C")))</f>
        <v>C</v>
      </c>
      <c r="Z270" s="12" t="n">
        <f aca="false">IF(X270="","",RANK(X270,$X$2:$X$354))</f>
        <v>270</v>
      </c>
      <c r="AA270" s="12" t="str">
        <f aca="false">IF(X270="","Sairia — sem métrica",IF(PERCENTRANK($X$2:$X$354,X270)&lt;Critérios!$B$6,"Sairia — terço inferior","Fica"))</f>
        <v>Sairia — terço inferior</v>
      </c>
      <c r="AB270" s="12" t="s">
        <v>105</v>
      </c>
      <c r="AD270" s="15" t="s">
        <v>95</v>
      </c>
      <c r="AE270" s="16"/>
      <c r="AF270" s="12" t="s">
        <v>495</v>
      </c>
      <c r="AG270" s="12" t="s">
        <v>1415</v>
      </c>
      <c r="AH270" s="12" t="n">
        <f aca="false">COUNT(G270,I270,K270)+COUNTA(Q270:V270)</f>
        <v>3</v>
      </c>
      <c r="AI270" s="12" t="str">
        <f aca="false">IF(AH270&gt;=3,"Sim","Não")</f>
        <v>Sim</v>
      </c>
      <c r="AJ270" s="12" t="str">
        <f aca="false">IF(AND(Z270&lt;&gt;"",Z270&lt;=Critérios!$B$9),"Sim","Não")</f>
        <v>Não</v>
      </c>
    </row>
    <row r="271" customFormat="false" ht="15" hidden="false" customHeight="false" outlineLevel="0" collapsed="false">
      <c r="A271" s="12" t="s">
        <v>1416</v>
      </c>
      <c r="B271" s="12" t="s">
        <v>1417</v>
      </c>
      <c r="C271" s="12" t="s">
        <v>1417</v>
      </c>
      <c r="D271" s="12" t="s">
        <v>127</v>
      </c>
      <c r="E271" s="12" t="s">
        <v>91</v>
      </c>
      <c r="F271" s="12" t="s">
        <v>92</v>
      </c>
      <c r="G271" s="13" t="n">
        <v>1861740</v>
      </c>
      <c r="H271" s="13" t="n">
        <v>13604939</v>
      </c>
      <c r="I271" s="13" t="n">
        <v>556906378</v>
      </c>
      <c r="J271" s="12" t="n">
        <v>5</v>
      </c>
      <c r="K271" s="13" t="n">
        <v>475643</v>
      </c>
      <c r="L271" s="12" t="n">
        <v>7.2</v>
      </c>
      <c r="M271" s="14" t="n">
        <f aca="false">IF(G271="","",PERCENTRANK($G$2:$G$354,G271))</f>
        <v>0.183</v>
      </c>
      <c r="N271" s="14" t="n">
        <f aca="false">IF(I271="","",PERCENTRANK($I$2:$I$354,I271))</f>
        <v>0.233</v>
      </c>
      <c r="O271" s="14" t="n">
        <f aca="false">IF(K271="","",PERCENTRANK($K$2:$K$354,K271))</f>
        <v>0.554</v>
      </c>
      <c r="P271" s="12" t="n">
        <f aca="false">COUNT(M271:O271)</f>
        <v>3</v>
      </c>
      <c r="W271" s="12" t="n">
        <f aca="false">COUNTA(Q271:V271)</f>
        <v>0</v>
      </c>
      <c r="X271" s="14" t="n">
        <f aca="false">IF(P271=0,"",MIN(1,AVERAGE(M271:O271)+Critérios!$B$5*W271))</f>
        <v>0.323333333333333</v>
      </c>
      <c r="Y271" s="12" t="str">
        <f aca="false">IF(X271="","",IF(X271&gt;=Critérios!$B$7,"A",IF(X271&gt;=Critérios!$B$8,"B","C")))</f>
        <v>C</v>
      </c>
      <c r="Z271" s="12" t="n">
        <f aca="false">IF(X271="","",RANK(X271,$X$2:$X$354))</f>
        <v>269</v>
      </c>
      <c r="AA271" s="12" t="str">
        <f aca="false">IF(X271="","Sairia — sem métrica",IF(PERCENTRANK($X$2:$X$354,X271)&lt;Critérios!$B$6,"Sairia — terço inferior","Fica"))</f>
        <v>Sairia — terço inferior</v>
      </c>
      <c r="AB271" s="12" t="s">
        <v>105</v>
      </c>
      <c r="AD271" s="15" t="s">
        <v>95</v>
      </c>
      <c r="AE271" s="16"/>
      <c r="AF271" s="12" t="s">
        <v>495</v>
      </c>
      <c r="AG271" s="12" t="s">
        <v>1418</v>
      </c>
      <c r="AH271" s="12" t="n">
        <f aca="false">COUNT(G271,I271,K271)+COUNTA(Q271:V271)</f>
        <v>3</v>
      </c>
      <c r="AI271" s="12" t="str">
        <f aca="false">IF(AH271&gt;=3,"Sim","Não")</f>
        <v>Sim</v>
      </c>
      <c r="AJ271" s="12" t="str">
        <f aca="false">IF(AND(Z271&lt;&gt;"",Z271&lt;=Critérios!$B$9),"Sim","Não")</f>
        <v>Não</v>
      </c>
    </row>
    <row r="272" customFormat="false" ht="15" hidden="false" customHeight="false" outlineLevel="0" collapsed="false">
      <c r="A272" s="12" t="s">
        <v>1419</v>
      </c>
      <c r="B272" s="12" t="s">
        <v>1420</v>
      </c>
      <c r="C272" s="12" t="s">
        <v>1421</v>
      </c>
      <c r="D272" s="12" t="s">
        <v>286</v>
      </c>
      <c r="E272" s="12" t="s">
        <v>91</v>
      </c>
      <c r="F272" s="12" t="s">
        <v>92</v>
      </c>
      <c r="G272" s="13" t="n">
        <v>2517904</v>
      </c>
      <c r="H272" s="13" t="n">
        <v>15868286</v>
      </c>
      <c r="I272" s="13" t="n">
        <v>433371112</v>
      </c>
      <c r="J272" s="12" t="n">
        <v>7</v>
      </c>
      <c r="K272" s="13" t="n">
        <v>441476</v>
      </c>
      <c r="L272" s="12" t="n">
        <v>6.3</v>
      </c>
      <c r="M272" s="14" t="n">
        <f aca="false">IF(G272="","",PERCENTRANK($G$2:$G$354,G272))</f>
        <v>0.337</v>
      </c>
      <c r="N272" s="14" t="n">
        <f aca="false">IF(I272="","",PERCENTRANK($I$2:$I$354,I272))</f>
        <v>0.106</v>
      </c>
      <c r="O272" s="14" t="n">
        <f aca="false">IF(K272="","",PERCENTRANK($K$2:$K$354,K272))</f>
        <v>0.506</v>
      </c>
      <c r="P272" s="12" t="n">
        <f aca="false">COUNT(M272:O272)</f>
        <v>3</v>
      </c>
      <c r="W272" s="12" t="n">
        <f aca="false">COUNTA(Q272:V272)</f>
        <v>0</v>
      </c>
      <c r="X272" s="14" t="n">
        <f aca="false">IF(P272=0,"",MIN(1,AVERAGE(M272:O272)+Critérios!$B$5*W272))</f>
        <v>0.316333333333333</v>
      </c>
      <c r="Y272" s="12" t="str">
        <f aca="false">IF(X272="","",IF(X272&gt;=Critérios!$B$7,"A",IF(X272&gt;=Critérios!$B$8,"B","C")))</f>
        <v>C</v>
      </c>
      <c r="Z272" s="12" t="n">
        <f aca="false">IF(X272="","",RANK(X272,$X$2:$X$354))</f>
        <v>271</v>
      </c>
      <c r="AA272" s="12" t="str">
        <f aca="false">IF(X272="","Sairia — sem métrica",IF(PERCENTRANK($X$2:$X$354,X272)&lt;Critérios!$B$6,"Sairia — terço inferior","Fica"))</f>
        <v>Sairia — terço inferior</v>
      </c>
      <c r="AB272" s="12" t="s">
        <v>105</v>
      </c>
      <c r="AD272" s="15" t="s">
        <v>95</v>
      </c>
      <c r="AE272" s="16"/>
      <c r="AF272" s="12" t="s">
        <v>287</v>
      </c>
      <c r="AG272" s="12" t="s">
        <v>1422</v>
      </c>
      <c r="AH272" s="12" t="n">
        <f aca="false">COUNT(G272,I272,K272)+COUNTA(Q272:V272)</f>
        <v>3</v>
      </c>
      <c r="AI272" s="12" t="str">
        <f aca="false">IF(AH272&gt;=3,"Sim","Não")</f>
        <v>Sim</v>
      </c>
      <c r="AJ272" s="12" t="str">
        <f aca="false">IF(AND(Z272&lt;&gt;"",Z272&lt;=Critérios!$B$9),"Sim","Não")</f>
        <v>Não</v>
      </c>
    </row>
    <row r="273" customFormat="false" ht="15" hidden="false" customHeight="false" outlineLevel="0" collapsed="false">
      <c r="A273" s="12" t="s">
        <v>1423</v>
      </c>
      <c r="B273" s="12" t="s">
        <v>1424</v>
      </c>
      <c r="C273" s="12" t="s">
        <v>1425</v>
      </c>
      <c r="D273" s="12" t="s">
        <v>273</v>
      </c>
      <c r="E273" s="12" t="s">
        <v>91</v>
      </c>
      <c r="F273" s="12" t="s">
        <v>92</v>
      </c>
      <c r="G273" s="13" t="n">
        <v>2710249</v>
      </c>
      <c r="H273" s="13" t="n">
        <v>16024982</v>
      </c>
      <c r="I273" s="13" t="n">
        <v>408247917</v>
      </c>
      <c r="J273" s="12" t="n">
        <v>7</v>
      </c>
      <c r="K273" s="13" t="n">
        <v>419791</v>
      </c>
      <c r="L273" s="12" t="n">
        <v>6.8</v>
      </c>
      <c r="M273" s="14" t="n">
        <f aca="false">IF(G273="","",PERCENTRANK($G$2:$G$354,G273))</f>
        <v>0.386</v>
      </c>
      <c r="N273" s="14" t="n">
        <f aca="false">IF(I273="","",PERCENTRANK($I$2:$I$354,I273))</f>
        <v>0.072</v>
      </c>
      <c r="O273" s="14" t="n">
        <f aca="false">IF(K273="","",PERCENTRANK($K$2:$K$354,K273))</f>
        <v>0.474</v>
      </c>
      <c r="P273" s="12" t="n">
        <f aca="false">COUNT(M273:O273)</f>
        <v>3</v>
      </c>
      <c r="W273" s="12" t="n">
        <f aca="false">COUNTA(Q273:V273)</f>
        <v>0</v>
      </c>
      <c r="X273" s="14" t="n">
        <f aca="false">IF(P273=0,"",MIN(1,AVERAGE(M273:O273)+Critérios!$B$5*W273))</f>
        <v>0.310666666666667</v>
      </c>
      <c r="Y273" s="12" t="str">
        <f aca="false">IF(X273="","",IF(X273&gt;=Critérios!$B$7,"A",IF(X273&gt;=Critérios!$B$8,"B","C")))</f>
        <v>C</v>
      </c>
      <c r="Z273" s="12" t="n">
        <f aca="false">IF(X273="","",RANK(X273,$X$2:$X$354))</f>
        <v>272</v>
      </c>
      <c r="AA273" s="12" t="str">
        <f aca="false">IF(X273="","Sairia — sem métrica",IF(PERCENTRANK($X$2:$X$354,X273)&lt;Critérios!$B$6,"Sairia — terço inferior","Fica"))</f>
        <v>Sairia — terço inferior</v>
      </c>
      <c r="AB273" s="12" t="s">
        <v>105</v>
      </c>
      <c r="AD273" s="15" t="s">
        <v>95</v>
      </c>
      <c r="AE273" s="16"/>
      <c r="AF273" s="12" t="s">
        <v>275</v>
      </c>
      <c r="AG273" s="12" t="s">
        <v>1426</v>
      </c>
      <c r="AH273" s="12" t="n">
        <f aca="false">COUNT(G273,I273,K273)+COUNTA(Q273:V273)</f>
        <v>3</v>
      </c>
      <c r="AI273" s="12" t="str">
        <f aca="false">IF(AH273&gt;=3,"Sim","Não")</f>
        <v>Sim</v>
      </c>
      <c r="AJ273" s="12" t="str">
        <f aca="false">IF(AND(Z273&lt;&gt;"",Z273&lt;=Critérios!$B$9),"Sim","Não")</f>
        <v>Não</v>
      </c>
    </row>
    <row r="274" customFormat="false" ht="15" hidden="false" customHeight="false" outlineLevel="0" collapsed="false">
      <c r="A274" s="12" t="s">
        <v>1427</v>
      </c>
      <c r="B274" s="12" t="s">
        <v>1428</v>
      </c>
      <c r="C274" s="12" t="s">
        <v>1429</v>
      </c>
      <c r="D274" s="12" t="s">
        <v>146</v>
      </c>
      <c r="E274" s="12" t="s">
        <v>91</v>
      </c>
      <c r="F274" s="12" t="s">
        <v>92</v>
      </c>
      <c r="G274" s="13" t="n">
        <v>2216029</v>
      </c>
      <c r="H274" s="13" t="n">
        <v>17077977</v>
      </c>
      <c r="I274" s="13" t="n">
        <v>536414270</v>
      </c>
      <c r="J274" s="12" t="n">
        <v>8</v>
      </c>
      <c r="K274" s="13" t="n">
        <v>365972</v>
      </c>
      <c r="L274" s="12" t="n">
        <v>7.3</v>
      </c>
      <c r="M274" s="14" t="n">
        <f aca="false">IF(G274="","",PERCENTRANK($G$2:$G$354,G274))</f>
        <v>0.281</v>
      </c>
      <c r="N274" s="14" t="n">
        <f aca="false">IF(I274="","",PERCENTRANK($I$2:$I$354,I274))</f>
        <v>0.212</v>
      </c>
      <c r="O274" s="14" t="n">
        <f aca="false">IF(K274="","",PERCENTRANK($K$2:$K$354,K274))</f>
        <v>0.432</v>
      </c>
      <c r="P274" s="12" t="n">
        <f aca="false">COUNT(M274:O274)</f>
        <v>3</v>
      </c>
      <c r="W274" s="12" t="n">
        <f aca="false">COUNTA(Q274:V274)</f>
        <v>0</v>
      </c>
      <c r="X274" s="14" t="n">
        <f aca="false">IF(P274=0,"",MIN(1,AVERAGE(M274:O274)+Critérios!$B$5*W274))</f>
        <v>0.308333333333333</v>
      </c>
      <c r="Y274" s="12" t="str">
        <f aca="false">IF(X274="","",IF(X274&gt;=Critérios!$B$7,"A",IF(X274&gt;=Critérios!$B$8,"B","C")))</f>
        <v>C</v>
      </c>
      <c r="Z274" s="12" t="n">
        <f aca="false">IF(X274="","",RANK(X274,$X$2:$X$354))</f>
        <v>273</v>
      </c>
      <c r="AA274" s="12" t="str">
        <f aca="false">IF(X274="","Sairia — sem métrica",IF(PERCENTRANK($X$2:$X$354,X274)&lt;Critérios!$B$6,"Sairia — terço inferior","Fica"))</f>
        <v>Sairia — terço inferior</v>
      </c>
      <c r="AB274" s="12" t="s">
        <v>105</v>
      </c>
      <c r="AD274" s="15" t="s">
        <v>95</v>
      </c>
      <c r="AE274" s="16"/>
      <c r="AF274" s="12" t="s">
        <v>434</v>
      </c>
      <c r="AG274" s="12" t="s">
        <v>1430</v>
      </c>
      <c r="AH274" s="12" t="n">
        <f aca="false">COUNT(G274,I274,K274)+COUNTA(Q274:V274)</f>
        <v>3</v>
      </c>
      <c r="AI274" s="12" t="str">
        <f aca="false">IF(AH274&gt;=3,"Sim","Não")</f>
        <v>Sim</v>
      </c>
      <c r="AJ274" s="12" t="str">
        <f aca="false">IF(AND(Z274&lt;&gt;"",Z274&lt;=Critérios!$B$9),"Sim","Não")</f>
        <v>Não</v>
      </c>
    </row>
    <row r="275" customFormat="false" ht="15" hidden="false" customHeight="false" outlineLevel="0" collapsed="false">
      <c r="A275" s="12" t="s">
        <v>1431</v>
      </c>
      <c r="B275" s="12" t="s">
        <v>1432</v>
      </c>
      <c r="C275" s="12" t="s">
        <v>1433</v>
      </c>
      <c r="D275" s="12" t="s">
        <v>396</v>
      </c>
      <c r="E275" s="12" t="s">
        <v>91</v>
      </c>
      <c r="F275" s="12" t="s">
        <v>92</v>
      </c>
      <c r="G275" s="13" t="n">
        <v>1704923</v>
      </c>
      <c r="H275" s="13" t="n">
        <v>10220924</v>
      </c>
      <c r="I275" s="17"/>
      <c r="K275" s="13" t="n">
        <v>343823</v>
      </c>
      <c r="L275" s="12" t="n">
        <v>7.2</v>
      </c>
      <c r="M275" s="14" t="n">
        <f aca="false">IF(G275="","",PERCENTRANK($G$2:$G$354,G275))</f>
        <v>0.15</v>
      </c>
      <c r="N275" s="14" t="str">
        <f aca="false">IF(I275="","",PERCENTRANK($I$2:$I$354,I275))</f>
        <v/>
      </c>
      <c r="O275" s="14" t="n">
        <f aca="false">IF(K275="","",PERCENTRANK($K$2:$K$354,K275))</f>
        <v>0.403</v>
      </c>
      <c r="P275" s="12" t="n">
        <f aca="false">COUNT(M275:O275)</f>
        <v>2</v>
      </c>
      <c r="R275" s="12" t="s">
        <v>1434</v>
      </c>
      <c r="W275" s="12" t="n">
        <f aca="false">COUNTA(Q275:V275)</f>
        <v>1</v>
      </c>
      <c r="X275" s="14" t="n">
        <f aca="false">IF(P275=0,"",MIN(1,AVERAGE(M275:O275)+Critérios!$B$5*W275))</f>
        <v>0.3065</v>
      </c>
      <c r="Y275" s="12" t="str">
        <f aca="false">IF(X275="","",IF(X275&gt;=Critérios!$B$7,"A",IF(X275&gt;=Critérios!$B$8,"B","C")))</f>
        <v>C</v>
      </c>
      <c r="Z275" s="12" t="n">
        <f aca="false">IF(X275="","",RANK(X275,$X$2:$X$354))</f>
        <v>274</v>
      </c>
      <c r="AA275" s="12" t="str">
        <f aca="false">IF(X275="","Sairia — sem métrica",IF(PERCENTRANK($X$2:$X$354,X275)&lt;Critérios!$B$6,"Sairia — terço inferior","Fica"))</f>
        <v>Sairia — terço inferior</v>
      </c>
      <c r="AB275" s="12" t="s">
        <v>105</v>
      </c>
      <c r="AD275" s="15" t="s">
        <v>95</v>
      </c>
      <c r="AE275" s="16"/>
      <c r="AF275" s="12" t="s">
        <v>1435</v>
      </c>
      <c r="AG275" s="12" t="s">
        <v>1436</v>
      </c>
      <c r="AH275" s="12" t="n">
        <f aca="false">COUNT(G275,I275,K275)+COUNTA(Q275:V275)</f>
        <v>3</v>
      </c>
      <c r="AI275" s="12" t="str">
        <f aca="false">IF(AH275&gt;=3,"Sim","Não")</f>
        <v>Sim</v>
      </c>
      <c r="AJ275" s="12" t="str">
        <f aca="false">IF(AND(Z275&lt;&gt;"",Z275&lt;=Critérios!$B$9),"Sim","Não")</f>
        <v>Não</v>
      </c>
    </row>
    <row r="276" customFormat="false" ht="15" hidden="false" customHeight="false" outlineLevel="0" collapsed="false">
      <c r="A276" s="12" t="s">
        <v>1437</v>
      </c>
      <c r="B276" s="12" t="s">
        <v>1438</v>
      </c>
      <c r="C276" s="12"/>
      <c r="D276" s="12" t="s">
        <v>101</v>
      </c>
      <c r="E276" s="12" t="s">
        <v>91</v>
      </c>
      <c r="F276" s="12" t="s">
        <v>92</v>
      </c>
      <c r="G276" s="13" t="n">
        <v>1296204</v>
      </c>
      <c r="H276" s="13" t="n">
        <v>20090650</v>
      </c>
      <c r="I276" s="17"/>
      <c r="K276" s="13" t="n">
        <v>302582</v>
      </c>
      <c r="L276" s="12" t="n">
        <v>7.2</v>
      </c>
      <c r="M276" s="14" t="n">
        <f aca="false">IF(G276="","",PERCENTRANK($G$2:$G$354,G276))</f>
        <v>0.0915</v>
      </c>
      <c r="N276" s="14" t="str">
        <f aca="false">IF(I276="","",PERCENTRANK($I$2:$I$354,I276))</f>
        <v/>
      </c>
      <c r="O276" s="14" t="n">
        <f aca="false">IF(K276="","",PERCENTRANK($K$2:$K$354,K276))</f>
        <v>0.338</v>
      </c>
      <c r="P276" s="12" t="n">
        <f aca="false">COUNT(M276:O276)</f>
        <v>2</v>
      </c>
      <c r="Q276" s="12" t="s">
        <v>1439</v>
      </c>
      <c r="S276" s="12" t="s">
        <v>1440</v>
      </c>
      <c r="T276" s="12" t="s">
        <v>1441</v>
      </c>
      <c r="W276" s="12" t="n">
        <f aca="false">COUNTA(Q276:V276)</f>
        <v>3</v>
      </c>
      <c r="X276" s="14" t="n">
        <f aca="false">IF(P276=0,"",MIN(1,AVERAGE(M276:O276)+Critérios!$B$5*W276))</f>
        <v>0.30475</v>
      </c>
      <c r="Y276" s="12" t="str">
        <f aca="false">IF(X276="","",IF(X276&gt;=Critérios!$B$7,"A",IF(X276&gt;=Critérios!$B$8,"B","C")))</f>
        <v>C</v>
      </c>
      <c r="Z276" s="12" t="n">
        <f aca="false">IF(X276="","",RANK(X276,$X$2:$X$354))</f>
        <v>275</v>
      </c>
      <c r="AA276" s="12" t="str">
        <f aca="false">IF(X276="","Sairia — sem métrica",IF(PERCENTRANK($X$2:$X$354,X276)&lt;Critérios!$B$6,"Sairia — terço inferior","Fica"))</f>
        <v>Sairia — terço inferior</v>
      </c>
      <c r="AB276" s="12" t="s">
        <v>105</v>
      </c>
      <c r="AC276" s="12" t="s">
        <v>719</v>
      </c>
      <c r="AD276" s="15" t="s">
        <v>95</v>
      </c>
      <c r="AE276" s="16"/>
      <c r="AF276" s="12" t="s">
        <v>720</v>
      </c>
      <c r="AG276" s="12" t="s">
        <v>1442</v>
      </c>
      <c r="AH276" s="12" t="n">
        <f aca="false">COUNT(G276,I276,K276)+COUNTA(Q276:V276)</f>
        <v>5</v>
      </c>
      <c r="AI276" s="12" t="str">
        <f aca="false">IF(AH276&gt;=3,"Sim","Não")</f>
        <v>Sim</v>
      </c>
      <c r="AJ276" s="12" t="str">
        <f aca="false">IF(AND(Z276&lt;&gt;"",Z276&lt;=Critérios!$B$9),"Sim","Não")</f>
        <v>Não</v>
      </c>
    </row>
    <row r="277" customFormat="false" ht="15" hidden="false" customHeight="false" outlineLevel="0" collapsed="false">
      <c r="A277" s="12" t="s">
        <v>1443</v>
      </c>
      <c r="B277" s="12" t="s">
        <v>1444</v>
      </c>
      <c r="C277" s="12" t="s">
        <v>1445</v>
      </c>
      <c r="D277" s="12" t="s">
        <v>175</v>
      </c>
      <c r="E277" s="12" t="s">
        <v>91</v>
      </c>
      <c r="F277" s="12" t="s">
        <v>92</v>
      </c>
      <c r="G277" s="13" t="n">
        <v>2918139</v>
      </c>
      <c r="H277" s="13" t="n">
        <v>53104798</v>
      </c>
      <c r="I277" s="17"/>
      <c r="K277" s="13" t="n">
        <v>144387</v>
      </c>
      <c r="L277" s="12" t="n">
        <v>5.4</v>
      </c>
      <c r="M277" s="14" t="n">
        <f aca="false">IF(G277="","",PERCENTRANK($G$2:$G$354,G277))</f>
        <v>0.431</v>
      </c>
      <c r="N277" s="14" t="str">
        <f aca="false">IF(I277="","",PERCENTRANK($I$2:$I$354,I277))</f>
        <v/>
      </c>
      <c r="O277" s="14" t="n">
        <f aca="false">IF(K277="","",PERCENTRANK($K$2:$K$354,K277))</f>
        <v>0.114</v>
      </c>
      <c r="P277" s="12" t="n">
        <f aca="false">COUNT(M277:O277)</f>
        <v>2</v>
      </c>
      <c r="Q277" s="12" t="s">
        <v>1446</v>
      </c>
      <c r="W277" s="12" t="n">
        <f aca="false">COUNTA(Q277:V277)</f>
        <v>1</v>
      </c>
      <c r="X277" s="14" t="n">
        <f aca="false">IF(P277=0,"",MIN(1,AVERAGE(M277:O277)+Critérios!$B$5*W277))</f>
        <v>0.3025</v>
      </c>
      <c r="Y277" s="12" t="str">
        <f aca="false">IF(X277="","",IF(X277&gt;=Critérios!$B$7,"A",IF(X277&gt;=Critérios!$B$8,"B","C")))</f>
        <v>C</v>
      </c>
      <c r="Z277" s="12" t="n">
        <f aca="false">IF(X277="","",RANK(X277,$X$2:$X$354))</f>
        <v>276</v>
      </c>
      <c r="AA277" s="12" t="str">
        <f aca="false">IF(X277="","Sairia — sem métrica",IF(PERCENTRANK($X$2:$X$354,X277)&lt;Critérios!$B$6,"Sairia — terço inferior","Fica"))</f>
        <v>Sairia — terço inferior</v>
      </c>
      <c r="AB277" s="12" t="s">
        <v>105</v>
      </c>
      <c r="AC277" s="12" t="s">
        <v>719</v>
      </c>
      <c r="AD277" s="15" t="s">
        <v>95</v>
      </c>
      <c r="AE277" s="16"/>
      <c r="AF277" s="12" t="s">
        <v>1175</v>
      </c>
      <c r="AG277" s="12" t="s">
        <v>1447</v>
      </c>
      <c r="AH277" s="12" t="n">
        <f aca="false">COUNT(G277,I277,K277)+COUNTA(Q277:V277)</f>
        <v>3</v>
      </c>
      <c r="AI277" s="12" t="str">
        <f aca="false">IF(AH277&gt;=3,"Sim","Não")</f>
        <v>Sim</v>
      </c>
      <c r="AJ277" s="12" t="str">
        <f aca="false">IF(AND(Z277&lt;&gt;"",Z277&lt;=Critérios!$B$9),"Sim","Não")</f>
        <v>Não</v>
      </c>
    </row>
    <row r="278" customFormat="false" ht="15" hidden="false" customHeight="false" outlineLevel="0" collapsed="false">
      <c r="A278" s="12" t="s">
        <v>1448</v>
      </c>
      <c r="B278" s="12" t="s">
        <v>1449</v>
      </c>
      <c r="C278" s="12" t="s">
        <v>1450</v>
      </c>
      <c r="D278" s="12" t="s">
        <v>251</v>
      </c>
      <c r="E278" s="12" t="s">
        <v>91</v>
      </c>
      <c r="F278" s="12" t="s">
        <v>92</v>
      </c>
      <c r="G278" s="13" t="n">
        <v>2726576</v>
      </c>
      <c r="H278" s="13" t="n">
        <v>53314856</v>
      </c>
      <c r="I278" s="17"/>
      <c r="K278" s="13" t="n">
        <v>173064</v>
      </c>
      <c r="L278" s="12" t="n">
        <v>6.8</v>
      </c>
      <c r="M278" s="14" t="n">
        <f aca="false">IF(G278="","",PERCENTRANK($G$2:$G$354,G278))</f>
        <v>0.395</v>
      </c>
      <c r="N278" s="14" t="str">
        <f aca="false">IF(I278="","",PERCENTRANK($I$2:$I$354,I278))</f>
        <v/>
      </c>
      <c r="O278" s="14" t="n">
        <f aca="false">IF(K278="","",PERCENTRANK($K$2:$K$354,K278))</f>
        <v>0.142</v>
      </c>
      <c r="P278" s="12" t="n">
        <f aca="false">COUNT(M278:O278)</f>
        <v>2</v>
      </c>
      <c r="Q278" s="12" t="s">
        <v>1451</v>
      </c>
      <c r="W278" s="12" t="n">
        <f aca="false">COUNTA(Q278:V278)</f>
        <v>1</v>
      </c>
      <c r="X278" s="14" t="n">
        <f aca="false">IF(P278=0,"",MIN(1,AVERAGE(M278:O278)+Critérios!$B$5*W278))</f>
        <v>0.2985</v>
      </c>
      <c r="Y278" s="12" t="str">
        <f aca="false">IF(X278="","",IF(X278&gt;=Critérios!$B$7,"A",IF(X278&gt;=Critérios!$B$8,"B","C")))</f>
        <v>C</v>
      </c>
      <c r="Z278" s="12" t="n">
        <f aca="false">IF(X278="","",RANK(X278,$X$2:$X$354))</f>
        <v>277</v>
      </c>
      <c r="AA278" s="12" t="str">
        <f aca="false">IF(X278="","Sairia — sem métrica",IF(PERCENTRANK($X$2:$X$354,X278)&lt;Critérios!$B$6,"Sairia — terço inferior","Fica"))</f>
        <v>Sairia — terço inferior</v>
      </c>
      <c r="AB278" s="12" t="s">
        <v>94</v>
      </c>
      <c r="AC278" s="12" t="s">
        <v>719</v>
      </c>
      <c r="AD278" s="15" t="s">
        <v>95</v>
      </c>
      <c r="AE278" s="16"/>
      <c r="AF278" s="12" t="s">
        <v>1397</v>
      </c>
      <c r="AG278" s="12" t="s">
        <v>1452</v>
      </c>
      <c r="AH278" s="12" t="n">
        <f aca="false">COUNT(G278,I278,K278)+COUNTA(Q278:V278)</f>
        <v>3</v>
      </c>
      <c r="AI278" s="12" t="str">
        <f aca="false">IF(AH278&gt;=3,"Sim","Não")</f>
        <v>Sim</v>
      </c>
      <c r="AJ278" s="12" t="str">
        <f aca="false">IF(AND(Z278&lt;&gt;"",Z278&lt;=Critérios!$B$9),"Sim","Não")</f>
        <v>Não</v>
      </c>
    </row>
    <row r="279" customFormat="false" ht="15" hidden="false" customHeight="false" outlineLevel="0" collapsed="false">
      <c r="A279" s="12" t="s">
        <v>1453</v>
      </c>
      <c r="B279" s="12" t="s">
        <v>1454</v>
      </c>
      <c r="C279" s="12" t="s">
        <v>1455</v>
      </c>
      <c r="D279" s="12" t="s">
        <v>505</v>
      </c>
      <c r="E279" s="12" t="s">
        <v>91</v>
      </c>
      <c r="F279" s="12" t="s">
        <v>92</v>
      </c>
      <c r="G279" s="13" t="n">
        <v>1414409</v>
      </c>
      <c r="H279" s="13" t="n">
        <v>35962137</v>
      </c>
      <c r="I279" s="13" t="n">
        <v>634142436</v>
      </c>
      <c r="J279" s="12" t="n">
        <v>9</v>
      </c>
      <c r="K279" s="13" t="n">
        <v>396862</v>
      </c>
      <c r="L279" s="12" t="n">
        <v>7.6</v>
      </c>
      <c r="M279" s="14" t="n">
        <f aca="false">IF(G279="","",PERCENTRANK($G$2:$G$354,G279))</f>
        <v>0.114</v>
      </c>
      <c r="N279" s="14" t="n">
        <f aca="false">IF(I279="","",PERCENTRANK($I$2:$I$354,I279))</f>
        <v>0.326</v>
      </c>
      <c r="O279" s="14" t="n">
        <f aca="false">IF(K279="","",PERCENTRANK($K$2:$K$354,K279))</f>
        <v>0.455</v>
      </c>
      <c r="P279" s="12" t="n">
        <f aca="false">COUNT(M279:O279)</f>
        <v>3</v>
      </c>
      <c r="W279" s="12" t="n">
        <f aca="false">COUNTA(Q279:V279)</f>
        <v>0</v>
      </c>
      <c r="X279" s="14" t="n">
        <f aca="false">IF(P279=0,"",MIN(1,AVERAGE(M279:O279)+Critérios!$B$5*W279))</f>
        <v>0.298333333333333</v>
      </c>
      <c r="Y279" s="12" t="str">
        <f aca="false">IF(X279="","",IF(X279&gt;=Critérios!$B$7,"A",IF(X279&gt;=Critérios!$B$8,"B","C")))</f>
        <v>C</v>
      </c>
      <c r="Z279" s="12" t="n">
        <f aca="false">IF(X279="","",RANK(X279,$X$2:$X$354))</f>
        <v>278</v>
      </c>
      <c r="AA279" s="12" t="str">
        <f aca="false">IF(X279="","Sairia — sem métrica",IF(PERCENTRANK($X$2:$X$354,X279)&lt;Critérios!$B$6,"Sairia — terço inferior","Fica"))</f>
        <v>Sairia — terço inferior</v>
      </c>
      <c r="AB279" s="12" t="s">
        <v>105</v>
      </c>
      <c r="AD279" s="15" t="s">
        <v>95</v>
      </c>
      <c r="AE279" s="16"/>
      <c r="AF279" s="12" t="s">
        <v>507</v>
      </c>
      <c r="AG279" s="12" t="s">
        <v>1456</v>
      </c>
      <c r="AH279" s="12" t="n">
        <f aca="false">COUNT(G279,I279,K279)+COUNTA(Q279:V279)</f>
        <v>3</v>
      </c>
      <c r="AI279" s="12" t="str">
        <f aca="false">IF(AH279&gt;=3,"Sim","Não")</f>
        <v>Sim</v>
      </c>
      <c r="AJ279" s="12" t="str">
        <f aca="false">IF(AND(Z279&lt;&gt;"",Z279&lt;=Critérios!$B$9),"Sim","Não")</f>
        <v>Não</v>
      </c>
    </row>
    <row r="280" customFormat="false" ht="15" hidden="false" customHeight="false" outlineLevel="0" collapsed="false">
      <c r="A280" s="12" t="s">
        <v>1457</v>
      </c>
      <c r="B280" s="12" t="s">
        <v>1458</v>
      </c>
      <c r="C280" s="12" t="s">
        <v>1459</v>
      </c>
      <c r="D280" s="12" t="s">
        <v>1103</v>
      </c>
      <c r="E280" s="12" t="s">
        <v>91</v>
      </c>
      <c r="F280" s="12" t="s">
        <v>92</v>
      </c>
      <c r="G280" s="13" t="n">
        <v>2012026</v>
      </c>
      <c r="H280" s="13" t="n">
        <v>31043091</v>
      </c>
      <c r="I280" s="17"/>
      <c r="K280" s="13" t="n">
        <v>286349</v>
      </c>
      <c r="L280" s="12" t="n">
        <v>6</v>
      </c>
      <c r="M280" s="14" t="n">
        <f aca="false">IF(G280="","",PERCENTRANK($G$2:$G$354,G280))</f>
        <v>0.212</v>
      </c>
      <c r="N280" s="14" t="str">
        <f aca="false">IF(I280="","",PERCENTRANK($I$2:$I$354,I280))</f>
        <v/>
      </c>
      <c r="O280" s="14" t="n">
        <f aca="false">IF(K280="","",PERCENTRANK($K$2:$K$354,K280))</f>
        <v>0.315</v>
      </c>
      <c r="P280" s="12" t="n">
        <f aca="false">COUNT(M280:O280)</f>
        <v>2</v>
      </c>
      <c r="Q280" s="12" t="s">
        <v>1460</v>
      </c>
      <c r="W280" s="12" t="n">
        <f aca="false">COUNTA(Q280:V280)</f>
        <v>1</v>
      </c>
      <c r="X280" s="14" t="n">
        <f aca="false">IF(P280=0,"",MIN(1,AVERAGE(M280:O280)+Critérios!$B$5*W280))</f>
        <v>0.2935</v>
      </c>
      <c r="Y280" s="12" t="str">
        <f aca="false">IF(X280="","",IF(X280&gt;=Critérios!$B$7,"A",IF(X280&gt;=Critérios!$B$8,"B","C")))</f>
        <v>C</v>
      </c>
      <c r="Z280" s="12" t="n">
        <f aca="false">IF(X280="","",RANK(X280,$X$2:$X$354))</f>
        <v>279</v>
      </c>
      <c r="AA280" s="12" t="str">
        <f aca="false">IF(X280="","Sairia — sem métrica",IF(PERCENTRANK($X$2:$X$354,X280)&lt;Critérios!$B$6,"Sairia — terço inferior","Fica"))</f>
        <v>Sairia — terço inferior</v>
      </c>
      <c r="AB280" s="12" t="s">
        <v>105</v>
      </c>
      <c r="AD280" s="15" t="s">
        <v>95</v>
      </c>
      <c r="AE280" s="16"/>
      <c r="AF280" s="12" t="s">
        <v>937</v>
      </c>
      <c r="AG280" s="12" t="s">
        <v>1461</v>
      </c>
      <c r="AH280" s="12" t="n">
        <f aca="false">COUNT(G280,I280,K280)+COUNTA(Q280:V280)</f>
        <v>3</v>
      </c>
      <c r="AI280" s="12" t="str">
        <f aca="false">IF(AH280&gt;=3,"Sim","Não")</f>
        <v>Sim</v>
      </c>
      <c r="AJ280" s="12" t="str">
        <f aca="false">IF(AND(Z280&lt;&gt;"",Z280&lt;=Critérios!$B$9),"Sim","Não")</f>
        <v>Não</v>
      </c>
    </row>
    <row r="281" customFormat="false" ht="15" hidden="false" customHeight="false" outlineLevel="0" collapsed="false">
      <c r="A281" s="12" t="s">
        <v>1462</v>
      </c>
      <c r="B281" s="12" t="s">
        <v>1463</v>
      </c>
      <c r="C281" s="12" t="s">
        <v>1463</v>
      </c>
      <c r="D281" s="12" t="s">
        <v>505</v>
      </c>
      <c r="E281" s="12" t="s">
        <v>91</v>
      </c>
      <c r="F281" s="12" t="s">
        <v>169</v>
      </c>
      <c r="G281" s="17"/>
      <c r="H281" s="17"/>
      <c r="I281" s="17"/>
      <c r="K281" s="13" t="n">
        <v>229672</v>
      </c>
      <c r="L281" s="12" t="n">
        <v>7.4</v>
      </c>
      <c r="M281" s="14" t="str">
        <f aca="false">IF(G281="","",PERCENTRANK($G$2:$G$354,G281))</f>
        <v/>
      </c>
      <c r="N281" s="14" t="str">
        <f aca="false">IF(I281="","",PERCENTRANK($I$2:$I$354,I281))</f>
        <v/>
      </c>
      <c r="O281" s="14" t="n">
        <f aca="false">IF(K281="","",PERCENTRANK($K$2:$K$354,K281))</f>
        <v>0.233</v>
      </c>
      <c r="P281" s="12" t="n">
        <f aca="false">COUNT(M281:O281)</f>
        <v>1</v>
      </c>
      <c r="Q281" s="12" t="s">
        <v>1464</v>
      </c>
      <c r="R281" s="12" t="s">
        <v>1465</v>
      </c>
      <c r="W281" s="12" t="n">
        <f aca="false">COUNTA(Q281:V281)</f>
        <v>2</v>
      </c>
      <c r="X281" s="14" t="n">
        <f aca="false">IF(P281=0,"",MIN(1,AVERAGE(M281:O281)+Critérios!$B$5*W281))</f>
        <v>0.293</v>
      </c>
      <c r="Y281" s="12" t="str">
        <f aca="false">IF(X281="","",IF(X281&gt;=Critérios!$B$7,"A",IF(X281&gt;=Critérios!$B$8,"B","C")))</f>
        <v>C</v>
      </c>
      <c r="Z281" s="12" t="n">
        <f aca="false">IF(X281="","",RANK(X281,$X$2:$X$354))</f>
        <v>280</v>
      </c>
      <c r="AA281" s="12" t="str">
        <f aca="false">IF(X281="","Sairia — sem métrica",IF(PERCENTRANK($X$2:$X$354,X281)&lt;Critérios!$B$6,"Sairia — terço inferior","Fica"))</f>
        <v>Sairia — terço inferior</v>
      </c>
      <c r="AB281" s="12" t="s">
        <v>105</v>
      </c>
      <c r="AD281" s="15" t="s">
        <v>95</v>
      </c>
      <c r="AE281" s="16"/>
      <c r="AG281" s="12" t="s">
        <v>1466</v>
      </c>
      <c r="AH281" s="12" t="n">
        <f aca="false">COUNT(G281,I281,K281)+COUNTA(Q281:V281)</f>
        <v>3</v>
      </c>
      <c r="AI281" s="12" t="str">
        <f aca="false">IF(AH281&gt;=3,"Sim","Não")</f>
        <v>Sim</v>
      </c>
      <c r="AJ281" s="12" t="str">
        <f aca="false">IF(AND(Z281&lt;&gt;"",Z281&lt;=Critérios!$B$9),"Sim","Não")</f>
        <v>Não</v>
      </c>
    </row>
    <row r="282" customFormat="false" ht="15" hidden="false" customHeight="false" outlineLevel="0" collapsed="false">
      <c r="A282" s="12" t="s">
        <v>1467</v>
      </c>
      <c r="B282" s="12" t="s">
        <v>1468</v>
      </c>
      <c r="C282" s="12" t="s">
        <v>1468</v>
      </c>
      <c r="D282" s="12" t="s">
        <v>101</v>
      </c>
      <c r="E282" s="12" t="s">
        <v>91</v>
      </c>
      <c r="F282" s="12" t="s">
        <v>292</v>
      </c>
      <c r="G282" s="17"/>
      <c r="H282" s="17"/>
      <c r="I282" s="17"/>
      <c r="K282" s="13" t="n">
        <v>228902</v>
      </c>
      <c r="L282" s="12" t="n">
        <v>7.4</v>
      </c>
      <c r="M282" s="14" t="str">
        <f aca="false">IF(G282="","",PERCENTRANK($G$2:$G$354,G282))</f>
        <v/>
      </c>
      <c r="N282" s="14" t="str">
        <f aca="false">IF(I282="","",PERCENTRANK($I$2:$I$354,I282))</f>
        <v/>
      </c>
      <c r="O282" s="14" t="n">
        <f aca="false">IF(K282="","",PERCENTRANK($K$2:$K$354,K282))</f>
        <v>0.23</v>
      </c>
      <c r="P282" s="12" t="n">
        <f aca="false">COUNT(M282:O282)</f>
        <v>1</v>
      </c>
      <c r="Q282" s="12" t="s">
        <v>1469</v>
      </c>
      <c r="S282" s="12" t="s">
        <v>1470</v>
      </c>
      <c r="W282" s="12" t="n">
        <f aca="false">COUNTA(Q282:V282)</f>
        <v>2</v>
      </c>
      <c r="X282" s="14" t="n">
        <f aca="false">IF(P282=0,"",MIN(1,AVERAGE(M282:O282)+Critérios!$B$5*W282))</f>
        <v>0.29</v>
      </c>
      <c r="Y282" s="12" t="str">
        <f aca="false">IF(X282="","",IF(X282&gt;=Critérios!$B$7,"A",IF(X282&gt;=Critérios!$B$8,"B","C")))</f>
        <v>C</v>
      </c>
      <c r="Z282" s="12" t="n">
        <f aca="false">IF(X282="","",RANK(X282,$X$2:$X$354))</f>
        <v>281</v>
      </c>
      <c r="AA282" s="12" t="str">
        <f aca="false">IF(X282="","Sairia — sem métrica",IF(PERCENTRANK($X$2:$X$354,X282)&lt;Critérios!$B$6,"Sairia — terço inferior","Fica"))</f>
        <v>Sairia — terço inferior</v>
      </c>
      <c r="AB282" s="12" t="s">
        <v>105</v>
      </c>
      <c r="AD282" s="15" t="s">
        <v>95</v>
      </c>
      <c r="AE282" s="16"/>
      <c r="AG282" s="12" t="s">
        <v>1471</v>
      </c>
      <c r="AH282" s="12" t="n">
        <f aca="false">COUNT(G282,I282,K282)+COUNTA(Q282:V282)</f>
        <v>3</v>
      </c>
      <c r="AI282" s="12" t="str">
        <f aca="false">IF(AH282&gt;=3,"Sim","Não")</f>
        <v>Sim</v>
      </c>
      <c r="AJ282" s="12" t="str">
        <f aca="false">IF(AND(Z282&lt;&gt;"",Z282&lt;=Critérios!$B$9),"Sim","Não")</f>
        <v>Não</v>
      </c>
    </row>
    <row r="283" customFormat="false" ht="15" hidden="false" customHeight="false" outlineLevel="0" collapsed="false">
      <c r="A283" s="12" t="s">
        <v>1472</v>
      </c>
      <c r="B283" s="12" t="s">
        <v>1473</v>
      </c>
      <c r="C283" s="12" t="s">
        <v>1474</v>
      </c>
      <c r="D283" s="12" t="s">
        <v>251</v>
      </c>
      <c r="E283" s="12" t="s">
        <v>91</v>
      </c>
      <c r="F283" s="12" t="s">
        <v>92</v>
      </c>
      <c r="G283" s="13" t="n">
        <v>2941755</v>
      </c>
      <c r="H283" s="13" t="n">
        <v>58614018</v>
      </c>
      <c r="I283" s="17"/>
      <c r="K283" s="13" t="n">
        <v>105970</v>
      </c>
      <c r="L283" s="12" t="n">
        <v>6.3</v>
      </c>
      <c r="M283" s="14" t="n">
        <f aca="false">IF(G283="","",PERCENTRANK($G$2:$G$354,G283))</f>
        <v>0.444</v>
      </c>
      <c r="N283" s="14" t="str">
        <f aca="false">IF(I283="","",PERCENTRANK($I$2:$I$354,I283))</f>
        <v/>
      </c>
      <c r="O283" s="14" t="n">
        <f aca="false">IF(K283="","",PERCENTRANK($K$2:$K$354,K283))</f>
        <v>0.071</v>
      </c>
      <c r="P283" s="12" t="n">
        <f aca="false">COUNT(M283:O283)</f>
        <v>2</v>
      </c>
      <c r="Q283" s="12" t="s">
        <v>1475</v>
      </c>
      <c r="W283" s="12" t="n">
        <f aca="false">COUNTA(Q283:V283)</f>
        <v>1</v>
      </c>
      <c r="X283" s="14" t="n">
        <f aca="false">IF(P283=0,"",MIN(1,AVERAGE(M283:O283)+Critérios!$B$5*W283))</f>
        <v>0.2875</v>
      </c>
      <c r="Y283" s="12" t="str">
        <f aca="false">IF(X283="","",IF(X283&gt;=Critérios!$B$7,"A",IF(X283&gt;=Critérios!$B$8,"B","C")))</f>
        <v>C</v>
      </c>
      <c r="Z283" s="12" t="n">
        <f aca="false">IF(X283="","",RANK(X283,$X$2:$X$354))</f>
        <v>282</v>
      </c>
      <c r="AA283" s="12" t="str">
        <f aca="false">IF(X283="","Sairia — sem métrica",IF(PERCENTRANK($X$2:$X$354,X283)&lt;Critérios!$B$6,"Sairia — terço inferior","Fica"))</f>
        <v>Sairia — terço inferior</v>
      </c>
      <c r="AB283" s="12" t="s">
        <v>105</v>
      </c>
      <c r="AC283" s="12" t="s">
        <v>719</v>
      </c>
      <c r="AD283" s="15" t="s">
        <v>95</v>
      </c>
      <c r="AE283" s="16"/>
      <c r="AF283" s="12" t="s">
        <v>1397</v>
      </c>
      <c r="AG283" s="12" t="s">
        <v>1476</v>
      </c>
      <c r="AH283" s="12" t="n">
        <f aca="false">COUNT(G283,I283,K283)+COUNTA(Q283:V283)</f>
        <v>3</v>
      </c>
      <c r="AI283" s="12" t="str">
        <f aca="false">IF(AH283&gt;=3,"Sim","Não")</f>
        <v>Sim</v>
      </c>
      <c r="AJ283" s="12" t="str">
        <f aca="false">IF(AND(Z283&lt;&gt;"",Z283&lt;=Critérios!$B$9),"Sim","Não")</f>
        <v>Não</v>
      </c>
    </row>
    <row r="284" customFormat="false" ht="15" hidden="false" customHeight="false" outlineLevel="0" collapsed="false">
      <c r="A284" s="12" t="s">
        <v>1477</v>
      </c>
      <c r="B284" s="12" t="s">
        <v>1478</v>
      </c>
      <c r="C284" s="12" t="s">
        <v>1478</v>
      </c>
      <c r="D284" s="12" t="s">
        <v>1103</v>
      </c>
      <c r="E284" s="12" t="s">
        <v>91</v>
      </c>
      <c r="F284" s="12" t="s">
        <v>92</v>
      </c>
      <c r="G284" s="13" t="n">
        <v>333815</v>
      </c>
      <c r="H284" s="13" t="n">
        <v>5978382</v>
      </c>
      <c r="I284" s="13" t="n">
        <v>365309519</v>
      </c>
      <c r="J284" s="12" t="n">
        <v>5</v>
      </c>
      <c r="K284" s="13" t="n">
        <v>713428</v>
      </c>
      <c r="L284" s="12" t="n">
        <v>7.3</v>
      </c>
      <c r="M284" s="14" t="n">
        <f aca="false">IF(G284="","",PERCENTRANK($G$2:$G$354,G284))</f>
        <v>0.00654</v>
      </c>
      <c r="N284" s="14" t="n">
        <f aca="false">IF(I284="","",PERCENTRANK($I$2:$I$354,I284))</f>
        <v>0.0254</v>
      </c>
      <c r="O284" s="14" t="n">
        <f aca="false">IF(K284="","",PERCENTRANK($K$2:$K$354,K284))</f>
        <v>0.736</v>
      </c>
      <c r="P284" s="12" t="n">
        <f aca="false">COUNT(M284:O284)</f>
        <v>3</v>
      </c>
      <c r="Q284" s="12" t="s">
        <v>1479</v>
      </c>
      <c r="W284" s="12" t="n">
        <f aca="false">COUNTA(Q284:V284)</f>
        <v>1</v>
      </c>
      <c r="X284" s="14" t="n">
        <f aca="false">IF(P284=0,"",MIN(1,AVERAGE(M284:O284)+Critérios!$B$5*W284))</f>
        <v>0.28598</v>
      </c>
      <c r="Y284" s="12" t="str">
        <f aca="false">IF(X284="","",IF(X284&gt;=Critérios!$B$7,"A",IF(X284&gt;=Critérios!$B$8,"B","C")))</f>
        <v>C</v>
      </c>
      <c r="Z284" s="12" t="n">
        <f aca="false">IF(X284="","",RANK(X284,$X$2:$X$354))</f>
        <v>283</v>
      </c>
      <c r="AA284" s="12" t="str">
        <f aca="false">IF(X284="","Sairia — sem métrica",IF(PERCENTRANK($X$2:$X$354,X284)&lt;Critérios!$B$6,"Sairia — terço inferior","Fica"))</f>
        <v>Sairia — terço inferior</v>
      </c>
      <c r="AB284" s="12" t="s">
        <v>105</v>
      </c>
      <c r="AD284" s="15" t="s">
        <v>95</v>
      </c>
      <c r="AE284" s="16"/>
      <c r="AF284" s="12" t="s">
        <v>1480</v>
      </c>
      <c r="AG284" s="12" t="s">
        <v>1481</v>
      </c>
      <c r="AH284" s="12" t="n">
        <f aca="false">COUNT(G284,I284,K284)+COUNTA(Q284:V284)</f>
        <v>4</v>
      </c>
      <c r="AI284" s="12" t="str">
        <f aca="false">IF(AH284&gt;=3,"Sim","Não")</f>
        <v>Sim</v>
      </c>
      <c r="AJ284" s="12" t="str">
        <f aca="false">IF(AND(Z284&lt;&gt;"",Z284&lt;=Critérios!$B$9),"Sim","Não")</f>
        <v>Não</v>
      </c>
    </row>
    <row r="285" customFormat="false" ht="15" hidden="false" customHeight="false" outlineLevel="0" collapsed="false">
      <c r="A285" s="12" t="s">
        <v>1482</v>
      </c>
      <c r="B285" s="12" t="s">
        <v>1483</v>
      </c>
      <c r="C285" s="12" t="s">
        <v>1484</v>
      </c>
      <c r="D285" s="12" t="s">
        <v>273</v>
      </c>
      <c r="E285" s="12" t="s">
        <v>91</v>
      </c>
      <c r="F285" s="12" t="s">
        <v>92</v>
      </c>
      <c r="G285" s="13" t="n">
        <v>1498073</v>
      </c>
      <c r="H285" s="13" t="n">
        <v>9706661</v>
      </c>
      <c r="I285" s="13" t="n">
        <v>358372926</v>
      </c>
      <c r="J285" s="12" t="n">
        <v>10</v>
      </c>
      <c r="K285" s="13" t="n">
        <v>628542</v>
      </c>
      <c r="L285" s="12" t="n">
        <v>7.6</v>
      </c>
      <c r="M285" s="14" t="n">
        <f aca="false">IF(G285="","",PERCENTRANK($G$2:$G$354,G285))</f>
        <v>0.131</v>
      </c>
      <c r="N285" s="14" t="n">
        <f aca="false">IF(I285="","",PERCENTRANK($I$2:$I$354,I285))</f>
        <v>0.0127</v>
      </c>
      <c r="O285" s="14" t="n">
        <f aca="false">IF(K285="","",PERCENTRANK($K$2:$K$354,K285))</f>
        <v>0.69</v>
      </c>
      <c r="P285" s="12" t="n">
        <f aca="false">COUNT(M285:O285)</f>
        <v>3</v>
      </c>
      <c r="W285" s="12" t="n">
        <f aca="false">COUNTA(Q285:V285)</f>
        <v>0</v>
      </c>
      <c r="X285" s="14" t="n">
        <f aca="false">IF(P285=0,"",MIN(1,AVERAGE(M285:O285)+Critérios!$B$5*W285))</f>
        <v>0.2779</v>
      </c>
      <c r="Y285" s="12" t="str">
        <f aca="false">IF(X285="","",IF(X285&gt;=Critérios!$B$7,"A",IF(X285&gt;=Critérios!$B$8,"B","C")))</f>
        <v>C</v>
      </c>
      <c r="Z285" s="12" t="n">
        <f aca="false">IF(X285="","",RANK(X285,$X$2:$X$354))</f>
        <v>284</v>
      </c>
      <c r="AA285" s="12" t="str">
        <f aca="false">IF(X285="","Sairia — sem métrica",IF(PERCENTRANK($X$2:$X$354,X285)&lt;Critérios!$B$6,"Sairia — terço inferior","Fica"))</f>
        <v>Sairia — terço inferior</v>
      </c>
      <c r="AB285" s="12" t="s">
        <v>105</v>
      </c>
      <c r="AD285" s="15" t="s">
        <v>95</v>
      </c>
      <c r="AE285" s="16"/>
      <c r="AF285" s="12" t="s">
        <v>275</v>
      </c>
      <c r="AG285" s="12" t="s">
        <v>1485</v>
      </c>
      <c r="AH285" s="12" t="n">
        <f aca="false">COUNT(G285,I285,K285)+COUNTA(Q285:V285)</f>
        <v>3</v>
      </c>
      <c r="AI285" s="12" t="str">
        <f aca="false">IF(AH285&gt;=3,"Sim","Não")</f>
        <v>Sim</v>
      </c>
      <c r="AJ285" s="12" t="str">
        <f aca="false">IF(AND(Z285&lt;&gt;"",Z285&lt;=Critérios!$B$9),"Sim","Não")</f>
        <v>Não</v>
      </c>
    </row>
    <row r="286" customFormat="false" ht="15" hidden="false" customHeight="false" outlineLevel="0" collapsed="false">
      <c r="A286" s="12" t="s">
        <v>1486</v>
      </c>
      <c r="B286" s="12" t="s">
        <v>1487</v>
      </c>
      <c r="C286" s="12" t="s">
        <v>1488</v>
      </c>
      <c r="D286" s="12" t="s">
        <v>396</v>
      </c>
      <c r="E286" s="12" t="s">
        <v>91</v>
      </c>
      <c r="F286" s="12" t="s">
        <v>92</v>
      </c>
      <c r="G286" s="13" t="n">
        <v>2277812</v>
      </c>
      <c r="H286" s="13" t="n">
        <v>12828853</v>
      </c>
      <c r="I286" s="13" t="n">
        <v>433013274</v>
      </c>
      <c r="J286" s="12" t="n">
        <v>7</v>
      </c>
      <c r="K286" s="13" t="n">
        <v>372095</v>
      </c>
      <c r="L286" s="12" t="n">
        <v>6.4</v>
      </c>
      <c r="M286" s="14" t="n">
        <f aca="false">IF(G286="","",PERCENTRANK($G$2:$G$354,G286))</f>
        <v>0.288</v>
      </c>
      <c r="N286" s="14" t="n">
        <f aca="false">IF(I286="","",PERCENTRANK($I$2:$I$354,I286))</f>
        <v>0.102</v>
      </c>
      <c r="O286" s="14" t="n">
        <f aca="false">IF(K286="","",PERCENTRANK($K$2:$K$354,K286))</f>
        <v>0.438</v>
      </c>
      <c r="P286" s="12" t="n">
        <f aca="false">COUNT(M286:O286)</f>
        <v>3</v>
      </c>
      <c r="W286" s="12" t="n">
        <f aca="false">COUNTA(Q286:V286)</f>
        <v>0</v>
      </c>
      <c r="X286" s="14" t="n">
        <f aca="false">IF(P286=0,"",MIN(1,AVERAGE(M286:O286)+Critérios!$B$5*W286))</f>
        <v>0.276</v>
      </c>
      <c r="Y286" s="12" t="str">
        <f aca="false">IF(X286="","",IF(X286&gt;=Critérios!$B$7,"A",IF(X286&gt;=Critérios!$B$8,"B","C")))</f>
        <v>C</v>
      </c>
      <c r="Z286" s="12" t="n">
        <f aca="false">IF(X286="","",RANK(X286,$X$2:$X$354))</f>
        <v>285</v>
      </c>
      <c r="AA286" s="12" t="str">
        <f aca="false">IF(X286="","Sairia — sem métrica",IF(PERCENTRANK($X$2:$X$354,X286)&lt;Critérios!$B$6,"Sairia — terço inferior","Fica"))</f>
        <v>Sairia — terço inferior</v>
      </c>
      <c r="AB286" s="12" t="s">
        <v>105</v>
      </c>
      <c r="AD286" s="15" t="s">
        <v>95</v>
      </c>
      <c r="AE286" s="16"/>
      <c r="AF286" s="12" t="s">
        <v>397</v>
      </c>
      <c r="AG286" s="12" t="s">
        <v>1489</v>
      </c>
      <c r="AH286" s="12" t="n">
        <f aca="false">COUNT(G286,I286,K286)+COUNTA(Q286:V286)</f>
        <v>3</v>
      </c>
      <c r="AI286" s="12" t="str">
        <f aca="false">IF(AH286&gt;=3,"Sim","Não")</f>
        <v>Sim</v>
      </c>
      <c r="AJ286" s="12" t="str">
        <f aca="false">IF(AND(Z286&lt;&gt;"",Z286&lt;=Critérios!$B$9),"Sim","Não")</f>
        <v>Não</v>
      </c>
    </row>
    <row r="287" customFormat="false" ht="15" hidden="false" customHeight="false" outlineLevel="0" collapsed="false">
      <c r="A287" s="12" t="s">
        <v>1490</v>
      </c>
      <c r="B287" s="12" t="s">
        <v>1491</v>
      </c>
      <c r="C287" s="12" t="s">
        <v>1491</v>
      </c>
      <c r="D287" s="12" t="s">
        <v>175</v>
      </c>
      <c r="E287" s="12" t="s">
        <v>91</v>
      </c>
      <c r="F287" s="12" t="s">
        <v>92</v>
      </c>
      <c r="G287" s="13" t="n">
        <v>1927858</v>
      </c>
      <c r="H287" s="13" t="n">
        <v>37379758</v>
      </c>
      <c r="I287" s="13" t="n">
        <v>634681815</v>
      </c>
      <c r="J287" s="12" t="n">
        <v>8</v>
      </c>
      <c r="K287" s="13" t="n">
        <v>198083</v>
      </c>
      <c r="L287" s="12" t="n">
        <v>6.9</v>
      </c>
      <c r="M287" s="14" t="n">
        <f aca="false">IF(G287="","",PERCENTRANK($G$2:$G$354,G287))</f>
        <v>0.203</v>
      </c>
      <c r="N287" s="14" t="n">
        <f aca="false">IF(I287="","",PERCENTRANK($I$2:$I$354,I287))</f>
        <v>0.331</v>
      </c>
      <c r="O287" s="14" t="n">
        <f aca="false">IF(K287="","",PERCENTRANK($K$2:$K$354,K287))</f>
        <v>0.196</v>
      </c>
      <c r="P287" s="12" t="n">
        <f aca="false">COUNT(M287:O287)</f>
        <v>3</v>
      </c>
      <c r="Q287" s="12" t="s">
        <v>1492</v>
      </c>
      <c r="W287" s="12" t="n">
        <f aca="false">COUNTA(Q287:V287)</f>
        <v>1</v>
      </c>
      <c r="X287" s="14" t="n">
        <f aca="false">IF(P287=0,"",MIN(1,AVERAGE(M287:O287)+Critérios!$B$5*W287))</f>
        <v>0.273333333333333</v>
      </c>
      <c r="Y287" s="12" t="str">
        <f aca="false">IF(X287="","",IF(X287&gt;=Critérios!$B$7,"A",IF(X287&gt;=Critérios!$B$8,"B","C")))</f>
        <v>C</v>
      </c>
      <c r="Z287" s="12" t="n">
        <f aca="false">IF(X287="","",RANK(X287,$X$2:$X$354))</f>
        <v>286</v>
      </c>
      <c r="AA287" s="12" t="str">
        <f aca="false">IF(X287="","Sairia — sem métrica",IF(PERCENTRANK($X$2:$X$354,X287)&lt;Critérios!$B$6,"Sairia — terço inferior","Fica"))</f>
        <v>Sairia — terço inferior</v>
      </c>
      <c r="AB287" s="12" t="s">
        <v>105</v>
      </c>
      <c r="AD287" s="15" t="s">
        <v>95</v>
      </c>
      <c r="AE287" s="16"/>
      <c r="AF287" s="12" t="s">
        <v>382</v>
      </c>
      <c r="AG287" s="12" t="s">
        <v>1493</v>
      </c>
      <c r="AH287" s="12" t="n">
        <f aca="false">COUNT(G287,I287,K287)+COUNTA(Q287:V287)</f>
        <v>4</v>
      </c>
      <c r="AI287" s="12" t="str">
        <f aca="false">IF(AH287&gt;=3,"Sim","Não")</f>
        <v>Sim</v>
      </c>
      <c r="AJ287" s="12" t="str">
        <f aca="false">IF(AND(Z287&lt;&gt;"",Z287&lt;=Critérios!$B$9),"Sim","Não")</f>
        <v>Não</v>
      </c>
    </row>
    <row r="288" customFormat="false" ht="15" hidden="false" customHeight="false" outlineLevel="0" collapsed="false">
      <c r="A288" s="12" t="s">
        <v>1494</v>
      </c>
      <c r="B288" s="12" t="s">
        <v>1495</v>
      </c>
      <c r="C288" s="12" t="s">
        <v>1496</v>
      </c>
      <c r="D288" s="12" t="s">
        <v>189</v>
      </c>
      <c r="E288" s="12" t="s">
        <v>91</v>
      </c>
      <c r="F288" s="12" t="s">
        <v>169</v>
      </c>
      <c r="G288" s="17"/>
      <c r="H288" s="17"/>
      <c r="I288" s="17"/>
      <c r="K288" s="13" t="n">
        <v>209292</v>
      </c>
      <c r="L288" s="12" t="n">
        <v>8.1</v>
      </c>
      <c r="M288" s="14" t="str">
        <f aca="false">IF(G288="","",PERCENTRANK($G$2:$G$354,G288))</f>
        <v/>
      </c>
      <c r="N288" s="14" t="str">
        <f aca="false">IF(I288="","",PERCENTRANK($I$2:$I$354,I288))</f>
        <v/>
      </c>
      <c r="O288" s="14" t="n">
        <f aca="false">IF(K288="","",PERCENTRANK($K$2:$K$354,K288))</f>
        <v>0.207</v>
      </c>
      <c r="P288" s="12" t="n">
        <f aca="false">COUNT(M288:O288)</f>
        <v>1</v>
      </c>
      <c r="Q288" s="12" t="s">
        <v>1497</v>
      </c>
      <c r="R288" s="12" t="s">
        <v>1498</v>
      </c>
      <c r="W288" s="12" t="n">
        <f aca="false">COUNTA(Q288:V288)</f>
        <v>2</v>
      </c>
      <c r="X288" s="14" t="n">
        <f aca="false">IF(P288=0,"",MIN(1,AVERAGE(M288:O288)+Critérios!$B$5*W288))</f>
        <v>0.267</v>
      </c>
      <c r="Y288" s="12" t="str">
        <f aca="false">IF(X288="","",IF(X288&gt;=Critérios!$B$7,"A",IF(X288&gt;=Critérios!$B$8,"B","C")))</f>
        <v>C</v>
      </c>
      <c r="Z288" s="12" t="n">
        <f aca="false">IF(X288="","",RANK(X288,$X$2:$X$354))</f>
        <v>287</v>
      </c>
      <c r="AA288" s="12" t="str">
        <f aca="false">IF(X288="","Sairia — sem métrica",IF(PERCENTRANK($X$2:$X$354,X288)&lt;Critérios!$B$6,"Sairia — terço inferior","Fica"))</f>
        <v>Sairia — terço inferior</v>
      </c>
      <c r="AB288" s="12" t="s">
        <v>105</v>
      </c>
      <c r="AD288" s="15" t="s">
        <v>95</v>
      </c>
      <c r="AE288" s="16"/>
      <c r="AG288" s="12" t="s">
        <v>1499</v>
      </c>
      <c r="AH288" s="12" t="n">
        <f aca="false">COUNT(G288,I288,K288)+COUNTA(Q288:V288)</f>
        <v>3</v>
      </c>
      <c r="AI288" s="12" t="str">
        <f aca="false">IF(AH288&gt;=3,"Sim","Não")</f>
        <v>Sim</v>
      </c>
      <c r="AJ288" s="12" t="str">
        <f aca="false">IF(AND(Z288&lt;&gt;"",Z288&lt;=Critérios!$B$9),"Sim","Não")</f>
        <v>Não</v>
      </c>
    </row>
    <row r="289" customFormat="false" ht="15" hidden="false" customHeight="false" outlineLevel="0" collapsed="false">
      <c r="A289" s="12" t="s">
        <v>1500</v>
      </c>
      <c r="B289" s="12" t="s">
        <v>1501</v>
      </c>
      <c r="C289" s="12" t="s">
        <v>1502</v>
      </c>
      <c r="D289" s="12" t="s">
        <v>1103</v>
      </c>
      <c r="E289" s="12" t="s">
        <v>91</v>
      </c>
      <c r="F289" s="12" t="s">
        <v>92</v>
      </c>
      <c r="G289" s="13" t="n">
        <v>1331985</v>
      </c>
      <c r="H289" s="13" t="n">
        <v>21244519</v>
      </c>
      <c r="I289" s="17"/>
      <c r="K289" s="13" t="n">
        <v>315798</v>
      </c>
      <c r="L289" s="12" t="n">
        <v>5.3</v>
      </c>
      <c r="M289" s="14" t="n">
        <f aca="false">IF(G289="","",PERCENTRANK($G$2:$G$354,G289))</f>
        <v>0.098</v>
      </c>
      <c r="N289" s="14" t="str">
        <f aca="false">IF(I289="","",PERCENTRANK($I$2:$I$354,I289))</f>
        <v/>
      </c>
      <c r="O289" s="14" t="n">
        <f aca="false">IF(K289="","",PERCENTRANK($K$2:$K$354,K289))</f>
        <v>0.372</v>
      </c>
      <c r="P289" s="12" t="n">
        <f aca="false">COUNT(M289:O289)</f>
        <v>2</v>
      </c>
      <c r="Q289" s="12" t="s">
        <v>1503</v>
      </c>
      <c r="W289" s="12" t="n">
        <f aca="false">COUNTA(Q289:V289)</f>
        <v>1</v>
      </c>
      <c r="X289" s="14" t="n">
        <f aca="false">IF(P289=0,"",MIN(1,AVERAGE(M289:O289)+Critérios!$B$5*W289))</f>
        <v>0.265</v>
      </c>
      <c r="Y289" s="12" t="str">
        <f aca="false">IF(X289="","",IF(X289&gt;=Critérios!$B$7,"A",IF(X289&gt;=Critérios!$B$8,"B","C")))</f>
        <v>C</v>
      </c>
      <c r="Z289" s="12" t="n">
        <f aca="false">IF(X289="","",RANK(X289,$X$2:$X$354))</f>
        <v>288</v>
      </c>
      <c r="AA289" s="12" t="str">
        <f aca="false">IF(X289="","Sairia — sem métrica",IF(PERCENTRANK($X$2:$X$354,X289)&lt;Critérios!$B$6,"Sairia — terço inferior","Fica"))</f>
        <v>Sairia — terço inferior</v>
      </c>
      <c r="AB289" s="12" t="s">
        <v>105</v>
      </c>
      <c r="AD289" s="15" t="s">
        <v>95</v>
      </c>
      <c r="AE289" s="16"/>
      <c r="AF289" s="12" t="s">
        <v>1504</v>
      </c>
      <c r="AG289" s="12" t="s">
        <v>1505</v>
      </c>
      <c r="AH289" s="12" t="n">
        <f aca="false">COUNT(G289,I289,K289)+COUNTA(Q289:V289)</f>
        <v>3</v>
      </c>
      <c r="AI289" s="12" t="str">
        <f aca="false">IF(AH289&gt;=3,"Sim","Não")</f>
        <v>Sim</v>
      </c>
      <c r="AJ289" s="12" t="str">
        <f aca="false">IF(AND(Z289&lt;&gt;"",Z289&lt;=Critérios!$B$9),"Sim","Não")</f>
        <v>Não</v>
      </c>
    </row>
    <row r="290" customFormat="false" ht="15" hidden="false" customHeight="false" outlineLevel="0" collapsed="false">
      <c r="A290" s="12" t="s">
        <v>1506</v>
      </c>
      <c r="B290" s="12" t="s">
        <v>1507</v>
      </c>
      <c r="C290" s="12" t="s">
        <v>1508</v>
      </c>
      <c r="D290" s="12" t="s">
        <v>251</v>
      </c>
      <c r="E290" s="12" t="s">
        <v>91</v>
      </c>
      <c r="F290" s="12" t="s">
        <v>92</v>
      </c>
      <c r="G290" s="13" t="n">
        <v>2374254</v>
      </c>
      <c r="H290" s="13" t="n">
        <v>51983051</v>
      </c>
      <c r="I290" s="13" t="n">
        <v>723060982</v>
      </c>
      <c r="J290" s="12" t="n">
        <v>6</v>
      </c>
      <c r="K290" s="13" t="n">
        <v>85171</v>
      </c>
      <c r="L290" s="12" t="n">
        <v>6.6</v>
      </c>
      <c r="M290" s="14" t="n">
        <f aca="false">IF(G290="","",PERCENTRANK($G$2:$G$354,G290))</f>
        <v>0.301</v>
      </c>
      <c r="N290" s="14" t="n">
        <f aca="false">IF(I290="","",PERCENTRANK($I$2:$I$354,I290))</f>
        <v>0.441</v>
      </c>
      <c r="O290" s="14" t="n">
        <f aca="false">IF(K290="","",PERCENTRANK($K$2:$K$354,K290))</f>
        <v>0.0426</v>
      </c>
      <c r="P290" s="12" t="n">
        <f aca="false">COUNT(M290:O290)</f>
        <v>3</v>
      </c>
      <c r="W290" s="12" t="n">
        <f aca="false">COUNTA(Q290:V290)</f>
        <v>0</v>
      </c>
      <c r="X290" s="14" t="n">
        <f aca="false">IF(P290=0,"",MIN(1,AVERAGE(M290:O290)+Critérios!$B$5*W290))</f>
        <v>0.261533333333333</v>
      </c>
      <c r="Y290" s="12" t="str">
        <f aca="false">IF(X290="","",IF(X290&gt;=Critérios!$B$7,"A",IF(X290&gt;=Critérios!$B$8,"B","C")))</f>
        <v>C</v>
      </c>
      <c r="Z290" s="12" t="n">
        <f aca="false">IF(X290="","",RANK(X290,$X$2:$X$354))</f>
        <v>289</v>
      </c>
      <c r="AA290" s="12" t="str">
        <f aca="false">IF(X290="","Sairia — sem métrica",IF(PERCENTRANK($X$2:$X$354,X290)&lt;Critérios!$B$6,"Sairia — terço inferior","Fica"))</f>
        <v>Sairia — terço inferior</v>
      </c>
      <c r="AB290" s="12" t="s">
        <v>105</v>
      </c>
      <c r="AD290" s="15" t="s">
        <v>95</v>
      </c>
      <c r="AE290" s="16"/>
      <c r="AF290" s="12" t="s">
        <v>253</v>
      </c>
      <c r="AG290" s="12" t="s">
        <v>1509</v>
      </c>
      <c r="AH290" s="12" t="n">
        <f aca="false">COUNT(G290,I290,K290)+COUNTA(Q290:V290)</f>
        <v>3</v>
      </c>
      <c r="AI290" s="12" t="str">
        <f aca="false">IF(AH290&gt;=3,"Sim","Não")</f>
        <v>Sim</v>
      </c>
      <c r="AJ290" s="12" t="str">
        <f aca="false">IF(AND(Z290&lt;&gt;"",Z290&lt;=Critérios!$B$9),"Sim","Não")</f>
        <v>Não</v>
      </c>
    </row>
    <row r="291" customFormat="false" ht="15" hidden="false" customHeight="false" outlineLevel="0" collapsed="false">
      <c r="A291" s="12" t="s">
        <v>1510</v>
      </c>
      <c r="B291" s="12" t="s">
        <v>1511</v>
      </c>
      <c r="C291" s="12"/>
      <c r="D291" s="12" t="s">
        <v>175</v>
      </c>
      <c r="E291" s="12" t="s">
        <v>91</v>
      </c>
      <c r="F291" s="12" t="s">
        <v>92</v>
      </c>
      <c r="G291" s="13" t="n">
        <v>1897323</v>
      </c>
      <c r="H291" s="13" t="n">
        <v>36837345</v>
      </c>
      <c r="I291" s="17"/>
      <c r="K291" s="13" t="n">
        <v>253137</v>
      </c>
      <c r="L291" s="12" t="n">
        <v>6.6</v>
      </c>
      <c r="M291" s="14" t="n">
        <f aca="false">IF(G291="","",PERCENTRANK($G$2:$G$354,G291))</f>
        <v>0.196</v>
      </c>
      <c r="N291" s="14" t="str">
        <f aca="false">IF(I291="","",PERCENTRANK($I$2:$I$354,I291))</f>
        <v/>
      </c>
      <c r="O291" s="14" t="n">
        <f aca="false">IF(K291="","",PERCENTRANK($K$2:$K$354,K291))</f>
        <v>0.261</v>
      </c>
      <c r="P291" s="12" t="n">
        <f aca="false">COUNT(M291:O291)</f>
        <v>2</v>
      </c>
      <c r="Q291" s="12" t="s">
        <v>1512</v>
      </c>
      <c r="W291" s="12" t="n">
        <f aca="false">COUNTA(Q291:V291)</f>
        <v>1</v>
      </c>
      <c r="X291" s="14" t="n">
        <f aca="false">IF(P291=0,"",MIN(1,AVERAGE(M291:O291)+Critérios!$B$5*W291))</f>
        <v>0.2585</v>
      </c>
      <c r="Y291" s="12" t="str">
        <f aca="false">IF(X291="","",IF(X291&gt;=Critérios!$B$7,"A",IF(X291&gt;=Critérios!$B$8,"B","C")))</f>
        <v>C</v>
      </c>
      <c r="Z291" s="12" t="n">
        <f aca="false">IF(X291="","",RANK(X291,$X$2:$X$354))</f>
        <v>290</v>
      </c>
      <c r="AA291" s="12" t="str">
        <f aca="false">IF(X291="","Sairia — sem métrica",IF(PERCENTRANK($X$2:$X$354,X291)&lt;Critérios!$B$6,"Sairia — terço inferior","Fica"))</f>
        <v>Sairia — terço inferior</v>
      </c>
      <c r="AB291" s="12" t="s">
        <v>105</v>
      </c>
      <c r="AC291" s="12" t="s">
        <v>719</v>
      </c>
      <c r="AD291" s="15" t="s">
        <v>95</v>
      </c>
      <c r="AE291" s="16"/>
      <c r="AF291" s="12" t="s">
        <v>1175</v>
      </c>
      <c r="AG291" s="12" t="s">
        <v>1513</v>
      </c>
      <c r="AH291" s="12" t="n">
        <f aca="false">COUNT(G291,I291,K291)+COUNTA(Q291:V291)</f>
        <v>3</v>
      </c>
      <c r="AI291" s="12" t="str">
        <f aca="false">IF(AH291&gt;=3,"Sim","Não")</f>
        <v>Sim</v>
      </c>
      <c r="AJ291" s="12" t="str">
        <f aca="false">IF(AND(Z291&lt;&gt;"",Z291&lt;=Critérios!$B$9),"Sim","Não")</f>
        <v>Não</v>
      </c>
    </row>
    <row r="292" customFormat="false" ht="15" hidden="false" customHeight="false" outlineLevel="0" collapsed="false">
      <c r="A292" s="12" t="s">
        <v>1514</v>
      </c>
      <c r="B292" s="12" t="s">
        <v>1515</v>
      </c>
      <c r="C292" s="12" t="s">
        <v>1516</v>
      </c>
      <c r="D292" s="12" t="s">
        <v>500</v>
      </c>
      <c r="E292" s="12" t="s">
        <v>91</v>
      </c>
      <c r="F292" s="12" t="s">
        <v>92</v>
      </c>
      <c r="G292" s="13" t="n">
        <v>1946085</v>
      </c>
      <c r="H292" s="13" t="n">
        <v>16002744</v>
      </c>
      <c r="I292" s="13" t="n">
        <v>398479497</v>
      </c>
      <c r="J292" s="12" t="n">
        <v>8</v>
      </c>
      <c r="K292" s="13" t="n">
        <v>429647</v>
      </c>
      <c r="L292" s="12" t="n">
        <v>6.9</v>
      </c>
      <c r="M292" s="14" t="n">
        <f aca="false">IF(G292="","",PERCENTRANK($G$2:$G$354,G292))</f>
        <v>0.206</v>
      </c>
      <c r="N292" s="14" t="n">
        <f aca="false">IF(I292="","",PERCENTRANK($I$2:$I$354,I292))</f>
        <v>0.0636</v>
      </c>
      <c r="O292" s="14" t="n">
        <f aca="false">IF(K292="","",PERCENTRANK($K$2:$K$354,K292))</f>
        <v>0.491</v>
      </c>
      <c r="P292" s="12" t="n">
        <f aca="false">COUNT(M292:O292)</f>
        <v>3</v>
      </c>
      <c r="W292" s="12" t="n">
        <f aca="false">COUNTA(Q292:V292)</f>
        <v>0</v>
      </c>
      <c r="X292" s="14" t="n">
        <f aca="false">IF(P292=0,"",MIN(1,AVERAGE(M292:O292)+Critérios!$B$5*W292))</f>
        <v>0.253533333333333</v>
      </c>
      <c r="Y292" s="12" t="str">
        <f aca="false">IF(X292="","",IF(X292&gt;=Critérios!$B$7,"A",IF(X292&gt;=Critérios!$B$8,"B","C")))</f>
        <v>C</v>
      </c>
      <c r="Z292" s="12" t="n">
        <f aca="false">IF(X292="","",RANK(X292,$X$2:$X$354))</f>
        <v>291</v>
      </c>
      <c r="AA292" s="12" t="str">
        <f aca="false">IF(X292="","Sairia — sem métrica",IF(PERCENTRANK($X$2:$X$354,X292)&lt;Critérios!$B$6,"Sairia — terço inferior","Fica"))</f>
        <v>Sairia — terço inferior</v>
      </c>
      <c r="AB292" s="12" t="s">
        <v>105</v>
      </c>
      <c r="AD292" s="15" t="s">
        <v>95</v>
      </c>
      <c r="AE292" s="16"/>
      <c r="AF292" s="12" t="s">
        <v>501</v>
      </c>
      <c r="AG292" s="12" t="s">
        <v>1517</v>
      </c>
      <c r="AH292" s="12" t="n">
        <f aca="false">COUNT(G292,I292,K292)+COUNTA(Q292:V292)</f>
        <v>3</v>
      </c>
      <c r="AI292" s="12" t="str">
        <f aca="false">IF(AH292&gt;=3,"Sim","Não")</f>
        <v>Sim</v>
      </c>
      <c r="AJ292" s="12" t="str">
        <f aca="false">IF(AND(Z292&lt;&gt;"",Z292&lt;=Critérios!$B$9),"Sim","Não")</f>
        <v>Não</v>
      </c>
    </row>
    <row r="293" customFormat="false" ht="15" hidden="false" customHeight="false" outlineLevel="0" collapsed="false">
      <c r="A293" s="12" t="s">
        <v>1518</v>
      </c>
      <c r="B293" s="12" t="s">
        <v>1519</v>
      </c>
      <c r="C293" s="12" t="s">
        <v>1520</v>
      </c>
      <c r="D293" s="12" t="s">
        <v>500</v>
      </c>
      <c r="E293" s="12" t="s">
        <v>91</v>
      </c>
      <c r="F293" s="12" t="s">
        <v>92</v>
      </c>
      <c r="G293" s="13" t="n">
        <v>2561062</v>
      </c>
      <c r="H293" s="13" t="n">
        <v>19127453</v>
      </c>
      <c r="I293" s="13" t="n">
        <v>391081192</v>
      </c>
      <c r="J293" s="12" t="n">
        <v>9</v>
      </c>
      <c r="K293" s="13" t="n">
        <v>305303</v>
      </c>
      <c r="L293" s="12" t="n">
        <v>6.1</v>
      </c>
      <c r="M293" s="14" t="n">
        <f aca="false">IF(G293="","",PERCENTRANK($G$2:$G$354,G293))</f>
        <v>0.353</v>
      </c>
      <c r="N293" s="14" t="n">
        <f aca="false">IF(I293="","",PERCENTRANK($I$2:$I$354,I293))</f>
        <v>0.0593</v>
      </c>
      <c r="O293" s="14" t="n">
        <f aca="false">IF(K293="","",PERCENTRANK($K$2:$K$354,K293))</f>
        <v>0.347</v>
      </c>
      <c r="P293" s="12" t="n">
        <f aca="false">COUNT(M293:O293)</f>
        <v>3</v>
      </c>
      <c r="W293" s="12" t="n">
        <f aca="false">COUNTA(Q293:V293)</f>
        <v>0</v>
      </c>
      <c r="X293" s="14" t="n">
        <f aca="false">IF(P293=0,"",MIN(1,AVERAGE(M293:O293)+Critérios!$B$5*W293))</f>
        <v>0.2531</v>
      </c>
      <c r="Y293" s="12" t="str">
        <f aca="false">IF(X293="","",IF(X293&gt;=Critérios!$B$7,"A",IF(X293&gt;=Critérios!$B$8,"B","C")))</f>
        <v>C</v>
      </c>
      <c r="Z293" s="12" t="n">
        <f aca="false">IF(X293="","",RANK(X293,$X$2:$X$354))</f>
        <v>292</v>
      </c>
      <c r="AA293" s="12" t="str">
        <f aca="false">IF(X293="","Sairia — sem métrica",IF(PERCENTRANK($X$2:$X$354,X293)&lt;Critérios!$B$6,"Sairia — terço inferior","Fica"))</f>
        <v>Sairia — terço inferior</v>
      </c>
      <c r="AB293" s="12" t="s">
        <v>105</v>
      </c>
      <c r="AD293" s="15" t="s">
        <v>95</v>
      </c>
      <c r="AE293" s="16"/>
      <c r="AF293" s="12" t="s">
        <v>501</v>
      </c>
      <c r="AG293" s="12" t="s">
        <v>1521</v>
      </c>
      <c r="AH293" s="12" t="n">
        <f aca="false">COUNT(G293,I293,K293)+COUNTA(Q293:V293)</f>
        <v>3</v>
      </c>
      <c r="AI293" s="12" t="str">
        <f aca="false">IF(AH293&gt;=3,"Sim","Não")</f>
        <v>Sim</v>
      </c>
      <c r="AJ293" s="12" t="str">
        <f aca="false">IF(AND(Z293&lt;&gt;"",Z293&lt;=Critérios!$B$9),"Sim","Não")</f>
        <v>Não</v>
      </c>
    </row>
    <row r="294" customFormat="false" ht="15" hidden="false" customHeight="false" outlineLevel="0" collapsed="false">
      <c r="A294" s="12" t="s">
        <v>1522</v>
      </c>
      <c r="B294" s="12" t="s">
        <v>1523</v>
      </c>
      <c r="C294" s="12" t="s">
        <v>1524</v>
      </c>
      <c r="D294" s="12" t="s">
        <v>1103</v>
      </c>
      <c r="E294" s="12" t="s">
        <v>91</v>
      </c>
      <c r="F294" s="12" t="s">
        <v>92</v>
      </c>
      <c r="G294" s="13" t="n">
        <v>3014182</v>
      </c>
      <c r="H294" s="13" t="n">
        <v>45018922</v>
      </c>
      <c r="I294" s="13" t="n">
        <v>320715683</v>
      </c>
      <c r="J294" s="12" t="n">
        <v>6</v>
      </c>
      <c r="K294" s="13" t="n">
        <v>197252</v>
      </c>
      <c r="L294" s="12" t="n">
        <v>6.5</v>
      </c>
      <c r="M294" s="14" t="n">
        <f aca="false">IF(G294="","",PERCENTRANK($G$2:$G$354,G294))</f>
        <v>0.454</v>
      </c>
      <c r="N294" s="14" t="n">
        <f aca="false">IF(I294="","",PERCENTRANK($I$2:$I$354,I294))</f>
        <v>0.00424</v>
      </c>
      <c r="O294" s="14" t="n">
        <f aca="false">IF(K294="","",PERCENTRANK($K$2:$K$354,K294))</f>
        <v>0.193</v>
      </c>
      <c r="P294" s="12" t="n">
        <f aca="false">COUNT(M294:O294)</f>
        <v>3</v>
      </c>
      <c r="Q294" s="12" t="s">
        <v>1525</v>
      </c>
      <c r="W294" s="12" t="n">
        <f aca="false">COUNTA(Q294:V294)</f>
        <v>1</v>
      </c>
      <c r="X294" s="14" t="n">
        <f aca="false">IF(P294=0,"",MIN(1,AVERAGE(M294:O294)+Critérios!$B$5*W294))</f>
        <v>0.24708</v>
      </c>
      <c r="Y294" s="12" t="str">
        <f aca="false">IF(X294="","",IF(X294&gt;=Critérios!$B$7,"A",IF(X294&gt;=Critérios!$B$8,"B","C")))</f>
        <v>C</v>
      </c>
      <c r="Z294" s="12" t="n">
        <f aca="false">IF(X294="","",RANK(X294,$X$2:$X$354))</f>
        <v>293</v>
      </c>
      <c r="AA294" s="12" t="str">
        <f aca="false">IF(X294="","Sairia — sem métrica",IF(PERCENTRANK($X$2:$X$354,X294)&lt;Critérios!$B$6,"Sairia — terço inferior","Fica"))</f>
        <v>Sairia — terço inferior</v>
      </c>
      <c r="AB294" s="12" t="s">
        <v>105</v>
      </c>
      <c r="AD294" s="15" t="s">
        <v>95</v>
      </c>
      <c r="AE294" s="16"/>
      <c r="AF294" s="12" t="s">
        <v>1480</v>
      </c>
      <c r="AG294" s="12" t="s">
        <v>1526</v>
      </c>
      <c r="AH294" s="12" t="n">
        <f aca="false">COUNT(G294,I294,K294)+COUNTA(Q294:V294)</f>
        <v>4</v>
      </c>
      <c r="AI294" s="12" t="str">
        <f aca="false">IF(AH294&gt;=3,"Sim","Não")</f>
        <v>Sim</v>
      </c>
      <c r="AJ294" s="12" t="str">
        <f aca="false">IF(AND(Z294&lt;&gt;"",Z294&lt;=Critérios!$B$9),"Sim","Não")</f>
        <v>Não</v>
      </c>
    </row>
    <row r="295" customFormat="false" ht="15" hidden="false" customHeight="false" outlineLevel="0" collapsed="false">
      <c r="A295" s="12" t="s">
        <v>1527</v>
      </c>
      <c r="B295" s="12" t="s">
        <v>1528</v>
      </c>
      <c r="C295" s="12" t="s">
        <v>1529</v>
      </c>
      <c r="D295" s="12" t="s">
        <v>118</v>
      </c>
      <c r="E295" s="12" t="s">
        <v>91</v>
      </c>
      <c r="F295" s="12" t="s">
        <v>92</v>
      </c>
      <c r="G295" s="13" t="n">
        <v>1285444</v>
      </c>
      <c r="H295" s="13" t="n">
        <v>22648864</v>
      </c>
      <c r="I295" s="17"/>
      <c r="K295" s="13" t="n">
        <v>273414</v>
      </c>
      <c r="L295" s="12" t="n">
        <v>6.9</v>
      </c>
      <c r="M295" s="14" t="n">
        <f aca="false">IF(G295="","",PERCENTRANK($G$2:$G$354,G295))</f>
        <v>0.0882</v>
      </c>
      <c r="N295" s="14" t="str">
        <f aca="false">IF(I295="","",PERCENTRANK($I$2:$I$354,I295))</f>
        <v/>
      </c>
      <c r="O295" s="14" t="n">
        <f aca="false">IF(K295="","",PERCENTRANK($K$2:$K$354,K295))</f>
        <v>0.284</v>
      </c>
      <c r="P295" s="12" t="n">
        <f aca="false">COUNT(M295:O295)</f>
        <v>2</v>
      </c>
      <c r="Q295" s="12" t="s">
        <v>1530</v>
      </c>
      <c r="T295" s="12" t="s">
        <v>1531</v>
      </c>
      <c r="W295" s="12" t="n">
        <f aca="false">COUNTA(Q295:V295)</f>
        <v>2</v>
      </c>
      <c r="X295" s="14" t="n">
        <f aca="false">IF(P295=0,"",MIN(1,AVERAGE(M295:O295)+Critérios!$B$5*W295))</f>
        <v>0.2461</v>
      </c>
      <c r="Y295" s="12" t="str">
        <f aca="false">IF(X295="","",IF(X295&gt;=Critérios!$B$7,"A",IF(X295&gt;=Critérios!$B$8,"B","C")))</f>
        <v>C</v>
      </c>
      <c r="Z295" s="12" t="n">
        <f aca="false">IF(X295="","",RANK(X295,$X$2:$X$354))</f>
        <v>294</v>
      </c>
      <c r="AA295" s="12" t="str">
        <f aca="false">IF(X295="","Sairia — sem métrica",IF(PERCENTRANK($X$2:$X$354,X295)&lt;Critérios!$B$6,"Sairia — terço inferior","Fica"))</f>
        <v>Sairia — terço inferior</v>
      </c>
      <c r="AB295" s="12" t="s">
        <v>105</v>
      </c>
      <c r="AC295" s="12" t="s">
        <v>719</v>
      </c>
      <c r="AD295" s="15" t="s">
        <v>95</v>
      </c>
      <c r="AE295" s="16"/>
      <c r="AF295" s="12" t="s">
        <v>931</v>
      </c>
      <c r="AG295" s="12" t="s">
        <v>1532</v>
      </c>
      <c r="AH295" s="12" t="n">
        <f aca="false">COUNT(G295,I295,K295)+COUNTA(Q295:V295)</f>
        <v>4</v>
      </c>
      <c r="AI295" s="12" t="str">
        <f aca="false">IF(AH295&gt;=3,"Sim","Não")</f>
        <v>Sim</v>
      </c>
      <c r="AJ295" s="12" t="str">
        <f aca="false">IF(AND(Z295&lt;&gt;"",Z295&lt;=Critérios!$B$9),"Sim","Não")</f>
        <v>Não</v>
      </c>
    </row>
    <row r="296" customFormat="false" ht="15" hidden="false" customHeight="false" outlineLevel="0" collapsed="false">
      <c r="A296" s="12" t="s">
        <v>1533</v>
      </c>
      <c r="B296" s="12" t="s">
        <v>1534</v>
      </c>
      <c r="C296" s="12" t="s">
        <v>1535</v>
      </c>
      <c r="D296" s="12" t="s">
        <v>118</v>
      </c>
      <c r="E296" s="12" t="s">
        <v>91</v>
      </c>
      <c r="F296" s="12" t="s">
        <v>292</v>
      </c>
      <c r="G296" s="17"/>
      <c r="H296" s="17"/>
      <c r="I296" s="17"/>
      <c r="K296" s="13" t="n">
        <v>177789</v>
      </c>
      <c r="L296" s="12" t="n">
        <v>6.9</v>
      </c>
      <c r="M296" s="14" t="str">
        <f aca="false">IF(G296="","",PERCENTRANK($G$2:$G$354,G296))</f>
        <v/>
      </c>
      <c r="N296" s="14" t="str">
        <f aca="false">IF(I296="","",PERCENTRANK($I$2:$I$354,I296))</f>
        <v/>
      </c>
      <c r="O296" s="14" t="n">
        <f aca="false">IF(K296="","",PERCENTRANK($K$2:$K$354,K296))</f>
        <v>0.153</v>
      </c>
      <c r="P296" s="12" t="n">
        <f aca="false">COUNT(M296:O296)</f>
        <v>1</v>
      </c>
      <c r="Q296" s="12" t="s">
        <v>1536</v>
      </c>
      <c r="S296" s="12" t="s">
        <v>1537</v>
      </c>
      <c r="T296" s="12" t="s">
        <v>1538</v>
      </c>
      <c r="W296" s="12" t="n">
        <f aca="false">COUNTA(Q296:V296)</f>
        <v>3</v>
      </c>
      <c r="X296" s="14" t="n">
        <f aca="false">IF(P296=0,"",MIN(1,AVERAGE(M296:O296)+Critérios!$B$5*W296))</f>
        <v>0.243</v>
      </c>
      <c r="Y296" s="12" t="str">
        <f aca="false">IF(X296="","",IF(X296&gt;=Critérios!$B$7,"A",IF(X296&gt;=Critérios!$B$8,"B","C")))</f>
        <v>C</v>
      </c>
      <c r="Z296" s="12" t="n">
        <f aca="false">IF(X296="","",RANK(X296,$X$2:$X$354))</f>
        <v>295</v>
      </c>
      <c r="AA296" s="12" t="str">
        <f aca="false">IF(X296="","Sairia — sem métrica",IF(PERCENTRANK($X$2:$X$354,X296)&lt;Critérios!$B$6,"Sairia — terço inferior","Fica"))</f>
        <v>Sairia — terço inferior</v>
      </c>
      <c r="AB296" s="12" t="s">
        <v>105</v>
      </c>
      <c r="AD296" s="15" t="s">
        <v>95</v>
      </c>
      <c r="AE296" s="16"/>
      <c r="AG296" s="12" t="s">
        <v>1539</v>
      </c>
      <c r="AH296" s="12" t="n">
        <f aca="false">COUNT(G296,I296,K296)+COUNTA(Q296:V296)</f>
        <v>4</v>
      </c>
      <c r="AI296" s="12" t="str">
        <f aca="false">IF(AH296&gt;=3,"Sim","Não")</f>
        <v>Sim</v>
      </c>
      <c r="AJ296" s="12" t="str">
        <f aca="false">IF(AND(Z296&lt;&gt;"",Z296&lt;=Critérios!$B$9),"Sim","Não")</f>
        <v>Não</v>
      </c>
    </row>
    <row r="297" customFormat="false" ht="15" hidden="false" customHeight="false" outlineLevel="0" collapsed="false">
      <c r="A297" s="12" t="s">
        <v>1540</v>
      </c>
      <c r="B297" s="12" t="s">
        <v>1541</v>
      </c>
      <c r="C297" s="12" t="s">
        <v>1542</v>
      </c>
      <c r="D297" s="12" t="s">
        <v>505</v>
      </c>
      <c r="E297" s="12" t="s">
        <v>91</v>
      </c>
      <c r="F297" s="12" t="s">
        <v>169</v>
      </c>
      <c r="G297" s="17"/>
      <c r="H297" s="17"/>
      <c r="I297" s="17"/>
      <c r="K297" s="13" t="n">
        <v>193415</v>
      </c>
      <c r="L297" s="12" t="n">
        <v>6.9</v>
      </c>
      <c r="M297" s="14" t="str">
        <f aca="false">IF(G297="","",PERCENTRANK($G$2:$G$354,G297))</f>
        <v/>
      </c>
      <c r="N297" s="14" t="str">
        <f aca="false">IF(I297="","",PERCENTRANK($I$2:$I$354,I297))</f>
        <v/>
      </c>
      <c r="O297" s="14" t="n">
        <f aca="false">IF(K297="","",PERCENTRANK($K$2:$K$354,K297))</f>
        <v>0.182</v>
      </c>
      <c r="P297" s="12" t="n">
        <f aca="false">COUNT(M297:O297)</f>
        <v>1</v>
      </c>
      <c r="Q297" s="12" t="s">
        <v>1543</v>
      </c>
      <c r="R297" s="12" t="s">
        <v>1544</v>
      </c>
      <c r="W297" s="12" t="n">
        <f aca="false">COUNTA(Q297:V297)</f>
        <v>2</v>
      </c>
      <c r="X297" s="14" t="n">
        <f aca="false">IF(P297=0,"",MIN(1,AVERAGE(M297:O297)+Critérios!$B$5*W297))</f>
        <v>0.242</v>
      </c>
      <c r="Y297" s="12" t="str">
        <f aca="false">IF(X297="","",IF(X297&gt;=Critérios!$B$7,"A",IF(X297&gt;=Critérios!$B$8,"B","C")))</f>
        <v>C</v>
      </c>
      <c r="Z297" s="12" t="n">
        <f aca="false">IF(X297="","",RANK(X297,$X$2:$X$354))</f>
        <v>296</v>
      </c>
      <c r="AA297" s="12" t="str">
        <f aca="false">IF(X297="","Sairia — sem métrica",IF(PERCENTRANK($X$2:$X$354,X297)&lt;Critérios!$B$6,"Sairia — terço inferior","Fica"))</f>
        <v>Sairia — terço inferior</v>
      </c>
      <c r="AB297" s="12" t="s">
        <v>105</v>
      </c>
      <c r="AD297" s="15" t="s">
        <v>95</v>
      </c>
      <c r="AE297" s="16"/>
      <c r="AG297" s="12" t="s">
        <v>1545</v>
      </c>
      <c r="AH297" s="12" t="n">
        <f aca="false">COUNT(G297,I297,K297)+COUNTA(Q297:V297)</f>
        <v>3</v>
      </c>
      <c r="AI297" s="12" t="str">
        <f aca="false">IF(AH297&gt;=3,"Sim","Não")</f>
        <v>Sim</v>
      </c>
      <c r="AJ297" s="12" t="str">
        <f aca="false">IF(AND(Z297&lt;&gt;"",Z297&lt;=Critérios!$B$9),"Sim","Não")</f>
        <v>Não</v>
      </c>
    </row>
    <row r="298" customFormat="false" ht="15" hidden="false" customHeight="false" outlineLevel="0" collapsed="false">
      <c r="A298" s="12" t="s">
        <v>1546</v>
      </c>
      <c r="B298" s="12" t="s">
        <v>1547</v>
      </c>
      <c r="C298" s="12" t="s">
        <v>1548</v>
      </c>
      <c r="D298" s="12" t="s">
        <v>118</v>
      </c>
      <c r="E298" s="12" t="s">
        <v>91</v>
      </c>
      <c r="F298" s="12" t="s">
        <v>674</v>
      </c>
      <c r="G298" s="17"/>
      <c r="H298" s="17"/>
      <c r="I298" s="17"/>
      <c r="K298" s="13" t="n">
        <v>192014</v>
      </c>
      <c r="L298" s="12" t="n">
        <v>6.3</v>
      </c>
      <c r="M298" s="14" t="str">
        <f aca="false">IF(G298="","",PERCENTRANK($G$2:$G$354,G298))</f>
        <v/>
      </c>
      <c r="N298" s="14" t="str">
        <f aca="false">IF(I298="","",PERCENTRANK($I$2:$I$354,I298))</f>
        <v/>
      </c>
      <c r="O298" s="14" t="n">
        <f aca="false">IF(K298="","",PERCENTRANK($K$2:$K$354,K298))</f>
        <v>0.179</v>
      </c>
      <c r="P298" s="12" t="n">
        <f aca="false">COUNT(M298:O298)</f>
        <v>1</v>
      </c>
      <c r="Q298" s="12" t="s">
        <v>1549</v>
      </c>
      <c r="T298" s="12" t="s">
        <v>1550</v>
      </c>
      <c r="W298" s="12" t="n">
        <f aca="false">COUNTA(Q298:V298)</f>
        <v>2</v>
      </c>
      <c r="X298" s="14" t="n">
        <f aca="false">IF(P298=0,"",MIN(1,AVERAGE(M298:O298)+Critérios!$B$5*W298))</f>
        <v>0.239</v>
      </c>
      <c r="Y298" s="12" t="str">
        <f aca="false">IF(X298="","",IF(X298&gt;=Critérios!$B$7,"A",IF(X298&gt;=Critérios!$B$8,"B","C")))</f>
        <v>C</v>
      </c>
      <c r="Z298" s="12" t="n">
        <f aca="false">IF(X298="","",RANK(X298,$X$2:$X$354))</f>
        <v>297</v>
      </c>
      <c r="AA298" s="12" t="str">
        <f aca="false">IF(X298="","Sairia — sem métrica",IF(PERCENTRANK($X$2:$X$354,X298)&lt;Critérios!$B$6,"Sairia — terço inferior","Fica"))</f>
        <v>Sairia — terço inferior</v>
      </c>
      <c r="AB298" s="12" t="s">
        <v>105</v>
      </c>
      <c r="AD298" s="15" t="s">
        <v>95</v>
      </c>
      <c r="AE298" s="16"/>
      <c r="AG298" s="12" t="s">
        <v>1551</v>
      </c>
      <c r="AH298" s="12" t="n">
        <f aca="false">COUNT(G298,I298,K298)+COUNTA(Q298:V298)</f>
        <v>3</v>
      </c>
      <c r="AI298" s="12" t="str">
        <f aca="false">IF(AH298&gt;=3,"Sim","Não")</f>
        <v>Sim</v>
      </c>
      <c r="AJ298" s="12" t="str">
        <f aca="false">IF(AND(Z298&lt;&gt;"",Z298&lt;=Critérios!$B$9),"Sim","Não")</f>
        <v>Não</v>
      </c>
    </row>
    <row r="299" customFormat="false" ht="15" hidden="false" customHeight="false" outlineLevel="0" collapsed="false">
      <c r="A299" s="12" t="s">
        <v>1552</v>
      </c>
      <c r="B299" s="12" t="s">
        <v>1553</v>
      </c>
      <c r="C299" s="12" t="s">
        <v>1554</v>
      </c>
      <c r="D299" s="12" t="s">
        <v>152</v>
      </c>
      <c r="E299" s="12" t="s">
        <v>91</v>
      </c>
      <c r="F299" s="12" t="s">
        <v>92</v>
      </c>
      <c r="G299" s="13" t="n">
        <v>1866815</v>
      </c>
      <c r="H299" s="13" t="n">
        <v>13842915</v>
      </c>
      <c r="I299" s="13" t="n">
        <v>362744280</v>
      </c>
      <c r="J299" s="12" t="n">
        <v>10</v>
      </c>
      <c r="K299" s="13" t="n">
        <v>442970</v>
      </c>
      <c r="L299" s="12" t="n">
        <v>6.5</v>
      </c>
      <c r="M299" s="14" t="n">
        <f aca="false">IF(G299="","",PERCENTRANK($G$2:$G$354,G299))</f>
        <v>0.186</v>
      </c>
      <c r="N299" s="14" t="n">
        <f aca="false">IF(I299="","",PERCENTRANK($I$2:$I$354,I299))</f>
        <v>0.0212</v>
      </c>
      <c r="O299" s="14" t="n">
        <f aca="false">IF(K299="","",PERCENTRANK($K$2:$K$354,K299))</f>
        <v>0.509</v>
      </c>
      <c r="P299" s="12" t="n">
        <f aca="false">COUNT(M299:O299)</f>
        <v>3</v>
      </c>
      <c r="W299" s="12" t="n">
        <f aca="false">COUNTA(Q299:V299)</f>
        <v>0</v>
      </c>
      <c r="X299" s="14" t="n">
        <f aca="false">IF(P299=0,"",MIN(1,AVERAGE(M299:O299)+Critérios!$B$5*W299))</f>
        <v>0.238733333333333</v>
      </c>
      <c r="Y299" s="12" t="str">
        <f aca="false">IF(X299="","",IF(X299&gt;=Critérios!$B$7,"A",IF(X299&gt;=Critérios!$B$8,"B","C")))</f>
        <v>C</v>
      </c>
      <c r="Z299" s="12" t="n">
        <f aca="false">IF(X299="","",RANK(X299,$X$2:$X$354))</f>
        <v>298</v>
      </c>
      <c r="AA299" s="12" t="str">
        <f aca="false">IF(X299="","Sairia — sem métrica",IF(PERCENTRANK($X$2:$X$354,X299)&lt;Critérios!$B$6,"Sairia — terço inferior","Fica"))</f>
        <v>Sairia — terço inferior</v>
      </c>
      <c r="AB299" s="12" t="s">
        <v>94</v>
      </c>
      <c r="AD299" s="15" t="s">
        <v>95</v>
      </c>
      <c r="AE299" s="16"/>
      <c r="AF299" s="12" t="s">
        <v>429</v>
      </c>
      <c r="AG299" s="12" t="s">
        <v>1555</v>
      </c>
      <c r="AH299" s="12" t="n">
        <f aca="false">COUNT(G299,I299,K299)+COUNTA(Q299:V299)</f>
        <v>3</v>
      </c>
      <c r="AI299" s="12" t="str">
        <f aca="false">IF(AH299&gt;=3,"Sim","Não")</f>
        <v>Sim</v>
      </c>
      <c r="AJ299" s="12" t="str">
        <f aca="false">IF(AND(Z299&lt;&gt;"",Z299&lt;=Critérios!$B$9),"Sim","Não")</f>
        <v>Não</v>
      </c>
    </row>
    <row r="300" customFormat="false" ht="15" hidden="false" customHeight="false" outlineLevel="0" collapsed="false">
      <c r="A300" s="12" t="s">
        <v>1556</v>
      </c>
      <c r="B300" s="12" t="s">
        <v>1557</v>
      </c>
      <c r="C300" s="12" t="s">
        <v>1558</v>
      </c>
      <c r="D300" s="12" t="s">
        <v>251</v>
      </c>
      <c r="E300" s="12" t="s">
        <v>91</v>
      </c>
      <c r="F300" s="12" t="s">
        <v>92</v>
      </c>
      <c r="G300" s="13" t="n">
        <v>2091520</v>
      </c>
      <c r="H300" s="13" t="n">
        <v>43834113</v>
      </c>
      <c r="I300" s="17"/>
      <c r="K300" s="13" t="n">
        <v>189426</v>
      </c>
      <c r="L300" s="12" t="n">
        <v>5.2</v>
      </c>
      <c r="M300" s="14" t="n">
        <f aca="false">IF(G300="","",PERCENTRANK($G$2:$G$354,G300))</f>
        <v>0.248</v>
      </c>
      <c r="N300" s="14" t="str">
        <f aca="false">IF(I300="","",PERCENTRANK($I$2:$I$354,I300))</f>
        <v/>
      </c>
      <c r="O300" s="14" t="n">
        <f aca="false">IF(K300="","",PERCENTRANK($K$2:$K$354,K300))</f>
        <v>0.168</v>
      </c>
      <c r="P300" s="12" t="n">
        <f aca="false">COUNT(M300:O300)</f>
        <v>2</v>
      </c>
      <c r="Q300" s="12" t="s">
        <v>1559</v>
      </c>
      <c r="W300" s="12" t="n">
        <f aca="false">COUNTA(Q300:V300)</f>
        <v>1</v>
      </c>
      <c r="X300" s="14" t="n">
        <f aca="false">IF(P300=0,"",MIN(1,AVERAGE(M300:O300)+Critérios!$B$5*W300))</f>
        <v>0.238</v>
      </c>
      <c r="Y300" s="12" t="str">
        <f aca="false">IF(X300="","",IF(X300&gt;=Critérios!$B$7,"A",IF(X300&gt;=Critérios!$B$8,"B","C")))</f>
        <v>C</v>
      </c>
      <c r="Z300" s="12" t="n">
        <f aca="false">IF(X300="","",RANK(X300,$X$2:$X$354))</f>
        <v>299</v>
      </c>
      <c r="AA300" s="12" t="str">
        <f aca="false">IF(X300="","Sairia — sem métrica",IF(PERCENTRANK($X$2:$X$354,X300)&lt;Critérios!$B$6,"Sairia — terço inferior","Fica"))</f>
        <v>Sairia — terço inferior</v>
      </c>
      <c r="AB300" s="12" t="s">
        <v>105</v>
      </c>
      <c r="AC300" s="12" t="s">
        <v>719</v>
      </c>
      <c r="AD300" s="15" t="s">
        <v>95</v>
      </c>
      <c r="AE300" s="16"/>
      <c r="AF300" s="12" t="s">
        <v>1397</v>
      </c>
      <c r="AG300" s="12" t="s">
        <v>1560</v>
      </c>
      <c r="AH300" s="12" t="n">
        <f aca="false">COUNT(G300,I300,K300)+COUNTA(Q300:V300)</f>
        <v>3</v>
      </c>
      <c r="AI300" s="12" t="str">
        <f aca="false">IF(AH300&gt;=3,"Sim","Não")</f>
        <v>Sim</v>
      </c>
      <c r="AJ300" s="12" t="str">
        <f aca="false">IF(AND(Z300&lt;&gt;"",Z300&lt;=Critérios!$B$9),"Sim","Não")</f>
        <v>Não</v>
      </c>
    </row>
    <row r="301" customFormat="false" ht="15" hidden="false" customHeight="false" outlineLevel="0" collapsed="false">
      <c r="A301" s="12" t="s">
        <v>1561</v>
      </c>
      <c r="B301" s="12" t="s">
        <v>1562</v>
      </c>
      <c r="C301" s="12" t="s">
        <v>1563</v>
      </c>
      <c r="D301" s="12" t="s">
        <v>101</v>
      </c>
      <c r="E301" s="12" t="s">
        <v>91</v>
      </c>
      <c r="F301" s="12" t="s">
        <v>92</v>
      </c>
      <c r="G301" s="13" t="n">
        <v>594953</v>
      </c>
      <c r="H301" s="13" t="n">
        <v>10507047</v>
      </c>
      <c r="I301" s="17"/>
      <c r="K301" s="13" t="n">
        <v>330181</v>
      </c>
      <c r="L301" s="12" t="n">
        <v>7.2</v>
      </c>
      <c r="M301" s="14" t="n">
        <f aca="false">IF(G301="","",PERCENTRANK($G$2:$G$354,G301))</f>
        <v>0.0229</v>
      </c>
      <c r="N301" s="14" t="str">
        <f aca="false">IF(I301="","",PERCENTRANK($I$2:$I$354,I301))</f>
        <v/>
      </c>
      <c r="O301" s="14" t="n">
        <f aca="false">IF(K301="","",PERCENTRANK($K$2:$K$354,K301))</f>
        <v>0.392</v>
      </c>
      <c r="P301" s="12" t="n">
        <f aca="false">COUNT(M301:O301)</f>
        <v>2</v>
      </c>
      <c r="Q301" s="12" t="s">
        <v>1564</v>
      </c>
      <c r="W301" s="12" t="n">
        <f aca="false">COUNTA(Q301:V301)</f>
        <v>1</v>
      </c>
      <c r="X301" s="14" t="n">
        <f aca="false">IF(P301=0,"",MIN(1,AVERAGE(M301:O301)+Critérios!$B$5*W301))</f>
        <v>0.23745</v>
      </c>
      <c r="Y301" s="12" t="str">
        <f aca="false">IF(X301="","",IF(X301&gt;=Critérios!$B$7,"A",IF(X301&gt;=Critérios!$B$8,"B","C")))</f>
        <v>C</v>
      </c>
      <c r="Z301" s="12" t="n">
        <f aca="false">IF(X301="","",RANK(X301,$X$2:$X$354))</f>
        <v>300</v>
      </c>
      <c r="AA301" s="12" t="str">
        <f aca="false">IF(X301="","Sairia — sem métrica",IF(PERCENTRANK($X$2:$X$354,X301)&lt;Critérios!$B$6,"Sairia — terço inferior","Fica"))</f>
        <v>Sairia — terço inferior</v>
      </c>
      <c r="AB301" s="12" t="s">
        <v>105</v>
      </c>
      <c r="AC301" s="12" t="s">
        <v>719</v>
      </c>
      <c r="AD301" s="15" t="s">
        <v>95</v>
      </c>
      <c r="AE301" s="16"/>
      <c r="AF301" s="12" t="s">
        <v>720</v>
      </c>
      <c r="AG301" s="12" t="s">
        <v>1565</v>
      </c>
      <c r="AH301" s="12" t="n">
        <f aca="false">COUNT(G301,I301,K301)+COUNTA(Q301:V301)</f>
        <v>3</v>
      </c>
      <c r="AI301" s="12" t="str">
        <f aca="false">IF(AH301&gt;=3,"Sim","Não")</f>
        <v>Sim</v>
      </c>
      <c r="AJ301" s="12" t="str">
        <f aca="false">IF(AND(Z301&lt;&gt;"",Z301&lt;=Critérios!$B$9),"Sim","Não")</f>
        <v>Não</v>
      </c>
    </row>
    <row r="302" customFormat="false" ht="15" hidden="false" customHeight="false" outlineLevel="0" collapsed="false">
      <c r="A302" s="12" t="s">
        <v>1566</v>
      </c>
      <c r="B302" s="12" t="s">
        <v>1567</v>
      </c>
      <c r="C302" s="12" t="s">
        <v>1567</v>
      </c>
      <c r="D302" s="12" t="s">
        <v>396</v>
      </c>
      <c r="E302" s="12" t="s">
        <v>91</v>
      </c>
      <c r="F302" s="12" t="s">
        <v>92</v>
      </c>
      <c r="G302" s="13" t="n">
        <v>1737741</v>
      </c>
      <c r="H302" s="13" t="n">
        <v>10165673</v>
      </c>
      <c r="I302" s="13" t="n">
        <v>449220945</v>
      </c>
      <c r="J302" s="12" t="n">
        <v>6</v>
      </c>
      <c r="K302" s="13" t="n">
        <v>373589</v>
      </c>
      <c r="L302" s="12" t="n">
        <v>6.3</v>
      </c>
      <c r="M302" s="14" t="n">
        <f aca="false">IF(G302="","",PERCENTRANK($G$2:$G$354,G302))</f>
        <v>0.157</v>
      </c>
      <c r="N302" s="14" t="n">
        <f aca="false">IF(I302="","",PERCENTRANK($I$2:$I$354,I302))</f>
        <v>0.114</v>
      </c>
      <c r="O302" s="14" t="n">
        <f aca="false">IF(K302="","",PERCENTRANK($K$2:$K$354,K302))</f>
        <v>0.44</v>
      </c>
      <c r="P302" s="12" t="n">
        <f aca="false">COUNT(M302:O302)</f>
        <v>3</v>
      </c>
      <c r="W302" s="12" t="n">
        <f aca="false">COUNTA(Q302:V302)</f>
        <v>0</v>
      </c>
      <c r="X302" s="14" t="n">
        <f aca="false">IF(P302=0,"",MIN(1,AVERAGE(M302:O302)+Critérios!$B$5*W302))</f>
        <v>0.237</v>
      </c>
      <c r="Y302" s="12" t="str">
        <f aca="false">IF(X302="","",IF(X302&gt;=Critérios!$B$7,"A",IF(X302&gt;=Critérios!$B$8,"B","C")))</f>
        <v>C</v>
      </c>
      <c r="Z302" s="12" t="n">
        <f aca="false">IF(X302="","",RANK(X302,$X$2:$X$354))</f>
        <v>301</v>
      </c>
      <c r="AA302" s="12" t="str">
        <f aca="false">IF(X302="","Sairia — sem métrica",IF(PERCENTRANK($X$2:$X$354,X302)&lt;Critérios!$B$6,"Sairia — terço inferior","Fica"))</f>
        <v>Sairia — terço inferior</v>
      </c>
      <c r="AB302" s="12" t="s">
        <v>105</v>
      </c>
      <c r="AD302" s="15" t="s">
        <v>95</v>
      </c>
      <c r="AE302" s="16"/>
      <c r="AF302" s="12" t="s">
        <v>397</v>
      </c>
      <c r="AG302" s="12" t="s">
        <v>1568</v>
      </c>
      <c r="AH302" s="12" t="n">
        <f aca="false">COUNT(G302,I302,K302)+COUNTA(Q302:V302)</f>
        <v>3</v>
      </c>
      <c r="AI302" s="12" t="str">
        <f aca="false">IF(AH302&gt;=3,"Sim","Não")</f>
        <v>Sim</v>
      </c>
      <c r="AJ302" s="12" t="str">
        <f aca="false">IF(AND(Z302&lt;&gt;"",Z302&lt;=Critérios!$B$9),"Sim","Não")</f>
        <v>Não</v>
      </c>
    </row>
    <row r="303" customFormat="false" ht="15" hidden="false" customHeight="false" outlineLevel="0" collapsed="false">
      <c r="A303" s="12" t="s">
        <v>1569</v>
      </c>
      <c r="B303" s="12" t="s">
        <v>1570</v>
      </c>
      <c r="C303" s="12" t="s">
        <v>1571</v>
      </c>
      <c r="D303" s="12" t="s">
        <v>265</v>
      </c>
      <c r="E303" s="12" t="s">
        <v>91</v>
      </c>
      <c r="F303" s="12" t="s">
        <v>92</v>
      </c>
      <c r="G303" s="13" t="n">
        <v>2673220</v>
      </c>
      <c r="H303" s="13" t="n">
        <v>57780000</v>
      </c>
      <c r="I303" s="17"/>
      <c r="K303" s="13" t="n">
        <v>61784</v>
      </c>
      <c r="L303" s="12" t="n">
        <v>4.8</v>
      </c>
      <c r="M303" s="14" t="n">
        <f aca="false">IF(G303="","",PERCENTRANK($G$2:$G$354,G303))</f>
        <v>0.376</v>
      </c>
      <c r="N303" s="14" t="str">
        <f aca="false">IF(I303="","",PERCENTRANK($I$2:$I$354,I303))</f>
        <v/>
      </c>
      <c r="O303" s="14" t="n">
        <f aca="false">IF(K303="","",PERCENTRANK($K$2:$K$354,K303))</f>
        <v>0.0341</v>
      </c>
      <c r="P303" s="12" t="n">
        <f aca="false">COUNT(M303:O303)</f>
        <v>2</v>
      </c>
      <c r="R303" s="12" t="s">
        <v>1572</v>
      </c>
      <c r="W303" s="12" t="n">
        <f aca="false">COUNTA(Q303:V303)</f>
        <v>1</v>
      </c>
      <c r="X303" s="14" t="n">
        <f aca="false">IF(P303=0,"",MIN(1,AVERAGE(M303:O303)+Critérios!$B$5*W303))</f>
        <v>0.23505</v>
      </c>
      <c r="Y303" s="12" t="str">
        <f aca="false">IF(X303="","",IF(X303&gt;=Critérios!$B$7,"A",IF(X303&gt;=Critérios!$B$8,"B","C")))</f>
        <v>C</v>
      </c>
      <c r="Z303" s="12" t="n">
        <f aca="false">IF(X303="","",RANK(X303,$X$2:$X$354))</f>
        <v>302</v>
      </c>
      <c r="AA303" s="12" t="str">
        <f aca="false">IF(X303="","Sairia — sem métrica",IF(PERCENTRANK($X$2:$X$354,X303)&lt;Critérios!$B$6,"Sairia — terço inferior","Fica"))</f>
        <v>Sairia — terço inferior</v>
      </c>
      <c r="AB303" s="12" t="s">
        <v>105</v>
      </c>
      <c r="AC303" s="12" t="s">
        <v>267</v>
      </c>
      <c r="AD303" s="15" t="s">
        <v>95</v>
      </c>
      <c r="AE303" s="16"/>
      <c r="AF303" s="12" t="s">
        <v>1087</v>
      </c>
      <c r="AG303" s="12" t="s">
        <v>1573</v>
      </c>
      <c r="AH303" s="12" t="n">
        <f aca="false">COUNT(G303,I303,K303)+COUNTA(Q303:V303)</f>
        <v>3</v>
      </c>
      <c r="AI303" s="12" t="str">
        <f aca="false">IF(AH303&gt;=3,"Sim","Não")</f>
        <v>Sim</v>
      </c>
      <c r="AJ303" s="12" t="str">
        <f aca="false">IF(AND(Z303&lt;&gt;"",Z303&lt;=Critérios!$B$9),"Sim","Não")</f>
        <v>Não</v>
      </c>
    </row>
    <row r="304" customFormat="false" ht="15" hidden="false" customHeight="false" outlineLevel="0" collapsed="false">
      <c r="A304" s="12" t="s">
        <v>1574</v>
      </c>
      <c r="B304" s="12" t="s">
        <v>1575</v>
      </c>
      <c r="C304" s="12" t="s">
        <v>1576</v>
      </c>
      <c r="D304" s="12" t="s">
        <v>101</v>
      </c>
      <c r="E304" s="12" t="s">
        <v>91</v>
      </c>
      <c r="F304" s="12" t="s">
        <v>292</v>
      </c>
      <c r="G304" s="17"/>
      <c r="H304" s="17"/>
      <c r="I304" s="17"/>
      <c r="K304" s="13" t="n">
        <v>190580</v>
      </c>
      <c r="L304" s="12" t="n">
        <v>7.3</v>
      </c>
      <c r="M304" s="14" t="str">
        <f aca="false">IF(G304="","",PERCENTRANK($G$2:$G$354,G304))</f>
        <v/>
      </c>
      <c r="N304" s="14" t="str">
        <f aca="false">IF(I304="","",PERCENTRANK($I$2:$I$354,I304))</f>
        <v/>
      </c>
      <c r="O304" s="14" t="n">
        <f aca="false">IF(K304="","",PERCENTRANK($K$2:$K$354,K304))</f>
        <v>0.173</v>
      </c>
      <c r="P304" s="12" t="n">
        <f aca="false">COUNT(M304:O304)</f>
        <v>1</v>
      </c>
      <c r="Q304" s="12" t="s">
        <v>1577</v>
      </c>
      <c r="S304" s="12" t="s">
        <v>1578</v>
      </c>
      <c r="W304" s="12" t="n">
        <f aca="false">COUNTA(Q304:V304)</f>
        <v>2</v>
      </c>
      <c r="X304" s="14" t="n">
        <f aca="false">IF(P304=0,"",MIN(1,AVERAGE(M304:O304)+Critérios!$B$5*W304))</f>
        <v>0.233</v>
      </c>
      <c r="Y304" s="12" t="str">
        <f aca="false">IF(X304="","",IF(X304&gt;=Critérios!$B$7,"A",IF(X304&gt;=Critérios!$B$8,"B","C")))</f>
        <v>C</v>
      </c>
      <c r="Z304" s="12" t="n">
        <f aca="false">IF(X304="","",RANK(X304,$X$2:$X$354))</f>
        <v>303</v>
      </c>
      <c r="AA304" s="12" t="str">
        <f aca="false">IF(X304="","Sairia — sem métrica",IF(PERCENTRANK($X$2:$X$354,X304)&lt;Critérios!$B$6,"Sairia — terço inferior","Fica"))</f>
        <v>Sairia — terço inferior</v>
      </c>
      <c r="AB304" s="12" t="s">
        <v>105</v>
      </c>
      <c r="AD304" s="15" t="s">
        <v>95</v>
      </c>
      <c r="AE304" s="16"/>
      <c r="AG304" s="12" t="s">
        <v>1579</v>
      </c>
      <c r="AH304" s="12" t="n">
        <f aca="false">COUNT(G304,I304,K304)+COUNTA(Q304:V304)</f>
        <v>3</v>
      </c>
      <c r="AI304" s="12" t="str">
        <f aca="false">IF(AH304&gt;=3,"Sim","Não")</f>
        <v>Sim</v>
      </c>
      <c r="AJ304" s="12" t="str">
        <f aca="false">IF(AND(Z304&lt;&gt;"",Z304&lt;=Critérios!$B$9),"Sim","Não")</f>
        <v>Não</v>
      </c>
    </row>
    <row r="305" customFormat="false" ht="15" hidden="false" customHeight="false" outlineLevel="0" collapsed="false">
      <c r="A305" s="12" t="s">
        <v>1580</v>
      </c>
      <c r="B305" s="12" t="s">
        <v>1581</v>
      </c>
      <c r="C305" s="12" t="s">
        <v>1582</v>
      </c>
      <c r="D305" s="12" t="s">
        <v>175</v>
      </c>
      <c r="E305" s="12" t="s">
        <v>91</v>
      </c>
      <c r="F305" s="12" t="s">
        <v>92</v>
      </c>
      <c r="G305" s="13" t="n">
        <v>2032334</v>
      </c>
      <c r="H305" s="13" t="n">
        <v>39958717</v>
      </c>
      <c r="I305" s="17"/>
      <c r="K305" s="13" t="n">
        <v>191631</v>
      </c>
      <c r="L305" s="12" t="n">
        <v>6.6</v>
      </c>
      <c r="M305" s="14" t="n">
        <f aca="false">IF(G305="","",PERCENTRANK($G$2:$G$354,G305))</f>
        <v>0.222</v>
      </c>
      <c r="N305" s="14" t="str">
        <f aca="false">IF(I305="","",PERCENTRANK($I$2:$I$354,I305))</f>
        <v/>
      </c>
      <c r="O305" s="14" t="n">
        <f aca="false">IF(K305="","",PERCENTRANK($K$2:$K$354,K305))</f>
        <v>0.176</v>
      </c>
      <c r="P305" s="12" t="n">
        <f aca="false">COUNT(M305:O305)</f>
        <v>2</v>
      </c>
      <c r="Q305" s="12" t="s">
        <v>1583</v>
      </c>
      <c r="W305" s="12" t="n">
        <f aca="false">COUNTA(Q305:V305)</f>
        <v>1</v>
      </c>
      <c r="X305" s="14" t="n">
        <f aca="false">IF(P305=0,"",MIN(1,AVERAGE(M305:O305)+Critérios!$B$5*W305))</f>
        <v>0.229</v>
      </c>
      <c r="Y305" s="12" t="str">
        <f aca="false">IF(X305="","",IF(X305&gt;=Critérios!$B$7,"A",IF(X305&gt;=Critérios!$B$8,"B","C")))</f>
        <v>C</v>
      </c>
      <c r="Z305" s="12" t="n">
        <f aca="false">IF(X305="","",RANK(X305,$X$2:$X$354))</f>
        <v>304</v>
      </c>
      <c r="AA305" s="12" t="str">
        <f aca="false">IF(X305="","Sairia — sem métrica",IF(PERCENTRANK($X$2:$X$354,X305)&lt;Critérios!$B$6,"Sairia — terço inferior","Fica"))</f>
        <v>Sairia — terço inferior</v>
      </c>
      <c r="AB305" s="12" t="s">
        <v>105</v>
      </c>
      <c r="AC305" s="12" t="s">
        <v>719</v>
      </c>
      <c r="AD305" s="15" t="s">
        <v>95</v>
      </c>
      <c r="AE305" s="16"/>
      <c r="AF305" s="12" t="s">
        <v>1175</v>
      </c>
      <c r="AG305" s="12" t="s">
        <v>1584</v>
      </c>
      <c r="AH305" s="12" t="n">
        <f aca="false">COUNT(G305,I305,K305)+COUNTA(Q305:V305)</f>
        <v>3</v>
      </c>
      <c r="AI305" s="12" t="str">
        <f aca="false">IF(AH305&gt;=3,"Sim","Não")</f>
        <v>Sim</v>
      </c>
      <c r="AJ305" s="12" t="str">
        <f aca="false">IF(AND(Z305&lt;&gt;"",Z305&lt;=Critérios!$B$9),"Sim","Não")</f>
        <v>Não</v>
      </c>
    </row>
    <row r="306" customFormat="false" ht="15" hidden="false" customHeight="false" outlineLevel="0" collapsed="false">
      <c r="A306" s="12" t="s">
        <v>1585</v>
      </c>
      <c r="B306" s="12" t="s">
        <v>1586</v>
      </c>
      <c r="C306" s="12" t="s">
        <v>1587</v>
      </c>
      <c r="D306" s="12" t="s">
        <v>101</v>
      </c>
      <c r="E306" s="12" t="s">
        <v>91</v>
      </c>
      <c r="F306" s="12" t="s">
        <v>92</v>
      </c>
      <c r="G306" s="13" t="n">
        <v>805613</v>
      </c>
      <c r="H306" s="13" t="n">
        <v>14903927</v>
      </c>
      <c r="I306" s="17"/>
      <c r="K306" s="13" t="n">
        <v>307615</v>
      </c>
      <c r="L306" s="12" t="n">
        <v>5.6</v>
      </c>
      <c r="M306" s="14" t="n">
        <f aca="false">IF(G306="","",PERCENTRANK($G$2:$G$354,G306))</f>
        <v>0.0458</v>
      </c>
      <c r="N306" s="14" t="str">
        <f aca="false">IF(I306="","",PERCENTRANK($I$2:$I$354,I306))</f>
        <v/>
      </c>
      <c r="O306" s="14" t="n">
        <f aca="false">IF(K306="","",PERCENTRANK($K$2:$K$354,K306))</f>
        <v>0.349</v>
      </c>
      <c r="P306" s="12" t="n">
        <f aca="false">COUNT(M306:O306)</f>
        <v>2</v>
      </c>
      <c r="Q306" s="12" t="s">
        <v>1588</v>
      </c>
      <c r="W306" s="12" t="n">
        <f aca="false">COUNTA(Q306:V306)</f>
        <v>1</v>
      </c>
      <c r="X306" s="14" t="n">
        <f aca="false">IF(P306=0,"",MIN(1,AVERAGE(M306:O306)+Critérios!$B$5*W306))</f>
        <v>0.2274</v>
      </c>
      <c r="Y306" s="12" t="str">
        <f aca="false">IF(X306="","",IF(X306&gt;=Critérios!$B$7,"A",IF(X306&gt;=Critérios!$B$8,"B","C")))</f>
        <v>C</v>
      </c>
      <c r="Z306" s="12" t="n">
        <f aca="false">IF(X306="","",RANK(X306,$X$2:$X$354))</f>
        <v>305</v>
      </c>
      <c r="AA306" s="12" t="str">
        <f aca="false">IF(X306="","Sairia — sem métrica",IF(PERCENTRANK($X$2:$X$354,X306)&lt;Critérios!$B$6,"Sairia — terço inferior","Fica"))</f>
        <v>Sairia — terço inferior</v>
      </c>
      <c r="AB306" s="12" t="s">
        <v>105</v>
      </c>
      <c r="AC306" s="12" t="s">
        <v>719</v>
      </c>
      <c r="AD306" s="15" t="s">
        <v>95</v>
      </c>
      <c r="AE306" s="16"/>
      <c r="AF306" s="12" t="s">
        <v>720</v>
      </c>
      <c r="AG306" s="12" t="s">
        <v>1589</v>
      </c>
      <c r="AH306" s="12" t="n">
        <f aca="false">COUNT(G306,I306,K306)+COUNTA(Q306:V306)</f>
        <v>3</v>
      </c>
      <c r="AI306" s="12" t="str">
        <f aca="false">IF(AH306&gt;=3,"Sim","Não")</f>
        <v>Sim</v>
      </c>
      <c r="AJ306" s="12" t="str">
        <f aca="false">IF(AND(Z306&lt;&gt;"",Z306&lt;=Critérios!$B$9),"Sim","Não")</f>
        <v>Não</v>
      </c>
    </row>
    <row r="307" customFormat="false" ht="15" hidden="false" customHeight="false" outlineLevel="0" collapsed="false">
      <c r="A307" s="12" t="s">
        <v>1590</v>
      </c>
      <c r="B307" s="12" t="s">
        <v>1591</v>
      </c>
      <c r="C307" s="12" t="s">
        <v>1592</v>
      </c>
      <c r="D307" s="12" t="s">
        <v>152</v>
      </c>
      <c r="E307" s="12" t="s">
        <v>91</v>
      </c>
      <c r="F307" s="12" t="s">
        <v>92</v>
      </c>
      <c r="G307" s="13" t="n">
        <v>1540570</v>
      </c>
      <c r="H307" s="13" t="n">
        <v>11661964</v>
      </c>
      <c r="I307" s="13" t="n">
        <v>522657936</v>
      </c>
      <c r="J307" s="12" t="n">
        <v>7</v>
      </c>
      <c r="K307" s="13" t="n">
        <v>304232</v>
      </c>
      <c r="L307" s="12" t="n">
        <v>6.4</v>
      </c>
      <c r="M307" s="14" t="n">
        <f aca="false">IF(G307="","",PERCENTRANK($G$2:$G$354,G307))</f>
        <v>0.134</v>
      </c>
      <c r="N307" s="14" t="n">
        <f aca="false">IF(I307="","",PERCENTRANK($I$2:$I$354,I307))</f>
        <v>0.199</v>
      </c>
      <c r="O307" s="14" t="n">
        <f aca="false">IF(K307="","",PERCENTRANK($K$2:$K$354,K307))</f>
        <v>0.344</v>
      </c>
      <c r="P307" s="12" t="n">
        <f aca="false">COUNT(M307:O307)</f>
        <v>3</v>
      </c>
      <c r="W307" s="12" t="n">
        <f aca="false">COUNTA(Q307:V307)</f>
        <v>0</v>
      </c>
      <c r="X307" s="14" t="n">
        <f aca="false">IF(P307=0,"",MIN(1,AVERAGE(M307:O307)+Critérios!$B$5*W307))</f>
        <v>0.225666666666667</v>
      </c>
      <c r="Y307" s="12" t="str">
        <f aca="false">IF(X307="","",IF(X307&gt;=Critérios!$B$7,"A",IF(X307&gt;=Critérios!$B$8,"B","C")))</f>
        <v>C</v>
      </c>
      <c r="Z307" s="12" t="n">
        <f aca="false">IF(X307="","",RANK(X307,$X$2:$X$354))</f>
        <v>306</v>
      </c>
      <c r="AA307" s="12" t="str">
        <f aca="false">IF(X307="","Sairia — sem métrica",IF(PERCENTRANK($X$2:$X$354,X307)&lt;Critérios!$B$6,"Sairia — terço inferior","Fica"))</f>
        <v>Sairia — terço inferior</v>
      </c>
      <c r="AB307" s="12" t="s">
        <v>105</v>
      </c>
      <c r="AD307" s="15" t="s">
        <v>95</v>
      </c>
      <c r="AE307" s="16"/>
      <c r="AF307" s="12" t="s">
        <v>1593</v>
      </c>
      <c r="AG307" s="12" t="s">
        <v>1594</v>
      </c>
      <c r="AH307" s="12" t="n">
        <f aca="false">COUNT(G307,I307,K307)+COUNTA(Q307:V307)</f>
        <v>3</v>
      </c>
      <c r="AI307" s="12" t="str">
        <f aca="false">IF(AH307&gt;=3,"Sim","Não")</f>
        <v>Sim</v>
      </c>
      <c r="AJ307" s="12" t="str">
        <f aca="false">IF(AND(Z307&lt;&gt;"",Z307&lt;=Critérios!$B$9),"Sim","Não")</f>
        <v>Não</v>
      </c>
    </row>
    <row r="308" customFormat="false" ht="15" hidden="false" customHeight="false" outlineLevel="0" collapsed="false">
      <c r="A308" s="12" t="s">
        <v>1595</v>
      </c>
      <c r="B308" s="12" t="s">
        <v>1596</v>
      </c>
      <c r="C308" s="12" t="s">
        <v>1597</v>
      </c>
      <c r="D308" s="12" t="s">
        <v>251</v>
      </c>
      <c r="E308" s="12" t="s">
        <v>91</v>
      </c>
      <c r="F308" s="12" t="s">
        <v>92</v>
      </c>
      <c r="G308" s="13" t="n">
        <v>2035803</v>
      </c>
      <c r="H308" s="13" t="n">
        <v>41346732</v>
      </c>
      <c r="I308" s="13" t="n">
        <v>572505338</v>
      </c>
      <c r="J308" s="12" t="n">
        <v>8</v>
      </c>
      <c r="K308" s="13" t="n">
        <v>139580</v>
      </c>
      <c r="L308" s="12" t="n">
        <v>6</v>
      </c>
      <c r="M308" s="14" t="n">
        <f aca="false">IF(G308="","",PERCENTRANK($G$2:$G$354,G308))</f>
        <v>0.225</v>
      </c>
      <c r="N308" s="14" t="n">
        <f aca="false">IF(I308="","",PERCENTRANK($I$2:$I$354,I308))</f>
        <v>0.246</v>
      </c>
      <c r="O308" s="14" t="n">
        <f aca="false">IF(K308="","",PERCENTRANK($K$2:$K$354,K308))</f>
        <v>0.105</v>
      </c>
      <c r="P308" s="12" t="n">
        <f aca="false">COUNT(M308:O308)</f>
        <v>3</v>
      </c>
      <c r="V308" s="12" t="s">
        <v>551</v>
      </c>
      <c r="W308" s="12" t="n">
        <f aca="false">COUNTA(Q308:V308)</f>
        <v>1</v>
      </c>
      <c r="X308" s="14" t="n">
        <f aca="false">IF(P308=0,"",MIN(1,AVERAGE(M308:O308)+Critérios!$B$5*W308))</f>
        <v>0.222</v>
      </c>
      <c r="Y308" s="12" t="str">
        <f aca="false">IF(X308="","",IF(X308&gt;=Critérios!$B$7,"A",IF(X308&gt;=Critérios!$B$8,"B","C")))</f>
        <v>C</v>
      </c>
      <c r="Z308" s="12" t="n">
        <f aca="false">IF(X308="","",RANK(X308,$X$2:$X$354))</f>
        <v>307</v>
      </c>
      <c r="AA308" s="12" t="str">
        <f aca="false">IF(X308="","Sairia — sem métrica",IF(PERCENTRANK($X$2:$X$354,X308)&lt;Critérios!$B$6,"Sairia — terço inferior","Fica"))</f>
        <v>Sairia — terço inferior</v>
      </c>
      <c r="AB308" s="12" t="s">
        <v>105</v>
      </c>
      <c r="AD308" s="15" t="s">
        <v>95</v>
      </c>
      <c r="AE308" s="16"/>
      <c r="AF308" s="12" t="s">
        <v>253</v>
      </c>
      <c r="AG308" s="12" t="s">
        <v>1598</v>
      </c>
      <c r="AH308" s="12" t="n">
        <f aca="false">COUNT(G308,I308,K308)+COUNTA(Q308:V308)</f>
        <v>4</v>
      </c>
      <c r="AI308" s="12" t="str">
        <f aca="false">IF(AH308&gt;=3,"Sim","Não")</f>
        <v>Sim</v>
      </c>
      <c r="AJ308" s="12" t="str">
        <f aca="false">IF(AND(Z308&lt;&gt;"",Z308&lt;=Critérios!$B$9),"Sim","Não")</f>
        <v>Não</v>
      </c>
    </row>
    <row r="309" customFormat="false" ht="15" hidden="false" customHeight="false" outlineLevel="0" collapsed="false">
      <c r="A309" s="12" t="s">
        <v>1599</v>
      </c>
      <c r="B309" s="12" t="s">
        <v>1600</v>
      </c>
      <c r="C309" s="12" t="s">
        <v>1601</v>
      </c>
      <c r="D309" s="12" t="s">
        <v>273</v>
      </c>
      <c r="E309" s="12" t="s">
        <v>91</v>
      </c>
      <c r="F309" s="12" t="s">
        <v>92</v>
      </c>
      <c r="G309" s="13" t="n">
        <v>2427053</v>
      </c>
      <c r="H309" s="13" t="n">
        <v>16240108</v>
      </c>
      <c r="I309" s="13" t="n">
        <v>431971116</v>
      </c>
      <c r="J309" s="12" t="n">
        <v>6</v>
      </c>
      <c r="K309" s="13" t="n">
        <v>242931</v>
      </c>
      <c r="L309" s="12" t="n">
        <v>6.1</v>
      </c>
      <c r="M309" s="14" t="n">
        <f aca="false">IF(G309="","",PERCENTRANK($G$2:$G$354,G309))</f>
        <v>0.317</v>
      </c>
      <c r="N309" s="14" t="n">
        <f aca="false">IF(I309="","",PERCENTRANK($I$2:$I$354,I309))</f>
        <v>0.0932</v>
      </c>
      <c r="O309" s="14" t="n">
        <f aca="false">IF(K309="","",PERCENTRANK($K$2:$K$354,K309))</f>
        <v>0.247</v>
      </c>
      <c r="P309" s="12" t="n">
        <f aca="false">COUNT(M309:O309)</f>
        <v>3</v>
      </c>
      <c r="W309" s="12" t="n">
        <f aca="false">COUNTA(Q309:V309)</f>
        <v>0</v>
      </c>
      <c r="X309" s="14" t="n">
        <f aca="false">IF(P309=0,"",MIN(1,AVERAGE(M309:O309)+Critérios!$B$5*W309))</f>
        <v>0.219066666666667</v>
      </c>
      <c r="Y309" s="12" t="str">
        <f aca="false">IF(X309="","",IF(X309&gt;=Critérios!$B$7,"A",IF(X309&gt;=Critérios!$B$8,"B","C")))</f>
        <v>C</v>
      </c>
      <c r="Z309" s="12" t="n">
        <f aca="false">IF(X309="","",RANK(X309,$X$2:$X$354))</f>
        <v>308</v>
      </c>
      <c r="AA309" s="12" t="str">
        <f aca="false">IF(X309="","Sairia — sem métrica",IF(PERCENTRANK($X$2:$X$354,X309)&lt;Critérios!$B$6,"Sairia — terço inferior","Fica"))</f>
        <v>Sairia — terço inferior</v>
      </c>
      <c r="AB309" s="12" t="s">
        <v>105</v>
      </c>
      <c r="AD309" s="15" t="s">
        <v>95</v>
      </c>
      <c r="AE309" s="16"/>
      <c r="AF309" s="12" t="s">
        <v>1602</v>
      </c>
      <c r="AG309" s="12" t="s">
        <v>1603</v>
      </c>
      <c r="AH309" s="12" t="n">
        <f aca="false">COUNT(G309,I309,K309)+COUNTA(Q309:V309)</f>
        <v>3</v>
      </c>
      <c r="AI309" s="12" t="str">
        <f aca="false">IF(AH309&gt;=3,"Sim","Não")</f>
        <v>Sim</v>
      </c>
      <c r="AJ309" s="12" t="str">
        <f aca="false">IF(AND(Z309&lt;&gt;"",Z309&lt;=Critérios!$B$9),"Sim","Não")</f>
        <v>Não</v>
      </c>
    </row>
    <row r="310" customFormat="false" ht="15" hidden="false" customHeight="false" outlineLevel="0" collapsed="false">
      <c r="A310" s="12" t="s">
        <v>1604</v>
      </c>
      <c r="B310" s="12" t="s">
        <v>1605</v>
      </c>
      <c r="C310" s="12" t="s">
        <v>1606</v>
      </c>
      <c r="D310" s="12" t="s">
        <v>505</v>
      </c>
      <c r="E310" s="12" t="s">
        <v>91</v>
      </c>
      <c r="F310" s="12" t="s">
        <v>92</v>
      </c>
      <c r="G310" s="13" t="n">
        <v>1470170</v>
      </c>
      <c r="H310" s="13" t="n">
        <v>35690000</v>
      </c>
      <c r="I310" s="17"/>
      <c r="K310" s="13" t="n">
        <v>242548</v>
      </c>
      <c r="L310" s="12" t="n">
        <v>7.1</v>
      </c>
      <c r="M310" s="14" t="n">
        <f aca="false">IF(G310="","",PERCENTRANK($G$2:$G$354,G310))</f>
        <v>0.124</v>
      </c>
      <c r="N310" s="14" t="str">
        <f aca="false">IF(I310="","",PERCENTRANK($I$2:$I$354,I310))</f>
        <v/>
      </c>
      <c r="O310" s="14" t="n">
        <f aca="false">IF(K310="","",PERCENTRANK($K$2:$K$354,K310))</f>
        <v>0.244</v>
      </c>
      <c r="P310" s="12" t="n">
        <f aca="false">COUNT(M310:O310)</f>
        <v>2</v>
      </c>
      <c r="Q310" s="12" t="s">
        <v>1607</v>
      </c>
      <c r="W310" s="12" t="n">
        <f aca="false">COUNTA(Q310:V310)</f>
        <v>1</v>
      </c>
      <c r="X310" s="14" t="n">
        <f aca="false">IF(P310=0,"",MIN(1,AVERAGE(M310:O310)+Critérios!$B$5*W310))</f>
        <v>0.214</v>
      </c>
      <c r="Y310" s="12" t="str">
        <f aca="false">IF(X310="","",IF(X310&gt;=Critérios!$B$7,"A",IF(X310&gt;=Critérios!$B$8,"B","C")))</f>
        <v>C</v>
      </c>
      <c r="Z310" s="12" t="n">
        <f aca="false">IF(X310="","",RANK(X310,$X$2:$X$354))</f>
        <v>309</v>
      </c>
      <c r="AA310" s="12" t="str">
        <f aca="false">IF(X310="","Sairia — sem métrica",IF(PERCENTRANK($X$2:$X$354,X310)&lt;Critérios!$B$6,"Sairia — terço inferior","Fica"))</f>
        <v>Sairia — terço inferior</v>
      </c>
      <c r="AB310" s="12" t="s">
        <v>105</v>
      </c>
      <c r="AD310" s="15" t="s">
        <v>95</v>
      </c>
      <c r="AE310" s="16"/>
      <c r="AF310" s="12" t="s">
        <v>1044</v>
      </c>
      <c r="AG310" s="12" t="s">
        <v>1608</v>
      </c>
      <c r="AH310" s="12" t="n">
        <f aca="false">COUNT(G310,I310,K310)+COUNTA(Q310:V310)</f>
        <v>3</v>
      </c>
      <c r="AI310" s="12" t="str">
        <f aca="false">IF(AH310&gt;=3,"Sim","Não")</f>
        <v>Sim</v>
      </c>
      <c r="AJ310" s="12" t="str">
        <f aca="false">IF(AND(Z310&lt;&gt;"",Z310&lt;=Critérios!$B$9),"Sim","Não")</f>
        <v>Não</v>
      </c>
    </row>
    <row r="311" customFormat="false" ht="15" hidden="false" customHeight="false" outlineLevel="0" collapsed="false">
      <c r="A311" s="12" t="s">
        <v>1609</v>
      </c>
      <c r="B311" s="12" t="s">
        <v>1610</v>
      </c>
      <c r="C311" s="12" t="s">
        <v>1610</v>
      </c>
      <c r="D311" s="12" t="s">
        <v>396</v>
      </c>
      <c r="E311" s="12" t="s">
        <v>91</v>
      </c>
      <c r="F311" s="12" t="s">
        <v>92</v>
      </c>
      <c r="G311" s="13" t="n">
        <v>1755463</v>
      </c>
      <c r="H311" s="13" t="n">
        <v>9593236</v>
      </c>
      <c r="I311" s="13" t="n">
        <v>368780809</v>
      </c>
      <c r="J311" s="12" t="n">
        <v>8</v>
      </c>
      <c r="K311" s="13" t="n">
        <v>377096</v>
      </c>
      <c r="L311" s="12" t="n">
        <v>6</v>
      </c>
      <c r="M311" s="14" t="n">
        <f aca="false">IF(G311="","",PERCENTRANK($G$2:$G$354,G311))</f>
        <v>0.16</v>
      </c>
      <c r="N311" s="14" t="n">
        <f aca="false">IF(I311="","",PERCENTRANK($I$2:$I$354,I311))</f>
        <v>0.0339</v>
      </c>
      <c r="O311" s="14" t="n">
        <f aca="false">IF(K311="","",PERCENTRANK($K$2:$K$354,K311))</f>
        <v>0.443</v>
      </c>
      <c r="P311" s="12" t="n">
        <f aca="false">COUNT(M311:O311)</f>
        <v>3</v>
      </c>
      <c r="W311" s="12" t="n">
        <f aca="false">COUNTA(Q311:V311)</f>
        <v>0</v>
      </c>
      <c r="X311" s="14" t="n">
        <f aca="false">IF(P311=0,"",MIN(1,AVERAGE(M311:O311)+Critérios!$B$5*W311))</f>
        <v>0.2123</v>
      </c>
      <c r="Y311" s="12" t="str">
        <f aca="false">IF(X311="","",IF(X311&gt;=Critérios!$B$7,"A",IF(X311&gt;=Critérios!$B$8,"B","C")))</f>
        <v>C</v>
      </c>
      <c r="Z311" s="12" t="n">
        <f aca="false">IF(X311="","",RANK(X311,$X$2:$X$354))</f>
        <v>310</v>
      </c>
      <c r="AA311" s="12" t="str">
        <f aca="false">IF(X311="","Sairia — sem métrica",IF(PERCENTRANK($X$2:$X$354,X311)&lt;Critérios!$B$6,"Sairia — terço inferior","Fica"))</f>
        <v>Sairia — terço inferior</v>
      </c>
      <c r="AB311" s="12" t="s">
        <v>94</v>
      </c>
      <c r="AD311" s="15" t="s">
        <v>95</v>
      </c>
      <c r="AE311" s="16"/>
      <c r="AF311" s="12" t="s">
        <v>397</v>
      </c>
      <c r="AG311" s="12" t="s">
        <v>1611</v>
      </c>
      <c r="AH311" s="12" t="n">
        <f aca="false">COUNT(G311,I311,K311)+COUNTA(Q311:V311)</f>
        <v>3</v>
      </c>
      <c r="AI311" s="12" t="str">
        <f aca="false">IF(AH311&gt;=3,"Sim","Não")</f>
        <v>Sim</v>
      </c>
      <c r="AJ311" s="12" t="str">
        <f aca="false">IF(AND(Z311&lt;&gt;"",Z311&lt;=Critérios!$B$9),"Sim","Não")</f>
        <v>Não</v>
      </c>
    </row>
    <row r="312" customFormat="false" ht="15" hidden="false" customHeight="false" outlineLevel="0" collapsed="false">
      <c r="A312" s="12" t="s">
        <v>1612</v>
      </c>
      <c r="B312" s="12" t="s">
        <v>1613</v>
      </c>
      <c r="C312" s="12" t="s">
        <v>1614</v>
      </c>
      <c r="D312" s="12" t="s">
        <v>505</v>
      </c>
      <c r="E312" s="12" t="s">
        <v>91</v>
      </c>
      <c r="F312" s="12" t="s">
        <v>92</v>
      </c>
      <c r="G312" s="13" t="n">
        <v>2393015</v>
      </c>
      <c r="H312" s="13" t="n">
        <v>48714944</v>
      </c>
      <c r="I312" s="17"/>
      <c r="K312" s="13" t="n">
        <v>87564</v>
      </c>
      <c r="L312" s="12" t="n">
        <v>8.3</v>
      </c>
      <c r="M312" s="14" t="n">
        <f aca="false">IF(G312="","",PERCENTRANK($G$2:$G$354,G312))</f>
        <v>0.31</v>
      </c>
      <c r="N312" s="14" t="str">
        <f aca="false">IF(I312="","",PERCENTRANK($I$2:$I$354,I312))</f>
        <v/>
      </c>
      <c r="O312" s="14" t="n">
        <f aca="false">IF(K312="","",PERCENTRANK($K$2:$K$354,K312))</f>
        <v>0.0511</v>
      </c>
      <c r="P312" s="12" t="n">
        <f aca="false">COUNT(M312:O312)</f>
        <v>2</v>
      </c>
      <c r="R312" s="12" t="s">
        <v>1615</v>
      </c>
      <c r="W312" s="12" t="n">
        <f aca="false">COUNTA(Q312:V312)</f>
        <v>1</v>
      </c>
      <c r="X312" s="14" t="n">
        <f aca="false">IF(P312=0,"",MIN(1,AVERAGE(M312:O312)+Critérios!$B$5*W312))</f>
        <v>0.21055</v>
      </c>
      <c r="Y312" s="12" t="str">
        <f aca="false">IF(X312="","",IF(X312&gt;=Critérios!$B$7,"A",IF(X312&gt;=Critérios!$B$8,"B","C")))</f>
        <v>C</v>
      </c>
      <c r="Z312" s="12" t="n">
        <f aca="false">IF(X312="","",RANK(X312,$X$2:$X$354))</f>
        <v>311</v>
      </c>
      <c r="AA312" s="12" t="str">
        <f aca="false">IF(X312="","Sairia — sem métrica",IF(PERCENTRANK($X$2:$X$354,X312)&lt;Critérios!$B$6,"Sairia — terço inferior","Fica"))</f>
        <v>Sairia — terço inferior</v>
      </c>
      <c r="AB312" s="12" t="s">
        <v>105</v>
      </c>
      <c r="AD312" s="15" t="s">
        <v>95</v>
      </c>
      <c r="AE312" s="16"/>
      <c r="AF312" s="12" t="s">
        <v>1044</v>
      </c>
      <c r="AG312" s="12" t="s">
        <v>1616</v>
      </c>
      <c r="AH312" s="12" t="n">
        <f aca="false">COUNT(G312,I312,K312)+COUNTA(Q312:V312)</f>
        <v>3</v>
      </c>
      <c r="AI312" s="12" t="str">
        <f aca="false">IF(AH312&gt;=3,"Sim","Não")</f>
        <v>Sim</v>
      </c>
      <c r="AJ312" s="12" t="str">
        <f aca="false">IF(AND(Z312&lt;&gt;"",Z312&lt;=Critérios!$B$9),"Sim","Não")</f>
        <v>Não</v>
      </c>
    </row>
    <row r="313" customFormat="false" ht="15" hidden="false" customHeight="false" outlineLevel="0" collapsed="false">
      <c r="A313" s="12" t="s">
        <v>1617</v>
      </c>
      <c r="B313" s="12" t="s">
        <v>1618</v>
      </c>
      <c r="C313" s="12" t="s">
        <v>1619</v>
      </c>
      <c r="D313" s="12" t="s">
        <v>1103</v>
      </c>
      <c r="E313" s="12" t="s">
        <v>91</v>
      </c>
      <c r="F313" s="12" t="s">
        <v>92</v>
      </c>
      <c r="G313" s="13" t="n">
        <v>613317</v>
      </c>
      <c r="H313" s="13" t="n">
        <v>10173359</v>
      </c>
      <c r="I313" s="17"/>
      <c r="K313" s="13" t="n">
        <v>291873</v>
      </c>
      <c r="L313" s="12" t="n">
        <v>7.1</v>
      </c>
      <c r="M313" s="14" t="n">
        <f aca="false">IF(G313="","",PERCENTRANK($G$2:$G$354,G313))</f>
        <v>0.0261</v>
      </c>
      <c r="N313" s="14" t="str">
        <f aca="false">IF(I313="","",PERCENTRANK($I$2:$I$354,I313))</f>
        <v/>
      </c>
      <c r="O313" s="14" t="n">
        <f aca="false">IF(K313="","",PERCENTRANK($K$2:$K$354,K313))</f>
        <v>0.332</v>
      </c>
      <c r="P313" s="12" t="n">
        <f aca="false">COUNT(M313:O313)</f>
        <v>2</v>
      </c>
      <c r="Q313" s="12" t="s">
        <v>1620</v>
      </c>
      <c r="W313" s="12" t="n">
        <f aca="false">COUNTA(Q313:V313)</f>
        <v>1</v>
      </c>
      <c r="X313" s="14" t="n">
        <f aca="false">IF(P313=0,"",MIN(1,AVERAGE(M313:O313)+Critérios!$B$5*W313))</f>
        <v>0.20905</v>
      </c>
      <c r="Y313" s="12" t="str">
        <f aca="false">IF(X313="","",IF(X313&gt;=Critérios!$B$7,"A",IF(X313&gt;=Critérios!$B$8,"B","C")))</f>
        <v>C</v>
      </c>
      <c r="Z313" s="12" t="n">
        <f aca="false">IF(X313="","",RANK(X313,$X$2:$X$354))</f>
        <v>312</v>
      </c>
      <c r="AA313" s="12" t="str">
        <f aca="false">IF(X313="","Sairia — sem métrica",IF(PERCENTRANK($X$2:$X$354,X313)&lt;Critérios!$B$6,"Sairia — terço inferior","Fica"))</f>
        <v>Sairia — terço inferior</v>
      </c>
      <c r="AB313" s="12" t="s">
        <v>105</v>
      </c>
      <c r="AD313" s="15" t="s">
        <v>95</v>
      </c>
      <c r="AE313" s="16"/>
      <c r="AF313" s="12" t="s">
        <v>937</v>
      </c>
      <c r="AG313" s="12" t="s">
        <v>1621</v>
      </c>
      <c r="AH313" s="12" t="n">
        <f aca="false">COUNT(G313,I313,K313)+COUNTA(Q313:V313)</f>
        <v>3</v>
      </c>
      <c r="AI313" s="12" t="str">
        <f aca="false">IF(AH313&gt;=3,"Sim","Não")</f>
        <v>Sim</v>
      </c>
      <c r="AJ313" s="12" t="str">
        <f aca="false">IF(AND(Z313&lt;&gt;"",Z313&lt;=Critérios!$B$9),"Sim","Não")</f>
        <v>Não</v>
      </c>
    </row>
    <row r="314" customFormat="false" ht="15" hidden="false" customHeight="false" outlineLevel="0" collapsed="false">
      <c r="A314" s="12" t="s">
        <v>1622</v>
      </c>
      <c r="B314" s="12" t="s">
        <v>1623</v>
      </c>
      <c r="C314" s="12" t="s">
        <v>1624</v>
      </c>
      <c r="D314" s="12" t="s">
        <v>505</v>
      </c>
      <c r="E314" s="12" t="s">
        <v>91</v>
      </c>
      <c r="F314" s="12" t="s">
        <v>292</v>
      </c>
      <c r="G314" s="17"/>
      <c r="H314" s="17"/>
      <c r="I314" s="17"/>
      <c r="K314" s="13" t="n">
        <v>144421</v>
      </c>
      <c r="L314" s="12" t="n">
        <v>7.4</v>
      </c>
      <c r="M314" s="14" t="str">
        <f aca="false">IF(G314="","",PERCENTRANK($G$2:$G$354,G314))</f>
        <v/>
      </c>
      <c r="N314" s="14" t="str">
        <f aca="false">IF(I314="","",PERCENTRANK($I$2:$I$354,I314))</f>
        <v/>
      </c>
      <c r="O314" s="14" t="n">
        <f aca="false">IF(K314="","",PERCENTRANK($K$2:$K$354,K314))</f>
        <v>0.116</v>
      </c>
      <c r="P314" s="12" t="n">
        <f aca="false">COUNT(M314:O314)</f>
        <v>1</v>
      </c>
      <c r="Q314" s="12" t="s">
        <v>1625</v>
      </c>
      <c r="S314" s="12" t="s">
        <v>1626</v>
      </c>
      <c r="U314" s="12" t="s">
        <v>1627</v>
      </c>
      <c r="W314" s="12" t="n">
        <f aca="false">COUNTA(Q314:V314)</f>
        <v>3</v>
      </c>
      <c r="X314" s="14" t="n">
        <f aca="false">IF(P314=0,"",MIN(1,AVERAGE(M314:O314)+Critérios!$B$5*W314))</f>
        <v>0.206</v>
      </c>
      <c r="Y314" s="12" t="str">
        <f aca="false">IF(X314="","",IF(X314&gt;=Critérios!$B$7,"A",IF(X314&gt;=Critérios!$B$8,"B","C")))</f>
        <v>C</v>
      </c>
      <c r="Z314" s="12" t="n">
        <f aca="false">IF(X314="","",RANK(X314,$X$2:$X$354))</f>
        <v>313</v>
      </c>
      <c r="AA314" s="12" t="str">
        <f aca="false">IF(X314="","Sairia — sem métrica",IF(PERCENTRANK($X$2:$X$354,X314)&lt;Critérios!$B$6,"Sairia — terço inferior","Fica"))</f>
        <v>Sairia — terço inferior</v>
      </c>
      <c r="AB314" s="12" t="s">
        <v>105</v>
      </c>
      <c r="AD314" s="15" t="s">
        <v>95</v>
      </c>
      <c r="AE314" s="16"/>
      <c r="AG314" s="12" t="s">
        <v>1628</v>
      </c>
      <c r="AH314" s="12" t="n">
        <f aca="false">COUNT(G314,I314,K314)+COUNTA(Q314:V314)</f>
        <v>4</v>
      </c>
      <c r="AI314" s="12" t="str">
        <f aca="false">IF(AH314&gt;=3,"Sim","Não")</f>
        <v>Sim</v>
      </c>
      <c r="AJ314" s="12" t="str">
        <f aca="false">IF(AND(Z314&lt;&gt;"",Z314&lt;=Critérios!$B$9),"Sim","Não")</f>
        <v>Não</v>
      </c>
    </row>
    <row r="315" customFormat="false" ht="15" hidden="false" customHeight="false" outlineLevel="0" collapsed="false">
      <c r="A315" s="12" t="s">
        <v>1629</v>
      </c>
      <c r="B315" s="12" t="s">
        <v>1630</v>
      </c>
      <c r="C315" s="12"/>
      <c r="D315" s="12" t="s">
        <v>118</v>
      </c>
      <c r="E315" s="12" t="s">
        <v>91</v>
      </c>
      <c r="F315" s="12" t="s">
        <v>92</v>
      </c>
      <c r="G315" s="13" t="n">
        <v>1098849</v>
      </c>
      <c r="H315" s="13" t="n">
        <v>26164991</v>
      </c>
      <c r="I315" s="17"/>
      <c r="K315" s="13" t="n">
        <v>265412</v>
      </c>
      <c r="L315" s="12" t="n">
        <v>7.3</v>
      </c>
      <c r="M315" s="14" t="n">
        <f aca="false">IF(G315="","",PERCENTRANK($G$2:$G$354,G315))</f>
        <v>0.0621</v>
      </c>
      <c r="N315" s="14" t="str">
        <f aca="false">IF(I315="","",PERCENTRANK($I$2:$I$354,I315))</f>
        <v/>
      </c>
      <c r="O315" s="14" t="n">
        <f aca="false">IF(K315="","",PERCENTRANK($K$2:$K$354,K315))</f>
        <v>0.273</v>
      </c>
      <c r="P315" s="12" t="n">
        <f aca="false">COUNT(M315:O315)</f>
        <v>2</v>
      </c>
      <c r="Q315" s="12" t="s">
        <v>1631</v>
      </c>
      <c r="W315" s="12" t="n">
        <f aca="false">COUNTA(Q315:V315)</f>
        <v>1</v>
      </c>
      <c r="X315" s="14" t="n">
        <f aca="false">IF(P315=0,"",MIN(1,AVERAGE(M315:O315)+Critérios!$B$5*W315))</f>
        <v>0.19755</v>
      </c>
      <c r="Y315" s="12" t="str">
        <f aca="false">IF(X315="","",IF(X315&gt;=Critérios!$B$7,"A",IF(X315&gt;=Critérios!$B$8,"B","C")))</f>
        <v>C</v>
      </c>
      <c r="Z315" s="12" t="n">
        <f aca="false">IF(X315="","",RANK(X315,$X$2:$X$354))</f>
        <v>314</v>
      </c>
      <c r="AA315" s="12" t="str">
        <f aca="false">IF(X315="","Sairia — sem métrica",IF(PERCENTRANK($X$2:$X$354,X315)&lt;Critérios!$B$6,"Sairia — terço inferior","Fica"))</f>
        <v>Sairia — terço inferior</v>
      </c>
      <c r="AB315" s="12" t="s">
        <v>105</v>
      </c>
      <c r="AC315" s="12" t="s">
        <v>719</v>
      </c>
      <c r="AD315" s="15" t="s">
        <v>95</v>
      </c>
      <c r="AE315" s="16"/>
      <c r="AF315" s="12" t="s">
        <v>931</v>
      </c>
      <c r="AG315" s="12" t="s">
        <v>1632</v>
      </c>
      <c r="AH315" s="12" t="n">
        <f aca="false">COUNT(G315,I315,K315)+COUNTA(Q315:V315)</f>
        <v>3</v>
      </c>
      <c r="AI315" s="12" t="str">
        <f aca="false">IF(AH315&gt;=3,"Sim","Não")</f>
        <v>Sim</v>
      </c>
      <c r="AJ315" s="12" t="str">
        <f aca="false">IF(AND(Z315&lt;&gt;"",Z315&lt;=Critérios!$B$9),"Sim","Não")</f>
        <v>Não</v>
      </c>
    </row>
    <row r="316" customFormat="false" ht="15" hidden="false" customHeight="false" outlineLevel="0" collapsed="false">
      <c r="A316" s="12" t="s">
        <v>1633</v>
      </c>
      <c r="B316" s="12" t="s">
        <v>1634</v>
      </c>
      <c r="C316" s="12" t="s">
        <v>1635</v>
      </c>
      <c r="D316" s="12" t="s">
        <v>1103</v>
      </c>
      <c r="E316" s="12" t="s">
        <v>91</v>
      </c>
      <c r="F316" s="12" t="s">
        <v>92</v>
      </c>
      <c r="G316" s="13" t="n">
        <v>351805</v>
      </c>
      <c r="H316" s="13" t="n">
        <v>6935802</v>
      </c>
      <c r="I316" s="17"/>
      <c r="K316" s="13" t="n">
        <v>289690</v>
      </c>
      <c r="L316" s="12" t="n">
        <v>7.7</v>
      </c>
      <c r="M316" s="14" t="n">
        <f aca="false">IF(G316="","",PERCENTRANK($G$2:$G$354,G316))</f>
        <v>0.0098</v>
      </c>
      <c r="N316" s="14" t="str">
        <f aca="false">IF(I316="","",PERCENTRANK($I$2:$I$354,I316))</f>
        <v/>
      </c>
      <c r="O316" s="14" t="n">
        <f aca="false">IF(K316="","",PERCENTRANK($K$2:$K$354,K316))</f>
        <v>0.324</v>
      </c>
      <c r="P316" s="12" t="n">
        <f aca="false">COUNT(M316:O316)</f>
        <v>2</v>
      </c>
      <c r="Q316" s="12" t="s">
        <v>1636</v>
      </c>
      <c r="W316" s="12" t="n">
        <f aca="false">COUNTA(Q316:V316)</f>
        <v>1</v>
      </c>
      <c r="X316" s="14" t="n">
        <f aca="false">IF(P316=0,"",MIN(1,AVERAGE(M316:O316)+Critérios!$B$5*W316))</f>
        <v>0.1969</v>
      </c>
      <c r="Y316" s="12" t="str">
        <f aca="false">IF(X316="","",IF(X316&gt;=Critérios!$B$7,"A",IF(X316&gt;=Critérios!$B$8,"B","C")))</f>
        <v>C</v>
      </c>
      <c r="Z316" s="12" t="n">
        <f aca="false">IF(X316="","",RANK(X316,$X$2:$X$354))</f>
        <v>315</v>
      </c>
      <c r="AA316" s="12" t="str">
        <f aca="false">IF(X316="","Sairia — sem métrica",IF(PERCENTRANK($X$2:$X$354,X316)&lt;Critérios!$B$6,"Sairia — terço inferior","Fica"))</f>
        <v>Sairia — terço inferior</v>
      </c>
      <c r="AB316" s="12" t="s">
        <v>105</v>
      </c>
      <c r="AD316" s="15" t="s">
        <v>95</v>
      </c>
      <c r="AE316" s="16"/>
      <c r="AF316" s="12" t="s">
        <v>937</v>
      </c>
      <c r="AG316" s="12" t="s">
        <v>1637</v>
      </c>
      <c r="AH316" s="12" t="n">
        <f aca="false">COUNT(G316,I316,K316)+COUNTA(Q316:V316)</f>
        <v>3</v>
      </c>
      <c r="AI316" s="12" t="str">
        <f aca="false">IF(AH316&gt;=3,"Sim","Não")</f>
        <v>Sim</v>
      </c>
      <c r="AJ316" s="12" t="str">
        <f aca="false">IF(AND(Z316&lt;&gt;"",Z316&lt;=Critérios!$B$9),"Sim","Não")</f>
        <v>Não</v>
      </c>
    </row>
    <row r="317" customFormat="false" ht="15" hidden="false" customHeight="false" outlineLevel="0" collapsed="false">
      <c r="A317" s="12" t="s">
        <v>1638</v>
      </c>
      <c r="B317" s="12" t="s">
        <v>1639</v>
      </c>
      <c r="C317" s="12" t="s">
        <v>1640</v>
      </c>
      <c r="D317" s="12" t="s">
        <v>175</v>
      </c>
      <c r="E317" s="12" t="s">
        <v>91</v>
      </c>
      <c r="F317" s="12" t="s">
        <v>92</v>
      </c>
      <c r="G317" s="13" t="n">
        <v>2082038</v>
      </c>
      <c r="H317" s="13" t="n">
        <v>40055968</v>
      </c>
      <c r="I317" s="17"/>
      <c r="K317" s="13" t="n">
        <v>120473</v>
      </c>
      <c r="L317" s="12" t="n">
        <v>5.9</v>
      </c>
      <c r="M317" s="14" t="n">
        <f aca="false">IF(G317="","",PERCENTRANK($G$2:$G$354,G317))</f>
        <v>0.242</v>
      </c>
      <c r="N317" s="14" t="str">
        <f aca="false">IF(I317="","",PERCENTRANK($I$2:$I$354,I317))</f>
        <v/>
      </c>
      <c r="O317" s="14" t="n">
        <f aca="false">IF(K317="","",PERCENTRANK($K$2:$K$354,K317))</f>
        <v>0.0824</v>
      </c>
      <c r="P317" s="12" t="n">
        <f aca="false">COUNT(M317:O317)</f>
        <v>2</v>
      </c>
      <c r="Q317" s="12" t="s">
        <v>1641</v>
      </c>
      <c r="W317" s="12" t="n">
        <f aca="false">COUNTA(Q317:V317)</f>
        <v>1</v>
      </c>
      <c r="X317" s="14" t="n">
        <f aca="false">IF(P317=0,"",MIN(1,AVERAGE(M317:O317)+Critérios!$B$5*W317))</f>
        <v>0.1922</v>
      </c>
      <c r="Y317" s="12" t="str">
        <f aca="false">IF(X317="","",IF(X317&gt;=Critérios!$B$7,"A",IF(X317&gt;=Critérios!$B$8,"B","C")))</f>
        <v>C</v>
      </c>
      <c r="Z317" s="12" t="n">
        <f aca="false">IF(X317="","",RANK(X317,$X$2:$X$354))</f>
        <v>316</v>
      </c>
      <c r="AA317" s="12" t="str">
        <f aca="false">IF(X317="","Sairia — sem métrica",IF(PERCENTRANK($X$2:$X$354,X317)&lt;Critérios!$B$6,"Sairia — terço inferior","Fica"))</f>
        <v>Sairia — terço inferior</v>
      </c>
      <c r="AB317" s="12" t="s">
        <v>105</v>
      </c>
      <c r="AC317" s="12" t="s">
        <v>719</v>
      </c>
      <c r="AD317" s="15" t="s">
        <v>95</v>
      </c>
      <c r="AE317" s="16"/>
      <c r="AF317" s="12" t="s">
        <v>1175</v>
      </c>
      <c r="AG317" s="12" t="s">
        <v>1642</v>
      </c>
      <c r="AH317" s="12" t="n">
        <f aca="false">COUNT(G317,I317,K317)+COUNTA(Q317:V317)</f>
        <v>3</v>
      </c>
      <c r="AI317" s="12" t="str">
        <f aca="false">IF(AH317&gt;=3,"Sim","Não")</f>
        <v>Sim</v>
      </c>
      <c r="AJ317" s="12" t="str">
        <f aca="false">IF(AND(Z317&lt;&gt;"",Z317&lt;=Critérios!$B$9),"Sim","Não")</f>
        <v>Não</v>
      </c>
    </row>
    <row r="318" customFormat="false" ht="15" hidden="false" customHeight="false" outlineLevel="0" collapsed="false">
      <c r="A318" s="12" t="s">
        <v>1643</v>
      </c>
      <c r="B318" s="12" t="s">
        <v>1644</v>
      </c>
      <c r="C318" s="12" t="s">
        <v>1645</v>
      </c>
      <c r="D318" s="12" t="s">
        <v>505</v>
      </c>
      <c r="E318" s="12" t="s">
        <v>91</v>
      </c>
      <c r="F318" s="12" t="s">
        <v>92</v>
      </c>
      <c r="G318" s="13" t="n">
        <v>1837960</v>
      </c>
      <c r="H318" s="13" t="n">
        <v>37030000</v>
      </c>
      <c r="I318" s="17"/>
      <c r="K318" s="13" t="n">
        <v>173185</v>
      </c>
      <c r="L318" s="12" t="n">
        <v>6.7</v>
      </c>
      <c r="M318" s="14" t="n">
        <f aca="false">IF(G318="","",PERCENTRANK($G$2:$G$354,G318))</f>
        <v>0.173</v>
      </c>
      <c r="N318" s="14" t="str">
        <f aca="false">IF(I318="","",PERCENTRANK($I$2:$I$354,I318))</f>
        <v/>
      </c>
      <c r="O318" s="14" t="n">
        <f aca="false">IF(K318="","",PERCENTRANK($K$2:$K$354,K318))</f>
        <v>0.145</v>
      </c>
      <c r="P318" s="12" t="n">
        <f aca="false">COUNT(M318:O318)</f>
        <v>2</v>
      </c>
      <c r="Q318" s="12" t="s">
        <v>1646</v>
      </c>
      <c r="W318" s="12" t="n">
        <f aca="false">COUNTA(Q318:V318)</f>
        <v>1</v>
      </c>
      <c r="X318" s="14" t="n">
        <f aca="false">IF(P318=0,"",MIN(1,AVERAGE(M318:O318)+Critérios!$B$5*W318))</f>
        <v>0.189</v>
      </c>
      <c r="Y318" s="12" t="str">
        <f aca="false">IF(X318="","",IF(X318&gt;=Critérios!$B$7,"A",IF(X318&gt;=Critérios!$B$8,"B","C")))</f>
        <v>C</v>
      </c>
      <c r="Z318" s="12" t="n">
        <f aca="false">IF(X318="","",RANK(X318,$X$2:$X$354))</f>
        <v>317</v>
      </c>
      <c r="AA318" s="12" t="str">
        <f aca="false">IF(X318="","Sairia — sem métrica",IF(PERCENTRANK($X$2:$X$354,X318)&lt;Critérios!$B$6,"Sairia — terço inferior","Fica"))</f>
        <v>Sairia — terço inferior</v>
      </c>
      <c r="AB318" s="12" t="s">
        <v>105</v>
      </c>
      <c r="AD318" s="15" t="s">
        <v>95</v>
      </c>
      <c r="AE318" s="16"/>
      <c r="AF318" s="12" t="s">
        <v>1044</v>
      </c>
      <c r="AG318" s="12" t="s">
        <v>1647</v>
      </c>
      <c r="AH318" s="12" t="n">
        <f aca="false">COUNT(G318,I318,K318)+COUNTA(Q318:V318)</f>
        <v>3</v>
      </c>
      <c r="AI318" s="12" t="str">
        <f aca="false">IF(AH318&gt;=3,"Sim","Não")</f>
        <v>Sim</v>
      </c>
      <c r="AJ318" s="12" t="str">
        <f aca="false">IF(AND(Z318&lt;&gt;"",Z318&lt;=Critérios!$B$9),"Sim","Não")</f>
        <v>Não</v>
      </c>
    </row>
    <row r="319" customFormat="false" ht="15" hidden="false" customHeight="false" outlineLevel="0" collapsed="false">
      <c r="A319" s="12" t="s">
        <v>1648</v>
      </c>
      <c r="B319" s="12" t="s">
        <v>1649</v>
      </c>
      <c r="C319" s="12" t="s">
        <v>1650</v>
      </c>
      <c r="D319" s="12" t="s">
        <v>127</v>
      </c>
      <c r="E319" s="12" t="s">
        <v>91</v>
      </c>
      <c r="F319" s="12" t="s">
        <v>92</v>
      </c>
      <c r="G319" s="13" t="n">
        <v>1401806</v>
      </c>
      <c r="H319" s="13" t="n">
        <v>10426081</v>
      </c>
      <c r="I319" s="13" t="n">
        <v>371594210</v>
      </c>
      <c r="J319" s="12" t="n">
        <v>10</v>
      </c>
      <c r="K319" s="13" t="n">
        <v>352610</v>
      </c>
      <c r="L319" s="12" t="n">
        <v>6.6</v>
      </c>
      <c r="M319" s="14" t="n">
        <f aca="false">IF(G319="","",PERCENTRANK($G$2:$G$354,G319))</f>
        <v>0.111</v>
      </c>
      <c r="N319" s="14" t="n">
        <f aca="false">IF(I319="","",PERCENTRANK($I$2:$I$354,I319))</f>
        <v>0.0381</v>
      </c>
      <c r="O319" s="14" t="n">
        <f aca="false">IF(K319="","",PERCENTRANK($K$2:$K$354,K319))</f>
        <v>0.415</v>
      </c>
      <c r="P319" s="12" t="n">
        <f aca="false">COUNT(M319:O319)</f>
        <v>3</v>
      </c>
      <c r="W319" s="12" t="n">
        <f aca="false">COUNTA(Q319:V319)</f>
        <v>0</v>
      </c>
      <c r="X319" s="14" t="n">
        <f aca="false">IF(P319=0,"",MIN(1,AVERAGE(M319:O319)+Critérios!$B$5*W319))</f>
        <v>0.188033333333333</v>
      </c>
      <c r="Y319" s="12" t="str">
        <f aca="false">IF(X319="","",IF(X319&gt;=Critérios!$B$7,"A",IF(X319&gt;=Critérios!$B$8,"B","C")))</f>
        <v>C</v>
      </c>
      <c r="Z319" s="12" t="n">
        <f aca="false">IF(X319="","",RANK(X319,$X$2:$X$354))</f>
        <v>318</v>
      </c>
      <c r="AA319" s="12" t="str">
        <f aca="false">IF(X319="","Sairia — sem métrica",IF(PERCENTRANK($X$2:$X$354,X319)&lt;Critérios!$B$6,"Sairia — terço inferior","Fica"))</f>
        <v>Sairia — terço inferior</v>
      </c>
      <c r="AB319" s="12" t="s">
        <v>105</v>
      </c>
      <c r="AD319" s="15" t="s">
        <v>95</v>
      </c>
      <c r="AE319" s="16"/>
      <c r="AF319" s="12" t="s">
        <v>495</v>
      </c>
      <c r="AG319" s="12" t="s">
        <v>1651</v>
      </c>
      <c r="AH319" s="12" t="n">
        <f aca="false">COUNT(G319,I319,K319)+COUNTA(Q319:V319)</f>
        <v>3</v>
      </c>
      <c r="AI319" s="12" t="str">
        <f aca="false">IF(AH319&gt;=3,"Sim","Não")</f>
        <v>Sim</v>
      </c>
      <c r="AJ319" s="12" t="str">
        <f aca="false">IF(AND(Z319&lt;&gt;"",Z319&lt;=Critérios!$B$9),"Sim","Não")</f>
        <v>Não</v>
      </c>
    </row>
    <row r="320" customFormat="false" ht="15" hidden="false" customHeight="false" outlineLevel="0" collapsed="false">
      <c r="A320" s="12" t="s">
        <v>1652</v>
      </c>
      <c r="B320" s="12" t="s">
        <v>1653</v>
      </c>
      <c r="C320" s="12" t="s">
        <v>1654</v>
      </c>
      <c r="D320" s="12" t="s">
        <v>207</v>
      </c>
      <c r="E320" s="12" t="s">
        <v>91</v>
      </c>
      <c r="F320" s="12" t="s">
        <v>169</v>
      </c>
      <c r="G320" s="17"/>
      <c r="H320" s="17"/>
      <c r="I320" s="17"/>
      <c r="K320" s="13" t="n">
        <v>160146</v>
      </c>
      <c r="L320" s="12" t="n">
        <v>7.3</v>
      </c>
      <c r="M320" s="14" t="str">
        <f aca="false">IF(G320="","",PERCENTRANK($G$2:$G$354,G320))</f>
        <v/>
      </c>
      <c r="N320" s="14" t="str">
        <f aca="false">IF(I320="","",PERCENTRANK($I$2:$I$354,I320))</f>
        <v/>
      </c>
      <c r="O320" s="14" t="n">
        <f aca="false">IF(K320="","",PERCENTRANK($K$2:$K$354,K320))</f>
        <v>0.128</v>
      </c>
      <c r="P320" s="12" t="n">
        <f aca="false">COUNT(M320:O320)</f>
        <v>1</v>
      </c>
      <c r="Q320" s="12" t="s">
        <v>1655</v>
      </c>
      <c r="R320" s="12" t="s">
        <v>1656</v>
      </c>
      <c r="W320" s="12" t="n">
        <f aca="false">COUNTA(Q320:V320)</f>
        <v>2</v>
      </c>
      <c r="X320" s="14" t="n">
        <f aca="false">IF(P320=0,"",MIN(1,AVERAGE(M320:O320)+Critérios!$B$5*W320))</f>
        <v>0.188</v>
      </c>
      <c r="Y320" s="12" t="str">
        <f aca="false">IF(X320="","",IF(X320&gt;=Critérios!$B$7,"A",IF(X320&gt;=Critérios!$B$8,"B","C")))</f>
        <v>C</v>
      </c>
      <c r="Z320" s="12" t="n">
        <f aca="false">IF(X320="","",RANK(X320,$X$2:$X$354))</f>
        <v>319</v>
      </c>
      <c r="AA320" s="12" t="str">
        <f aca="false">IF(X320="","Sairia — sem métrica",IF(PERCENTRANK($X$2:$X$354,X320)&lt;Critérios!$B$6,"Sairia — terço inferior","Fica"))</f>
        <v>Sairia — terço inferior</v>
      </c>
      <c r="AB320" s="12" t="s">
        <v>105</v>
      </c>
      <c r="AD320" s="15" t="s">
        <v>95</v>
      </c>
      <c r="AE320" s="16"/>
      <c r="AG320" s="12" t="s">
        <v>1657</v>
      </c>
      <c r="AH320" s="12" t="n">
        <f aca="false">COUNT(G320,I320,K320)+COUNTA(Q320:V320)</f>
        <v>3</v>
      </c>
      <c r="AI320" s="12" t="str">
        <f aca="false">IF(AH320&gt;=3,"Sim","Não")</f>
        <v>Sim</v>
      </c>
      <c r="AJ320" s="12" t="str">
        <f aca="false">IF(AND(Z320&lt;&gt;"",Z320&lt;=Critérios!$B$9),"Sim","Não")</f>
        <v>Não</v>
      </c>
    </row>
    <row r="321" customFormat="false" ht="15" hidden="false" customHeight="false" outlineLevel="0" collapsed="false">
      <c r="A321" s="12" t="s">
        <v>1658</v>
      </c>
      <c r="B321" s="12" t="s">
        <v>1659</v>
      </c>
      <c r="C321" s="12" t="s">
        <v>1659</v>
      </c>
      <c r="D321" s="12" t="s">
        <v>101</v>
      </c>
      <c r="E321" s="12" t="s">
        <v>91</v>
      </c>
      <c r="F321" s="12" t="s">
        <v>92</v>
      </c>
      <c r="G321" s="13" t="n">
        <v>752209</v>
      </c>
      <c r="H321" s="13" t="n">
        <v>12324024</v>
      </c>
      <c r="I321" s="13" t="n">
        <v>470116094</v>
      </c>
      <c r="J321" s="12" t="n">
        <v>8</v>
      </c>
      <c r="K321" s="13" t="n">
        <v>271821</v>
      </c>
      <c r="L321" s="12" t="n">
        <v>6.3</v>
      </c>
      <c r="M321" s="14" t="n">
        <f aca="false">IF(G321="","",PERCENTRANK($G$2:$G$354,G321))</f>
        <v>0.0392</v>
      </c>
      <c r="N321" s="14" t="n">
        <f aca="false">IF(I321="","",PERCENTRANK($I$2:$I$354,I321))</f>
        <v>0.14</v>
      </c>
      <c r="O321" s="14" t="n">
        <f aca="false">IF(K321="","",PERCENTRANK($K$2:$K$354,K321))</f>
        <v>0.281</v>
      </c>
      <c r="P321" s="12" t="n">
        <f aca="false">COUNT(M321:O321)</f>
        <v>3</v>
      </c>
      <c r="Q321" s="12" t="s">
        <v>1660</v>
      </c>
      <c r="W321" s="12" t="n">
        <f aca="false">COUNTA(Q321:V321)</f>
        <v>1</v>
      </c>
      <c r="X321" s="14" t="n">
        <f aca="false">IF(P321=0,"",MIN(1,AVERAGE(M321:O321)+Critérios!$B$5*W321))</f>
        <v>0.1834</v>
      </c>
      <c r="Y321" s="12" t="str">
        <f aca="false">IF(X321="","",IF(X321&gt;=Critérios!$B$7,"A",IF(X321&gt;=Critérios!$B$8,"B","C")))</f>
        <v>C</v>
      </c>
      <c r="Z321" s="12" t="n">
        <f aca="false">IF(X321="","",RANK(X321,$X$2:$X$354))</f>
        <v>320</v>
      </c>
      <c r="AA321" s="12" t="str">
        <f aca="false">IF(X321="","Sairia — sem métrica",IF(PERCENTRANK($X$2:$X$354,X321)&lt;Critérios!$B$6,"Sairia — terço inferior","Fica"))</f>
        <v>Sairia — terço inferior</v>
      </c>
      <c r="AB321" s="12" t="s">
        <v>105</v>
      </c>
      <c r="AD321" s="15" t="s">
        <v>95</v>
      </c>
      <c r="AE321" s="16"/>
      <c r="AF321" s="12" t="s">
        <v>1203</v>
      </c>
      <c r="AG321" s="12" t="s">
        <v>1661</v>
      </c>
      <c r="AH321" s="12" t="n">
        <f aca="false">COUNT(G321,I321,K321)+COUNTA(Q321:V321)</f>
        <v>4</v>
      </c>
      <c r="AI321" s="12" t="str">
        <f aca="false">IF(AH321&gt;=3,"Sim","Não")</f>
        <v>Sim</v>
      </c>
      <c r="AJ321" s="12" t="str">
        <f aca="false">IF(AND(Z321&lt;&gt;"",Z321&lt;=Critérios!$B$9),"Sim","Não")</f>
        <v>Não</v>
      </c>
    </row>
    <row r="322" customFormat="false" ht="15" hidden="false" customHeight="false" outlineLevel="0" collapsed="false">
      <c r="A322" s="12" t="s">
        <v>1662</v>
      </c>
      <c r="B322" s="12" t="s">
        <v>1663</v>
      </c>
      <c r="C322" s="12" t="s">
        <v>1664</v>
      </c>
      <c r="D322" s="12" t="s">
        <v>265</v>
      </c>
      <c r="E322" s="12" t="s">
        <v>91</v>
      </c>
      <c r="F322" s="12" t="s">
        <v>92</v>
      </c>
      <c r="G322" s="13" t="n">
        <v>1240012</v>
      </c>
      <c r="H322" s="13" t="n">
        <v>26629335</v>
      </c>
      <c r="I322" s="17"/>
      <c r="K322" s="13" t="n">
        <v>226502</v>
      </c>
      <c r="L322" s="12" t="n">
        <v>6.7</v>
      </c>
      <c r="M322" s="14" t="n">
        <f aca="false">IF(G322="","",PERCENTRANK($G$2:$G$354,G322))</f>
        <v>0.0784</v>
      </c>
      <c r="N322" s="14" t="str">
        <f aca="false">IF(I322="","",PERCENTRANK($I$2:$I$354,I322))</f>
        <v/>
      </c>
      <c r="O322" s="14" t="n">
        <f aca="false">IF(K322="","",PERCENTRANK($K$2:$K$354,K322))</f>
        <v>0.227</v>
      </c>
      <c r="P322" s="12" t="n">
        <f aca="false">COUNT(M322:O322)</f>
        <v>2</v>
      </c>
      <c r="R322" s="12" t="s">
        <v>1665</v>
      </c>
      <c r="W322" s="12" t="n">
        <f aca="false">COUNTA(Q322:V322)</f>
        <v>1</v>
      </c>
      <c r="X322" s="14" t="n">
        <f aca="false">IF(P322=0,"",MIN(1,AVERAGE(M322:O322)+Critérios!$B$5*W322))</f>
        <v>0.1827</v>
      </c>
      <c r="Y322" s="12" t="str">
        <f aca="false">IF(X322="","",IF(X322&gt;=Critérios!$B$7,"A",IF(X322&gt;=Critérios!$B$8,"B","C")))</f>
        <v>C</v>
      </c>
      <c r="Z322" s="12" t="n">
        <f aca="false">IF(X322="","",RANK(X322,$X$2:$X$354))</f>
        <v>321</v>
      </c>
      <c r="AA322" s="12" t="str">
        <f aca="false">IF(X322="","Sairia — sem métrica",IF(PERCENTRANK($X$2:$X$354,X322)&lt;Critérios!$B$6,"Sairia — terço inferior","Fica"))</f>
        <v>Sairia — terço inferior</v>
      </c>
      <c r="AB322" s="12" t="s">
        <v>105</v>
      </c>
      <c r="AC322" s="12" t="s">
        <v>267</v>
      </c>
      <c r="AD322" s="15" t="s">
        <v>95</v>
      </c>
      <c r="AE322" s="16"/>
      <c r="AF322" s="12" t="s">
        <v>1087</v>
      </c>
      <c r="AG322" s="12" t="s">
        <v>1666</v>
      </c>
      <c r="AH322" s="12" t="n">
        <f aca="false">COUNT(G322,I322,K322)+COUNTA(Q322:V322)</f>
        <v>3</v>
      </c>
      <c r="AI322" s="12" t="str">
        <f aca="false">IF(AH322&gt;=3,"Sim","Não")</f>
        <v>Sim</v>
      </c>
      <c r="AJ322" s="12" t="str">
        <f aca="false">IF(AND(Z322&lt;&gt;"",Z322&lt;=Critérios!$B$9),"Sim","Não")</f>
        <v>Não</v>
      </c>
    </row>
    <row r="323" customFormat="false" ht="15" hidden="false" customHeight="false" outlineLevel="0" collapsed="false">
      <c r="A323" s="12" t="s">
        <v>1667</v>
      </c>
      <c r="B323" s="12" t="s">
        <v>1668</v>
      </c>
      <c r="C323" s="12" t="s">
        <v>1669</v>
      </c>
      <c r="D323" s="12" t="s">
        <v>265</v>
      </c>
      <c r="E323" s="12" t="s">
        <v>91</v>
      </c>
      <c r="F323" s="12" t="s">
        <v>92</v>
      </c>
      <c r="G323" s="13" t="n">
        <v>2453312</v>
      </c>
      <c r="H323" s="13" t="n">
        <v>49594166</v>
      </c>
      <c r="I323" s="13" t="n">
        <v>519596868</v>
      </c>
      <c r="J323" s="12" t="n">
        <v>9</v>
      </c>
      <c r="K323" s="13" t="n">
        <v>34772</v>
      </c>
      <c r="L323" s="12" t="n">
        <v>6.3</v>
      </c>
      <c r="M323" s="14" t="n">
        <f aca="false">IF(G323="","",PERCENTRANK($G$2:$G$354,G323))</f>
        <v>0.324</v>
      </c>
      <c r="N323" s="14" t="n">
        <f aca="false">IF(I323="","",PERCENTRANK($I$2:$I$354,I323))</f>
        <v>0.191</v>
      </c>
      <c r="O323" s="14" t="n">
        <f aca="false">IF(K323="","",PERCENTRANK($K$2:$K$354,K323))</f>
        <v>0.0256</v>
      </c>
      <c r="P323" s="12" t="n">
        <f aca="false">COUNT(M323:O323)</f>
        <v>3</v>
      </c>
      <c r="W323" s="12" t="n">
        <f aca="false">COUNTA(Q323:V323)</f>
        <v>0</v>
      </c>
      <c r="X323" s="14" t="n">
        <f aca="false">IF(P323=0,"",MIN(1,AVERAGE(M323:O323)+Critérios!$B$5*W323))</f>
        <v>0.1802</v>
      </c>
      <c r="Y323" s="12" t="str">
        <f aca="false">IF(X323="","",IF(X323&gt;=Critérios!$B$7,"A",IF(X323&gt;=Critérios!$B$8,"B","C")))</f>
        <v>C</v>
      </c>
      <c r="Z323" s="12" t="n">
        <f aca="false">IF(X323="","",RANK(X323,$X$2:$X$354))</f>
        <v>322</v>
      </c>
      <c r="AA323" s="12" t="str">
        <f aca="false">IF(X323="","Sairia — sem métrica",IF(PERCENTRANK($X$2:$X$354,X323)&lt;Critérios!$B$6,"Sairia — terço inferior","Fica"))</f>
        <v>Sairia — terço inferior</v>
      </c>
      <c r="AB323" s="12" t="s">
        <v>94</v>
      </c>
      <c r="AC323" s="12" t="s">
        <v>267</v>
      </c>
      <c r="AD323" s="15" t="s">
        <v>95</v>
      </c>
      <c r="AE323" s="16"/>
      <c r="AF323" s="12" t="s">
        <v>268</v>
      </c>
      <c r="AG323" s="12" t="s">
        <v>1670</v>
      </c>
      <c r="AH323" s="12" t="n">
        <f aca="false">COUNT(G323,I323,K323)+COUNTA(Q323:V323)</f>
        <v>3</v>
      </c>
      <c r="AI323" s="12" t="str">
        <f aca="false">IF(AH323&gt;=3,"Sim","Não")</f>
        <v>Sim</v>
      </c>
      <c r="AJ323" s="12" t="str">
        <f aca="false">IF(AND(Z323&lt;&gt;"",Z323&lt;=Critérios!$B$9),"Sim","Não")</f>
        <v>Não</v>
      </c>
    </row>
    <row r="324" customFormat="false" ht="15" hidden="false" customHeight="false" outlineLevel="0" collapsed="false">
      <c r="A324" s="12" t="s">
        <v>1671</v>
      </c>
      <c r="B324" s="12" t="s">
        <v>1672</v>
      </c>
      <c r="C324" s="12" t="s">
        <v>1673</v>
      </c>
      <c r="D324" s="12" t="s">
        <v>396</v>
      </c>
      <c r="E324" s="12" t="s">
        <v>91</v>
      </c>
      <c r="F324" s="12" t="s">
        <v>92</v>
      </c>
      <c r="G324" s="13" t="n">
        <v>2161749</v>
      </c>
      <c r="H324" s="13" t="n">
        <v>12813409</v>
      </c>
      <c r="I324" s="13" t="n">
        <v>362211740</v>
      </c>
      <c r="J324" s="12" t="n">
        <v>9</v>
      </c>
      <c r="K324" s="13" t="n">
        <v>243567</v>
      </c>
      <c r="L324" s="12" t="n">
        <v>5.7</v>
      </c>
      <c r="M324" s="14" t="n">
        <f aca="false">IF(G324="","",PERCENTRANK($G$2:$G$354,G324))</f>
        <v>0.268</v>
      </c>
      <c r="N324" s="14" t="n">
        <f aca="false">IF(I324="","",PERCENTRANK($I$2:$I$354,I324))</f>
        <v>0.0169</v>
      </c>
      <c r="O324" s="14" t="n">
        <f aca="false">IF(K324="","",PERCENTRANK($K$2:$K$354,K324))</f>
        <v>0.25</v>
      </c>
      <c r="P324" s="12" t="n">
        <f aca="false">COUNT(M324:O324)</f>
        <v>3</v>
      </c>
      <c r="W324" s="12" t="n">
        <f aca="false">COUNTA(Q324:V324)</f>
        <v>0</v>
      </c>
      <c r="X324" s="14" t="n">
        <f aca="false">IF(P324=0,"",MIN(1,AVERAGE(M324:O324)+Critérios!$B$5*W324))</f>
        <v>0.1783</v>
      </c>
      <c r="Y324" s="12" t="str">
        <f aca="false">IF(X324="","",IF(X324&gt;=Critérios!$B$7,"A",IF(X324&gt;=Critérios!$B$8,"B","C")))</f>
        <v>C</v>
      </c>
      <c r="Z324" s="12" t="n">
        <f aca="false">IF(X324="","",RANK(X324,$X$2:$X$354))</f>
        <v>323</v>
      </c>
      <c r="AA324" s="12" t="str">
        <f aca="false">IF(X324="","Sairia — sem métrica",IF(PERCENTRANK($X$2:$X$354,X324)&lt;Critérios!$B$6,"Sairia — terço inferior","Fica"))</f>
        <v>Sairia — terço inferior</v>
      </c>
      <c r="AB324" s="12" t="s">
        <v>94</v>
      </c>
      <c r="AD324" s="15" t="s">
        <v>95</v>
      </c>
      <c r="AE324" s="16"/>
      <c r="AF324" s="12" t="s">
        <v>397</v>
      </c>
      <c r="AG324" s="12" t="s">
        <v>1674</v>
      </c>
      <c r="AH324" s="12" t="n">
        <f aca="false">COUNT(G324,I324,K324)+COUNTA(Q324:V324)</f>
        <v>3</v>
      </c>
      <c r="AI324" s="12" t="str">
        <f aca="false">IF(AH324&gt;=3,"Sim","Não")</f>
        <v>Sim</v>
      </c>
      <c r="AJ324" s="12" t="str">
        <f aca="false">IF(AND(Z324&lt;&gt;"",Z324&lt;=Critérios!$B$9),"Sim","Não")</f>
        <v>Não</v>
      </c>
    </row>
    <row r="325" customFormat="false" ht="15" hidden="false" customHeight="false" outlineLevel="0" collapsed="false">
      <c r="A325" s="12" t="s">
        <v>1675</v>
      </c>
      <c r="B325" s="12" t="s">
        <v>1676</v>
      </c>
      <c r="C325" s="12" t="s">
        <v>1677</v>
      </c>
      <c r="D325" s="12" t="s">
        <v>101</v>
      </c>
      <c r="E325" s="12" t="s">
        <v>91</v>
      </c>
      <c r="F325" s="12" t="s">
        <v>92</v>
      </c>
      <c r="G325" s="13" t="n">
        <v>1673249</v>
      </c>
      <c r="H325" s="13" t="n">
        <v>28444406</v>
      </c>
      <c r="I325" s="17"/>
      <c r="K325" s="13" t="n">
        <v>174351</v>
      </c>
      <c r="L325" s="12" t="n">
        <v>6.2</v>
      </c>
      <c r="M325" s="14" t="n">
        <f aca="false">IF(G325="","",PERCENTRANK($G$2:$G$354,G325))</f>
        <v>0.147</v>
      </c>
      <c r="N325" s="14" t="str">
        <f aca="false">IF(I325="","",PERCENTRANK($I$2:$I$354,I325))</f>
        <v/>
      </c>
      <c r="O325" s="14" t="n">
        <f aca="false">IF(K325="","",PERCENTRANK($K$2:$K$354,K325))</f>
        <v>0.148</v>
      </c>
      <c r="P325" s="12" t="n">
        <f aca="false">COUNT(M325:O325)</f>
        <v>2</v>
      </c>
      <c r="Q325" s="12" t="s">
        <v>1678</v>
      </c>
      <c r="W325" s="12" t="n">
        <f aca="false">COUNTA(Q325:V325)</f>
        <v>1</v>
      </c>
      <c r="X325" s="14" t="n">
        <f aca="false">IF(P325=0,"",MIN(1,AVERAGE(M325:O325)+Critérios!$B$5*W325))</f>
        <v>0.1775</v>
      </c>
      <c r="Y325" s="12" t="str">
        <f aca="false">IF(X325="","",IF(X325&gt;=Critérios!$B$7,"A",IF(X325&gt;=Critérios!$B$8,"B","C")))</f>
        <v>C</v>
      </c>
      <c r="Z325" s="12" t="n">
        <f aca="false">IF(X325="","",RANK(X325,$X$2:$X$354))</f>
        <v>324</v>
      </c>
      <c r="AA325" s="12" t="str">
        <f aca="false">IF(X325="","Sairia — sem métrica",IF(PERCENTRANK($X$2:$X$354,X325)&lt;Critérios!$B$6,"Sairia — terço inferior","Fica"))</f>
        <v>Sairia — terço inferior</v>
      </c>
      <c r="AB325" s="12" t="s">
        <v>105</v>
      </c>
      <c r="AC325" s="12" t="s">
        <v>719</v>
      </c>
      <c r="AD325" s="15" t="s">
        <v>95</v>
      </c>
      <c r="AE325" s="16"/>
      <c r="AF325" s="12" t="s">
        <v>720</v>
      </c>
      <c r="AG325" s="12" t="s">
        <v>1679</v>
      </c>
      <c r="AH325" s="12" t="n">
        <f aca="false">COUNT(G325,I325,K325)+COUNTA(Q325:V325)</f>
        <v>3</v>
      </c>
      <c r="AI325" s="12" t="str">
        <f aca="false">IF(AH325&gt;=3,"Sim","Não")</f>
        <v>Sim</v>
      </c>
      <c r="AJ325" s="12" t="str">
        <f aca="false">IF(AND(Z325&lt;&gt;"",Z325&lt;=Critérios!$B$9),"Sim","Não")</f>
        <v>Não</v>
      </c>
    </row>
    <row r="326" customFormat="false" ht="15" hidden="false" customHeight="false" outlineLevel="0" collapsed="false">
      <c r="A326" s="12" t="s">
        <v>1680</v>
      </c>
      <c r="B326" s="12" t="s">
        <v>1681</v>
      </c>
      <c r="C326" s="12" t="s">
        <v>1681</v>
      </c>
      <c r="D326" s="12" t="s">
        <v>251</v>
      </c>
      <c r="E326" s="12" t="s">
        <v>91</v>
      </c>
      <c r="F326" s="12" t="s">
        <v>92</v>
      </c>
      <c r="G326" s="13" t="n">
        <v>2119304</v>
      </c>
      <c r="H326" s="13" t="n">
        <v>42269478</v>
      </c>
      <c r="I326" s="13" t="n">
        <v>547689492</v>
      </c>
      <c r="J326" s="12" t="n">
        <v>9</v>
      </c>
      <c r="K326" s="13" t="n">
        <v>86428</v>
      </c>
      <c r="L326" s="12" t="n">
        <v>6.3</v>
      </c>
      <c r="M326" s="14" t="n">
        <f aca="false">IF(G326="","",PERCENTRANK($G$2:$G$354,G326))</f>
        <v>0.255</v>
      </c>
      <c r="N326" s="14" t="n">
        <f aca="false">IF(I326="","",PERCENTRANK($I$2:$I$354,I326))</f>
        <v>0.225</v>
      </c>
      <c r="O326" s="14" t="n">
        <f aca="false">IF(K326="","",PERCENTRANK($K$2:$K$354,K326))</f>
        <v>0.0483</v>
      </c>
      <c r="P326" s="12" t="n">
        <f aca="false">COUNT(M326:O326)</f>
        <v>3</v>
      </c>
      <c r="W326" s="12" t="n">
        <f aca="false">COUNTA(Q326:V326)</f>
        <v>0</v>
      </c>
      <c r="X326" s="14" t="n">
        <f aca="false">IF(P326=0,"",MIN(1,AVERAGE(M326:O326)+Critérios!$B$5*W326))</f>
        <v>0.1761</v>
      </c>
      <c r="Y326" s="12" t="str">
        <f aca="false">IF(X326="","",IF(X326&gt;=Critérios!$B$7,"A",IF(X326&gt;=Critérios!$B$8,"B","C")))</f>
        <v>C</v>
      </c>
      <c r="Z326" s="12" t="n">
        <f aca="false">IF(X326="","",RANK(X326,$X$2:$X$354))</f>
        <v>325</v>
      </c>
      <c r="AA326" s="12" t="str">
        <f aca="false">IF(X326="","Sairia — sem métrica",IF(PERCENTRANK($X$2:$X$354,X326)&lt;Critérios!$B$6,"Sairia — terço inferior","Fica"))</f>
        <v>Sairia — terço inferior</v>
      </c>
      <c r="AB326" s="12" t="s">
        <v>105</v>
      </c>
      <c r="AD326" s="15" t="s">
        <v>95</v>
      </c>
      <c r="AE326" s="16"/>
      <c r="AF326" s="12" t="s">
        <v>253</v>
      </c>
      <c r="AG326" s="12" t="s">
        <v>1682</v>
      </c>
      <c r="AH326" s="12" t="n">
        <f aca="false">COUNT(G326,I326,K326)+COUNTA(Q326:V326)</f>
        <v>3</v>
      </c>
      <c r="AI326" s="12" t="str">
        <f aca="false">IF(AH326&gt;=3,"Sim","Não")</f>
        <v>Sim</v>
      </c>
      <c r="AJ326" s="12" t="str">
        <f aca="false">IF(AND(Z326&lt;&gt;"",Z326&lt;=Critérios!$B$9),"Sim","Não")</f>
        <v>Não</v>
      </c>
    </row>
    <row r="327" customFormat="false" ht="15" hidden="false" customHeight="false" outlineLevel="0" collapsed="false">
      <c r="A327" s="12" t="s">
        <v>1683</v>
      </c>
      <c r="B327" s="12" t="s">
        <v>1684</v>
      </c>
      <c r="C327" s="12" t="s">
        <v>1685</v>
      </c>
      <c r="D327" s="12" t="s">
        <v>505</v>
      </c>
      <c r="E327" s="12" t="s">
        <v>91</v>
      </c>
      <c r="F327" s="12" t="s">
        <v>169</v>
      </c>
      <c r="G327" s="17"/>
      <c r="H327" s="17"/>
      <c r="I327" s="17"/>
      <c r="K327" s="13" t="n">
        <v>143363</v>
      </c>
      <c r="L327" s="12" t="n">
        <v>7.1</v>
      </c>
      <c r="M327" s="14" t="str">
        <f aca="false">IF(G327="","",PERCENTRANK($G$2:$G$354,G327))</f>
        <v/>
      </c>
      <c r="N327" s="14" t="str">
        <f aca="false">IF(I327="","",PERCENTRANK($I$2:$I$354,I327))</f>
        <v/>
      </c>
      <c r="O327" s="14" t="n">
        <f aca="false">IF(K327="","",PERCENTRANK($K$2:$K$354,K327))</f>
        <v>0.111</v>
      </c>
      <c r="P327" s="12" t="n">
        <f aca="false">COUNT(M327:O327)</f>
        <v>1</v>
      </c>
      <c r="Q327" s="12" t="s">
        <v>1686</v>
      </c>
      <c r="R327" s="12" t="s">
        <v>1687</v>
      </c>
      <c r="W327" s="12" t="n">
        <f aca="false">COUNTA(Q327:V327)</f>
        <v>2</v>
      </c>
      <c r="X327" s="14" t="n">
        <f aca="false">IF(P327=0,"",MIN(1,AVERAGE(M327:O327)+Critérios!$B$5*W327))</f>
        <v>0.171</v>
      </c>
      <c r="Y327" s="12" t="str">
        <f aca="false">IF(X327="","",IF(X327&gt;=Critérios!$B$7,"A",IF(X327&gt;=Critérios!$B$8,"B","C")))</f>
        <v>C</v>
      </c>
      <c r="Z327" s="12" t="n">
        <f aca="false">IF(X327="","",RANK(X327,$X$2:$X$354))</f>
        <v>326</v>
      </c>
      <c r="AA327" s="12" t="str">
        <f aca="false">IF(X327="","Sairia — sem métrica",IF(PERCENTRANK($X$2:$X$354,X327)&lt;Critérios!$B$6,"Sairia — terço inferior","Fica"))</f>
        <v>Sairia — terço inferior</v>
      </c>
      <c r="AB327" s="12" t="s">
        <v>105</v>
      </c>
      <c r="AD327" s="15" t="s">
        <v>95</v>
      </c>
      <c r="AE327" s="16"/>
      <c r="AG327" s="12" t="s">
        <v>1688</v>
      </c>
      <c r="AH327" s="12" t="n">
        <f aca="false">COUNT(G327,I327,K327)+COUNTA(Q327:V327)</f>
        <v>3</v>
      </c>
      <c r="AI327" s="12" t="str">
        <f aca="false">IF(AH327&gt;=3,"Sim","Não")</f>
        <v>Sim</v>
      </c>
      <c r="AJ327" s="12" t="str">
        <f aca="false">IF(AND(Z327&lt;&gt;"",Z327&lt;=Critérios!$B$9),"Sim","Não")</f>
        <v>Não</v>
      </c>
    </row>
    <row r="328" customFormat="false" ht="15" hidden="false" customHeight="false" outlineLevel="0" collapsed="false">
      <c r="A328" s="12" t="s">
        <v>1689</v>
      </c>
      <c r="B328" s="12" t="s">
        <v>1690</v>
      </c>
      <c r="C328" s="12" t="s">
        <v>1691</v>
      </c>
      <c r="D328" s="12" t="s">
        <v>265</v>
      </c>
      <c r="E328" s="12" t="s">
        <v>91</v>
      </c>
      <c r="F328" s="12" t="s">
        <v>92</v>
      </c>
      <c r="G328" s="13" t="n">
        <v>1890893</v>
      </c>
      <c r="H328" s="13" t="n">
        <v>41730000</v>
      </c>
      <c r="I328" s="17"/>
      <c r="K328" s="13" t="n">
        <v>128368</v>
      </c>
      <c r="L328" s="12" t="n">
        <v>6.4</v>
      </c>
      <c r="M328" s="14" t="n">
        <f aca="false">IF(G328="","",PERCENTRANK($G$2:$G$354,G328))</f>
        <v>0.19</v>
      </c>
      <c r="N328" s="14" t="str">
        <f aca="false">IF(I328="","",PERCENTRANK($I$2:$I$354,I328))</f>
        <v/>
      </c>
      <c r="O328" s="14" t="n">
        <f aca="false">IF(K328="","",PERCENTRANK($K$2:$K$354,K328))</f>
        <v>0.0852</v>
      </c>
      <c r="P328" s="12" t="n">
        <f aca="false">COUNT(M328:O328)</f>
        <v>2</v>
      </c>
      <c r="R328" s="12" t="s">
        <v>1692</v>
      </c>
      <c r="W328" s="12" t="n">
        <f aca="false">COUNTA(Q328:V328)</f>
        <v>1</v>
      </c>
      <c r="X328" s="14" t="n">
        <f aca="false">IF(P328=0,"",MIN(1,AVERAGE(M328:O328)+Critérios!$B$5*W328))</f>
        <v>0.1676</v>
      </c>
      <c r="Y328" s="12" t="str">
        <f aca="false">IF(X328="","",IF(X328&gt;=Critérios!$B$7,"A",IF(X328&gt;=Critérios!$B$8,"B","C")))</f>
        <v>C</v>
      </c>
      <c r="Z328" s="12" t="n">
        <f aca="false">IF(X328="","",RANK(X328,$X$2:$X$354))</f>
        <v>327</v>
      </c>
      <c r="AA328" s="12" t="str">
        <f aca="false">IF(X328="","Sairia — sem métrica",IF(PERCENTRANK($X$2:$X$354,X328)&lt;Critérios!$B$6,"Sairia — terço inferior","Fica"))</f>
        <v>Sairia — terço inferior</v>
      </c>
      <c r="AB328" s="12" t="s">
        <v>105</v>
      </c>
      <c r="AC328" s="12" t="s">
        <v>267</v>
      </c>
      <c r="AD328" s="15" t="s">
        <v>95</v>
      </c>
      <c r="AE328" s="16"/>
      <c r="AF328" s="12" t="s">
        <v>1087</v>
      </c>
      <c r="AG328" s="12" t="s">
        <v>1693</v>
      </c>
      <c r="AH328" s="12" t="n">
        <f aca="false">COUNT(G328,I328,K328)+COUNTA(Q328:V328)</f>
        <v>3</v>
      </c>
      <c r="AI328" s="12" t="str">
        <f aca="false">IF(AH328&gt;=3,"Sim","Não")</f>
        <v>Sim</v>
      </c>
      <c r="AJ328" s="12" t="str">
        <f aca="false">IF(AND(Z328&lt;&gt;"",Z328&lt;=Critérios!$B$9),"Sim","Não")</f>
        <v>Não</v>
      </c>
    </row>
    <row r="329" customFormat="false" ht="15" hidden="false" customHeight="false" outlineLevel="0" collapsed="false">
      <c r="A329" s="12" t="s">
        <v>1694</v>
      </c>
      <c r="B329" s="12" t="s">
        <v>1695</v>
      </c>
      <c r="C329" s="12" t="s">
        <v>1696</v>
      </c>
      <c r="D329" s="12" t="s">
        <v>152</v>
      </c>
      <c r="E329" s="12" t="s">
        <v>91</v>
      </c>
      <c r="F329" s="12" t="s">
        <v>92</v>
      </c>
      <c r="G329" s="13" t="n">
        <v>2031243</v>
      </c>
      <c r="H329" s="13" t="n">
        <v>12924777</v>
      </c>
      <c r="I329" s="13" t="n">
        <v>374583879</v>
      </c>
      <c r="J329" s="12" t="n">
        <v>9</v>
      </c>
      <c r="K329" s="13" t="n">
        <v>216793</v>
      </c>
      <c r="L329" s="12" t="n">
        <v>6</v>
      </c>
      <c r="M329" s="14" t="n">
        <f aca="false">IF(G329="","",PERCENTRANK($G$2:$G$354,G329))</f>
        <v>0.219</v>
      </c>
      <c r="N329" s="14" t="n">
        <f aca="false">IF(I329="","",PERCENTRANK($I$2:$I$354,I329))</f>
        <v>0.0466</v>
      </c>
      <c r="O329" s="14" t="n">
        <f aca="false">IF(K329="","",PERCENTRANK($K$2:$K$354,K329))</f>
        <v>0.216</v>
      </c>
      <c r="P329" s="12" t="n">
        <f aca="false">COUNT(M329:O329)</f>
        <v>3</v>
      </c>
      <c r="W329" s="12" t="n">
        <f aca="false">COUNTA(Q329:V329)</f>
        <v>0</v>
      </c>
      <c r="X329" s="14" t="n">
        <f aca="false">IF(P329=0,"",MIN(1,AVERAGE(M329:O329)+Critérios!$B$5*W329))</f>
        <v>0.160533333333333</v>
      </c>
      <c r="Y329" s="12" t="str">
        <f aca="false">IF(X329="","",IF(X329&gt;=Critérios!$B$7,"A",IF(X329&gt;=Critérios!$B$8,"B","C")))</f>
        <v>C</v>
      </c>
      <c r="Z329" s="12" t="n">
        <f aca="false">IF(X329="","",RANK(X329,$X$2:$X$354))</f>
        <v>328</v>
      </c>
      <c r="AA329" s="12" t="str">
        <f aca="false">IF(X329="","Sairia — sem métrica",IF(PERCENTRANK($X$2:$X$354,X329)&lt;Critérios!$B$6,"Sairia — terço inferior","Fica"))</f>
        <v>Sairia — terço inferior</v>
      </c>
      <c r="AB329" s="12" t="s">
        <v>105</v>
      </c>
      <c r="AD329" s="15" t="s">
        <v>95</v>
      </c>
      <c r="AE329" s="16"/>
      <c r="AF329" s="12" t="s">
        <v>429</v>
      </c>
      <c r="AG329" s="12" t="s">
        <v>1697</v>
      </c>
      <c r="AH329" s="12" t="n">
        <f aca="false">COUNT(G329,I329,K329)+COUNTA(Q329:V329)</f>
        <v>3</v>
      </c>
      <c r="AI329" s="12" t="str">
        <f aca="false">IF(AH329&gt;=3,"Sim","Não")</f>
        <v>Sim</v>
      </c>
      <c r="AJ329" s="12" t="str">
        <f aca="false">IF(AND(Z329&lt;&gt;"",Z329&lt;=Critérios!$B$9),"Sim","Não")</f>
        <v>Não</v>
      </c>
    </row>
    <row r="330" customFormat="false" ht="15" hidden="false" customHeight="false" outlineLevel="0" collapsed="false">
      <c r="A330" s="12" t="s">
        <v>1698</v>
      </c>
      <c r="B330" s="12" t="s">
        <v>1699</v>
      </c>
      <c r="C330" s="12" t="s">
        <v>1700</v>
      </c>
      <c r="D330" s="12" t="s">
        <v>505</v>
      </c>
      <c r="E330" s="12" t="s">
        <v>91</v>
      </c>
      <c r="F330" s="12" t="s">
        <v>169</v>
      </c>
      <c r="G330" s="17"/>
      <c r="H330" s="17"/>
      <c r="I330" s="17"/>
      <c r="K330" s="13" t="n">
        <v>138765</v>
      </c>
      <c r="L330" s="12" t="n">
        <v>7.8</v>
      </c>
      <c r="M330" s="14" t="str">
        <f aca="false">IF(G330="","",PERCENTRANK($G$2:$G$354,G330))</f>
        <v/>
      </c>
      <c r="N330" s="14" t="str">
        <f aca="false">IF(I330="","",PERCENTRANK($I$2:$I$354,I330))</f>
        <v/>
      </c>
      <c r="O330" s="14" t="n">
        <f aca="false">IF(K330="","",PERCENTRANK($K$2:$K$354,K330))</f>
        <v>0.0994</v>
      </c>
      <c r="P330" s="12" t="n">
        <f aca="false">COUNT(M330:O330)</f>
        <v>1</v>
      </c>
      <c r="Q330" s="12" t="s">
        <v>1701</v>
      </c>
      <c r="R330" s="12" t="s">
        <v>1702</v>
      </c>
      <c r="W330" s="12" t="n">
        <f aca="false">COUNTA(Q330:V330)</f>
        <v>2</v>
      </c>
      <c r="X330" s="14" t="n">
        <f aca="false">IF(P330=0,"",MIN(1,AVERAGE(M330:O330)+Critérios!$B$5*W330))</f>
        <v>0.1594</v>
      </c>
      <c r="Y330" s="12" t="str">
        <f aca="false">IF(X330="","",IF(X330&gt;=Critérios!$B$7,"A",IF(X330&gt;=Critérios!$B$8,"B","C")))</f>
        <v>C</v>
      </c>
      <c r="Z330" s="12" t="n">
        <f aca="false">IF(X330="","",RANK(X330,$X$2:$X$354))</f>
        <v>330</v>
      </c>
      <c r="AA330" s="12" t="str">
        <f aca="false">IF(X330="","Sairia — sem métrica",IF(PERCENTRANK($X$2:$X$354,X330)&lt;Critérios!$B$6,"Sairia — terço inferior","Fica"))</f>
        <v>Sairia — terço inferior</v>
      </c>
      <c r="AB330" s="12" t="s">
        <v>105</v>
      </c>
      <c r="AD330" s="15" t="s">
        <v>95</v>
      </c>
      <c r="AE330" s="16"/>
      <c r="AG330" s="12" t="s">
        <v>1703</v>
      </c>
      <c r="AH330" s="12" t="n">
        <f aca="false">COUNT(G330,I330,K330)+COUNTA(Q330:V330)</f>
        <v>3</v>
      </c>
      <c r="AI330" s="12" t="str">
        <f aca="false">IF(AH330&gt;=3,"Sim","Não")</f>
        <v>Sim</v>
      </c>
      <c r="AJ330" s="12" t="str">
        <f aca="false">IF(AND(Z330&lt;&gt;"",Z330&lt;=Critérios!$B$9),"Sim","Não")</f>
        <v>Não</v>
      </c>
    </row>
    <row r="331" customFormat="false" ht="15" hidden="false" customHeight="false" outlineLevel="0" collapsed="false">
      <c r="A331" s="12" t="s">
        <v>1704</v>
      </c>
      <c r="B331" s="12" t="s">
        <v>1705</v>
      </c>
      <c r="C331" s="12" t="s">
        <v>1706</v>
      </c>
      <c r="D331" s="12" t="s">
        <v>1103</v>
      </c>
      <c r="E331" s="12" t="s">
        <v>91</v>
      </c>
      <c r="F331" s="12" t="s">
        <v>92</v>
      </c>
      <c r="G331" s="13" t="n">
        <v>1397592</v>
      </c>
      <c r="H331" s="13" t="n">
        <v>22096061</v>
      </c>
      <c r="I331" s="13" t="n">
        <v>426505244</v>
      </c>
      <c r="J331" s="12" t="n">
        <v>4</v>
      </c>
      <c r="K331" s="13" t="n">
        <v>200065</v>
      </c>
      <c r="L331" s="12" t="n">
        <v>6.5</v>
      </c>
      <c r="M331" s="14" t="n">
        <f aca="false">IF(G331="","",PERCENTRANK($G$2:$G$354,G331))</f>
        <v>0.105</v>
      </c>
      <c r="N331" s="14" t="n">
        <f aca="false">IF(I331="","",PERCENTRANK($I$2:$I$354,I331))</f>
        <v>0.0847</v>
      </c>
      <c r="O331" s="14" t="n">
        <f aca="false">IF(K331="","",PERCENTRANK($K$2:$K$354,K331))</f>
        <v>0.199</v>
      </c>
      <c r="P331" s="12" t="n">
        <f aca="false">COUNT(M331:O331)</f>
        <v>3</v>
      </c>
      <c r="Q331" s="12" t="s">
        <v>1707</v>
      </c>
      <c r="W331" s="12" t="n">
        <f aca="false">COUNTA(Q331:V331)</f>
        <v>1</v>
      </c>
      <c r="X331" s="14" t="n">
        <f aca="false">IF(P331=0,"",MIN(1,AVERAGE(M331:O331)+Critérios!$B$5*W331))</f>
        <v>0.159566666666667</v>
      </c>
      <c r="Y331" s="12" t="str">
        <f aca="false">IF(X331="","",IF(X331&gt;=Critérios!$B$7,"A",IF(X331&gt;=Critérios!$B$8,"B","C")))</f>
        <v>C</v>
      </c>
      <c r="Z331" s="12" t="n">
        <f aca="false">IF(X331="","",RANK(X331,$X$2:$X$354))</f>
        <v>329</v>
      </c>
      <c r="AA331" s="12" t="str">
        <f aca="false">IF(X331="","Sairia — sem métrica",IF(PERCENTRANK($X$2:$X$354,X331)&lt;Critérios!$B$6,"Sairia — terço inferior","Fica"))</f>
        <v>Sairia — terço inferior</v>
      </c>
      <c r="AB331" s="12" t="s">
        <v>105</v>
      </c>
      <c r="AD331" s="15" t="s">
        <v>95</v>
      </c>
      <c r="AE331" s="16"/>
      <c r="AF331" s="12" t="s">
        <v>1480</v>
      </c>
      <c r="AG331" s="12" t="s">
        <v>1708</v>
      </c>
      <c r="AH331" s="12" t="n">
        <f aca="false">COUNT(G331,I331,K331)+COUNTA(Q331:V331)</f>
        <v>4</v>
      </c>
      <c r="AI331" s="12" t="str">
        <f aca="false">IF(AH331&gt;=3,"Sim","Não")</f>
        <v>Sim</v>
      </c>
      <c r="AJ331" s="12" t="str">
        <f aca="false">IF(AND(Z331&lt;&gt;"",Z331&lt;=Critérios!$B$9),"Sim","Não")</f>
        <v>Não</v>
      </c>
    </row>
    <row r="332" customFormat="false" ht="15" hidden="false" customHeight="false" outlineLevel="0" collapsed="false">
      <c r="A332" s="12" t="s">
        <v>1709</v>
      </c>
      <c r="B332" s="12" t="s">
        <v>1710</v>
      </c>
      <c r="C332" s="12" t="s">
        <v>1711</v>
      </c>
      <c r="D332" s="12" t="s">
        <v>321</v>
      </c>
      <c r="E332" s="12" t="s">
        <v>91</v>
      </c>
      <c r="F332" s="12" t="s">
        <v>92</v>
      </c>
      <c r="G332" s="13" t="n">
        <v>1593825</v>
      </c>
      <c r="H332" s="13" t="n">
        <v>12163138</v>
      </c>
      <c r="I332" s="13" t="n">
        <v>419665568</v>
      </c>
      <c r="J332" s="12" t="n">
        <v>10</v>
      </c>
      <c r="K332" s="13" t="n">
        <v>242151</v>
      </c>
      <c r="L332" s="12" t="n">
        <v>6.5</v>
      </c>
      <c r="M332" s="14" t="n">
        <f aca="false">IF(G332="","",PERCENTRANK($G$2:$G$354,G332))</f>
        <v>0.144</v>
      </c>
      <c r="N332" s="14" t="n">
        <f aca="false">IF(I332="","",PERCENTRANK($I$2:$I$354,I332))</f>
        <v>0.0805</v>
      </c>
      <c r="O332" s="14" t="n">
        <f aca="false">IF(K332="","",PERCENTRANK($K$2:$K$354,K332))</f>
        <v>0.241</v>
      </c>
      <c r="P332" s="12" t="n">
        <f aca="false">COUNT(M332:O332)</f>
        <v>3</v>
      </c>
      <c r="W332" s="12" t="n">
        <f aca="false">COUNTA(Q332:V332)</f>
        <v>0</v>
      </c>
      <c r="X332" s="14" t="n">
        <f aca="false">IF(P332=0,"",MIN(1,AVERAGE(M332:O332)+Critérios!$B$5*W332))</f>
        <v>0.155166666666667</v>
      </c>
      <c r="Y332" s="12" t="str">
        <f aca="false">IF(X332="","",IF(X332&gt;=Critérios!$B$7,"A",IF(X332&gt;=Critérios!$B$8,"B","C")))</f>
        <v>C</v>
      </c>
      <c r="Z332" s="12" t="n">
        <f aca="false">IF(X332="","",RANK(X332,$X$2:$X$354))</f>
        <v>331</v>
      </c>
      <c r="AA332" s="12" t="str">
        <f aca="false">IF(X332="","Sairia — sem métrica",IF(PERCENTRANK($X$2:$X$354,X332)&lt;Critérios!$B$6,"Sairia — terço inferior","Fica"))</f>
        <v>Sairia — terço inferior</v>
      </c>
      <c r="AB332" s="12" t="s">
        <v>105</v>
      </c>
      <c r="AD332" s="15" t="s">
        <v>95</v>
      </c>
      <c r="AE332" s="16"/>
      <c r="AF332" s="12" t="s">
        <v>323</v>
      </c>
      <c r="AG332" s="12" t="s">
        <v>1712</v>
      </c>
      <c r="AH332" s="12" t="n">
        <f aca="false">COUNT(G332,I332,K332)+COUNTA(Q332:V332)</f>
        <v>3</v>
      </c>
      <c r="AI332" s="12" t="str">
        <f aca="false">IF(AH332&gt;=3,"Sim","Não")</f>
        <v>Sim</v>
      </c>
      <c r="AJ332" s="12" t="str">
        <f aca="false">IF(AND(Z332&lt;&gt;"",Z332&lt;=Critérios!$B$9),"Sim","Não")</f>
        <v>Não</v>
      </c>
    </row>
    <row r="333" customFormat="false" ht="15" hidden="false" customHeight="false" outlineLevel="0" collapsed="false">
      <c r="A333" s="12" t="s">
        <v>1713</v>
      </c>
      <c r="B333" s="12" t="s">
        <v>1714</v>
      </c>
      <c r="C333" s="12" t="s">
        <v>1715</v>
      </c>
      <c r="D333" s="12" t="s">
        <v>1103</v>
      </c>
      <c r="E333" s="12" t="s">
        <v>91</v>
      </c>
      <c r="F333" s="12" t="s">
        <v>92</v>
      </c>
      <c r="G333" s="13" t="n">
        <v>466957</v>
      </c>
      <c r="H333" s="13" t="n">
        <v>7711219</v>
      </c>
      <c r="I333" s="17"/>
      <c r="K333" s="13" t="n">
        <v>189890</v>
      </c>
      <c r="L333" s="12" t="n">
        <v>7.3</v>
      </c>
      <c r="M333" s="14" t="n">
        <f aca="false">IF(G333="","",PERCENTRANK($G$2:$G$354,G333))</f>
        <v>0.0196</v>
      </c>
      <c r="N333" s="14" t="str">
        <f aca="false">IF(I333="","",PERCENTRANK($I$2:$I$354,I333))</f>
        <v/>
      </c>
      <c r="O333" s="14" t="n">
        <f aca="false">IF(K333="","",PERCENTRANK($K$2:$K$354,K333))</f>
        <v>0.17</v>
      </c>
      <c r="P333" s="12" t="n">
        <f aca="false">COUNT(M333:O333)</f>
        <v>2</v>
      </c>
      <c r="Q333" s="12" t="s">
        <v>1716</v>
      </c>
      <c r="S333" s="12" t="s">
        <v>1717</v>
      </c>
      <c r="W333" s="12" t="n">
        <f aca="false">COUNTA(Q333:V333)</f>
        <v>2</v>
      </c>
      <c r="X333" s="14" t="n">
        <f aca="false">IF(P333=0,"",MIN(1,AVERAGE(M333:O333)+Critérios!$B$5*W333))</f>
        <v>0.1548</v>
      </c>
      <c r="Y333" s="12" t="str">
        <f aca="false">IF(X333="","",IF(X333&gt;=Critérios!$B$7,"A",IF(X333&gt;=Critérios!$B$8,"B","C")))</f>
        <v>C</v>
      </c>
      <c r="Z333" s="12" t="n">
        <f aca="false">IF(X333="","",RANK(X333,$X$2:$X$354))</f>
        <v>332</v>
      </c>
      <c r="AA333" s="12" t="str">
        <f aca="false">IF(X333="","Sairia — sem métrica",IF(PERCENTRANK($X$2:$X$354,X333)&lt;Critérios!$B$6,"Sairia — terço inferior","Fica"))</f>
        <v>Sairia — terço inferior</v>
      </c>
      <c r="AB333" s="12" t="s">
        <v>105</v>
      </c>
      <c r="AD333" s="15" t="s">
        <v>95</v>
      </c>
      <c r="AE333" s="16"/>
      <c r="AF333" s="12" t="s">
        <v>937</v>
      </c>
      <c r="AG333" s="12" t="s">
        <v>1718</v>
      </c>
      <c r="AH333" s="12" t="n">
        <f aca="false">COUNT(G333,I333,K333)+COUNTA(Q333:V333)</f>
        <v>4</v>
      </c>
      <c r="AI333" s="12" t="str">
        <f aca="false">IF(AH333&gt;=3,"Sim","Não")</f>
        <v>Sim</v>
      </c>
      <c r="AJ333" s="12" t="str">
        <f aca="false">IF(AND(Z333&lt;&gt;"",Z333&lt;=Critérios!$B$9),"Sim","Não")</f>
        <v>Não</v>
      </c>
    </row>
    <row r="334" customFormat="false" ht="15" hidden="false" customHeight="false" outlineLevel="0" collapsed="false">
      <c r="A334" s="12" t="s">
        <v>1719</v>
      </c>
      <c r="B334" s="12" t="s">
        <v>1720</v>
      </c>
      <c r="C334" s="12" t="s">
        <v>1721</v>
      </c>
      <c r="D334" s="12" t="s">
        <v>175</v>
      </c>
      <c r="E334" s="12" t="s">
        <v>91</v>
      </c>
      <c r="F334" s="12" t="s">
        <v>169</v>
      </c>
      <c r="G334" s="17"/>
      <c r="H334" s="17"/>
      <c r="I334" s="17"/>
      <c r="K334" s="13" t="n">
        <v>134986</v>
      </c>
      <c r="L334" s="12" t="n">
        <v>6.8</v>
      </c>
      <c r="M334" s="14" t="str">
        <f aca="false">IF(G334="","",PERCENTRANK($G$2:$G$354,G334))</f>
        <v/>
      </c>
      <c r="N334" s="14" t="str">
        <f aca="false">IF(I334="","",PERCENTRANK($I$2:$I$354,I334))</f>
        <v/>
      </c>
      <c r="O334" s="14" t="n">
        <f aca="false">IF(K334="","",PERCENTRANK($K$2:$K$354,K334))</f>
        <v>0.0938</v>
      </c>
      <c r="P334" s="12" t="n">
        <f aca="false">COUNT(M334:O334)</f>
        <v>1</v>
      </c>
      <c r="Q334" s="12" t="s">
        <v>1722</v>
      </c>
      <c r="R334" s="12" t="s">
        <v>1723</v>
      </c>
      <c r="W334" s="12" t="n">
        <f aca="false">COUNTA(Q334:V334)</f>
        <v>2</v>
      </c>
      <c r="X334" s="14" t="n">
        <f aca="false">IF(P334=0,"",MIN(1,AVERAGE(M334:O334)+Critérios!$B$5*W334))</f>
        <v>0.1538</v>
      </c>
      <c r="Y334" s="12" t="str">
        <f aca="false">IF(X334="","",IF(X334&gt;=Critérios!$B$7,"A",IF(X334&gt;=Critérios!$B$8,"B","C")))</f>
        <v>C</v>
      </c>
      <c r="Z334" s="12" t="n">
        <f aca="false">IF(X334="","",RANK(X334,$X$2:$X$354))</f>
        <v>333</v>
      </c>
      <c r="AA334" s="12" t="str">
        <f aca="false">IF(X334="","Sairia — sem métrica",IF(PERCENTRANK($X$2:$X$354,X334)&lt;Critérios!$B$6,"Sairia — terço inferior","Fica"))</f>
        <v>Sairia — terço inferior</v>
      </c>
      <c r="AB334" s="12" t="s">
        <v>105</v>
      </c>
      <c r="AD334" s="15" t="s">
        <v>95</v>
      </c>
      <c r="AE334" s="16"/>
      <c r="AG334" s="12" t="s">
        <v>1724</v>
      </c>
      <c r="AH334" s="12" t="n">
        <f aca="false">COUNT(G334,I334,K334)+COUNTA(Q334:V334)</f>
        <v>3</v>
      </c>
      <c r="AI334" s="12" t="str">
        <f aca="false">IF(AH334&gt;=3,"Sim","Não")</f>
        <v>Sim</v>
      </c>
      <c r="AJ334" s="12" t="str">
        <f aca="false">IF(AND(Z334&lt;&gt;"",Z334&lt;=Critérios!$B$9),"Sim","Não")</f>
        <v>Não</v>
      </c>
    </row>
    <row r="335" customFormat="false" ht="15" hidden="false" customHeight="false" outlineLevel="0" collapsed="false">
      <c r="A335" s="12" t="s">
        <v>1725</v>
      </c>
      <c r="B335" s="12" t="s">
        <v>1726</v>
      </c>
      <c r="C335" s="12"/>
      <c r="D335" s="12" t="s">
        <v>118</v>
      </c>
      <c r="E335" s="12" t="s">
        <v>91</v>
      </c>
      <c r="F335" s="12" t="s">
        <v>92</v>
      </c>
      <c r="G335" s="13" t="n">
        <v>1275952</v>
      </c>
      <c r="H335" s="13" t="n">
        <v>25020877</v>
      </c>
      <c r="I335" s="17"/>
      <c r="K335" s="13" t="n">
        <v>139314</v>
      </c>
      <c r="L335" s="12" t="n">
        <v>6.1</v>
      </c>
      <c r="M335" s="14" t="n">
        <f aca="false">IF(G335="","",PERCENTRANK($G$2:$G$354,G335))</f>
        <v>0.085</v>
      </c>
      <c r="N335" s="14" t="str">
        <f aca="false">IF(I335="","",PERCENTRANK($I$2:$I$354,I335))</f>
        <v/>
      </c>
      <c r="O335" s="14" t="n">
        <f aca="false">IF(K335="","",PERCENTRANK($K$2:$K$354,K335))</f>
        <v>0.102</v>
      </c>
      <c r="P335" s="12" t="n">
        <f aca="false">COUNT(M335:O335)</f>
        <v>2</v>
      </c>
      <c r="Q335" s="12" t="s">
        <v>1727</v>
      </c>
      <c r="T335" s="12" t="s">
        <v>1728</v>
      </c>
      <c r="W335" s="12" t="n">
        <f aca="false">COUNTA(Q335:V335)</f>
        <v>2</v>
      </c>
      <c r="X335" s="14" t="n">
        <f aca="false">IF(P335=0,"",MIN(1,AVERAGE(M335:O335)+Critérios!$B$5*W335))</f>
        <v>0.1535</v>
      </c>
      <c r="Y335" s="12" t="str">
        <f aca="false">IF(X335="","",IF(X335&gt;=Critérios!$B$7,"A",IF(X335&gt;=Critérios!$B$8,"B","C")))</f>
        <v>C</v>
      </c>
      <c r="Z335" s="12" t="n">
        <f aca="false">IF(X335="","",RANK(X335,$X$2:$X$354))</f>
        <v>334</v>
      </c>
      <c r="AA335" s="12" t="str">
        <f aca="false">IF(X335="","Sairia — sem métrica",IF(PERCENTRANK($X$2:$X$354,X335)&lt;Critérios!$B$6,"Sairia — terço inferior","Fica"))</f>
        <v>Sairia — terço inferior</v>
      </c>
      <c r="AB335" s="12" t="s">
        <v>105</v>
      </c>
      <c r="AC335" s="12" t="s">
        <v>719</v>
      </c>
      <c r="AD335" s="15" t="s">
        <v>95</v>
      </c>
      <c r="AE335" s="16"/>
      <c r="AF335" s="12" t="s">
        <v>931</v>
      </c>
      <c r="AG335" s="12" t="s">
        <v>1729</v>
      </c>
      <c r="AH335" s="12" t="n">
        <f aca="false">COUNT(G335,I335,K335)+COUNTA(Q335:V335)</f>
        <v>4</v>
      </c>
      <c r="AI335" s="12" t="str">
        <f aca="false">IF(AH335&gt;=3,"Sim","Não")</f>
        <v>Sim</v>
      </c>
      <c r="AJ335" s="12" t="str">
        <f aca="false">IF(AND(Z335&lt;&gt;"",Z335&lt;=Critérios!$B$9),"Sim","Não")</f>
        <v>Não</v>
      </c>
    </row>
    <row r="336" customFormat="false" ht="15" hidden="false" customHeight="false" outlineLevel="0" collapsed="false">
      <c r="A336" s="12" t="s">
        <v>1730</v>
      </c>
      <c r="B336" s="12" t="s">
        <v>1731</v>
      </c>
      <c r="C336" s="12" t="s">
        <v>1732</v>
      </c>
      <c r="D336" s="12" t="s">
        <v>183</v>
      </c>
      <c r="E336" s="12" t="s">
        <v>91</v>
      </c>
      <c r="F336" s="12" t="s">
        <v>169</v>
      </c>
      <c r="G336" s="17"/>
      <c r="H336" s="17"/>
      <c r="I336" s="17"/>
      <c r="K336" s="13" t="n">
        <v>131863</v>
      </c>
      <c r="L336" s="12" t="n">
        <v>6.6</v>
      </c>
      <c r="M336" s="14" t="str">
        <f aca="false">IF(G336="","",PERCENTRANK($G$2:$G$354,G336))</f>
        <v/>
      </c>
      <c r="N336" s="14" t="str">
        <f aca="false">IF(I336="","",PERCENTRANK($I$2:$I$354,I336))</f>
        <v/>
      </c>
      <c r="O336" s="14" t="n">
        <f aca="false">IF(K336="","",PERCENTRANK($K$2:$K$354,K336))</f>
        <v>0.0909</v>
      </c>
      <c r="P336" s="12" t="n">
        <f aca="false">COUNT(M336:O336)</f>
        <v>1</v>
      </c>
      <c r="Q336" s="12" t="s">
        <v>1733</v>
      </c>
      <c r="R336" s="12" t="s">
        <v>1734</v>
      </c>
      <c r="W336" s="12" t="n">
        <f aca="false">COUNTA(Q336:V336)</f>
        <v>2</v>
      </c>
      <c r="X336" s="14" t="n">
        <f aca="false">IF(P336=0,"",MIN(1,AVERAGE(M336:O336)+Critérios!$B$5*W336))</f>
        <v>0.1509</v>
      </c>
      <c r="Y336" s="12" t="str">
        <f aca="false">IF(X336="","",IF(X336&gt;=Critérios!$B$7,"A",IF(X336&gt;=Critérios!$B$8,"B","C")))</f>
        <v>C</v>
      </c>
      <c r="Z336" s="12" t="n">
        <f aca="false">IF(X336="","",RANK(X336,$X$2:$X$354))</f>
        <v>335</v>
      </c>
      <c r="AA336" s="12" t="str">
        <f aca="false">IF(X336="","Sairia — sem métrica",IF(PERCENTRANK($X$2:$X$354,X336)&lt;Critérios!$B$6,"Sairia — terço inferior","Fica"))</f>
        <v>Sairia — terço inferior</v>
      </c>
      <c r="AB336" s="12" t="s">
        <v>105</v>
      </c>
      <c r="AD336" s="15" t="s">
        <v>95</v>
      </c>
      <c r="AE336" s="16"/>
      <c r="AG336" s="12" t="s">
        <v>1735</v>
      </c>
      <c r="AH336" s="12" t="n">
        <f aca="false">COUNT(G336,I336,K336)+COUNTA(Q336:V336)</f>
        <v>3</v>
      </c>
      <c r="AI336" s="12" t="str">
        <f aca="false">IF(AH336&gt;=3,"Sim","Não")</f>
        <v>Sim</v>
      </c>
      <c r="AJ336" s="12" t="str">
        <f aca="false">IF(AND(Z336&lt;&gt;"",Z336&lt;=Critérios!$B$9),"Sim","Não")</f>
        <v>Não</v>
      </c>
    </row>
    <row r="337" customFormat="false" ht="15" hidden="false" customHeight="false" outlineLevel="0" collapsed="false">
      <c r="A337" s="12" t="s">
        <v>1736</v>
      </c>
      <c r="B337" s="12" t="s">
        <v>1737</v>
      </c>
      <c r="C337" s="12"/>
      <c r="D337" s="12" t="s">
        <v>505</v>
      </c>
      <c r="E337" s="12" t="s">
        <v>91</v>
      </c>
      <c r="F337" s="12" t="s">
        <v>92</v>
      </c>
      <c r="G337" s="13" t="n">
        <v>1946492</v>
      </c>
      <c r="H337" s="13" t="n">
        <v>38230354</v>
      </c>
      <c r="I337" s="17"/>
      <c r="K337" s="13" t="n">
        <v>47829</v>
      </c>
      <c r="L337" s="12" t="n">
        <v>5.1</v>
      </c>
      <c r="M337" s="14" t="n">
        <f aca="false">IF(G337="","",PERCENTRANK($G$2:$G$354,G337))</f>
        <v>0.209</v>
      </c>
      <c r="N337" s="14" t="str">
        <f aca="false">IF(I337="","",PERCENTRANK($I$2:$I$354,I337))</f>
        <v/>
      </c>
      <c r="O337" s="14" t="n">
        <f aca="false">IF(K337="","",PERCENTRANK($K$2:$K$354,K337))</f>
        <v>0.0313</v>
      </c>
      <c r="P337" s="12" t="n">
        <f aca="false">COUNT(M337:O337)</f>
        <v>2</v>
      </c>
      <c r="Q337" s="12" t="s">
        <v>1738</v>
      </c>
      <c r="W337" s="12" t="n">
        <f aca="false">COUNTA(Q337:V337)</f>
        <v>1</v>
      </c>
      <c r="X337" s="14" t="n">
        <f aca="false">IF(P337=0,"",MIN(1,AVERAGE(M337:O337)+Critérios!$B$5*W337))</f>
        <v>0.15015</v>
      </c>
      <c r="Y337" s="12" t="str">
        <f aca="false">IF(X337="","",IF(X337&gt;=Critérios!$B$7,"A",IF(X337&gt;=Critérios!$B$8,"B","C")))</f>
        <v>C</v>
      </c>
      <c r="Z337" s="12" t="n">
        <f aca="false">IF(X337="","",RANK(X337,$X$2:$X$354))</f>
        <v>336</v>
      </c>
      <c r="AA337" s="12" t="str">
        <f aca="false">IF(X337="","Sairia — sem métrica",IF(PERCENTRANK($X$2:$X$354,X337)&lt;Critérios!$B$6,"Sairia — terço inferior","Fica"))</f>
        <v>Sairia — terço inferior</v>
      </c>
      <c r="AB337" s="12" t="s">
        <v>105</v>
      </c>
      <c r="AD337" s="15" t="s">
        <v>95</v>
      </c>
      <c r="AE337" s="16"/>
      <c r="AF337" s="12" t="s">
        <v>1044</v>
      </c>
      <c r="AG337" s="12" t="s">
        <v>1739</v>
      </c>
      <c r="AH337" s="12" t="n">
        <f aca="false">COUNT(G337,I337,K337)+COUNTA(Q337:V337)</f>
        <v>3</v>
      </c>
      <c r="AI337" s="12" t="str">
        <f aca="false">IF(AH337&gt;=3,"Sim","Não")</f>
        <v>Sim</v>
      </c>
      <c r="AJ337" s="12" t="str">
        <f aca="false">IF(AND(Z337&lt;&gt;"",Z337&lt;=Critérios!$B$9),"Sim","Não")</f>
        <v>Não</v>
      </c>
    </row>
    <row r="338" customFormat="false" ht="15" hidden="false" customHeight="false" outlineLevel="0" collapsed="false">
      <c r="A338" s="12" t="s">
        <v>1740</v>
      </c>
      <c r="B338" s="12" t="s">
        <v>1741</v>
      </c>
      <c r="C338" s="12" t="s">
        <v>1741</v>
      </c>
      <c r="D338" s="12" t="s">
        <v>396</v>
      </c>
      <c r="E338" s="12" t="s">
        <v>91</v>
      </c>
      <c r="F338" s="12" t="s">
        <v>92</v>
      </c>
      <c r="G338" s="13" t="n">
        <v>1138060</v>
      </c>
      <c r="H338" s="13" t="n">
        <v>6668167</v>
      </c>
      <c r="I338" s="13" t="n">
        <v>351692268</v>
      </c>
      <c r="J338" s="12" t="n">
        <v>10</v>
      </c>
      <c r="K338" s="13" t="n">
        <v>317581</v>
      </c>
      <c r="L338" s="12" t="n">
        <v>6.8</v>
      </c>
      <c r="M338" s="14" t="n">
        <f aca="false">IF(G338="","",PERCENTRANK($G$2:$G$354,G338))</f>
        <v>0.0654</v>
      </c>
      <c r="N338" s="14" t="n">
        <f aca="false">IF(I338="","",PERCENTRANK($I$2:$I$354,I338))</f>
        <v>0.00847</v>
      </c>
      <c r="O338" s="14" t="n">
        <f aca="false">IF(K338="","",PERCENTRANK($K$2:$K$354,K338))</f>
        <v>0.375</v>
      </c>
      <c r="P338" s="12" t="n">
        <f aca="false">COUNT(M338:O338)</f>
        <v>3</v>
      </c>
      <c r="W338" s="12" t="n">
        <f aca="false">COUNTA(Q338:V338)</f>
        <v>0</v>
      </c>
      <c r="X338" s="14" t="n">
        <f aca="false">IF(P338=0,"",MIN(1,AVERAGE(M338:O338)+Critérios!$B$5*W338))</f>
        <v>0.149623333333333</v>
      </c>
      <c r="Y338" s="12" t="str">
        <f aca="false">IF(X338="","",IF(X338&gt;=Critérios!$B$7,"A",IF(X338&gt;=Critérios!$B$8,"B","C")))</f>
        <v>C</v>
      </c>
      <c r="Z338" s="12" t="n">
        <f aca="false">IF(X338="","",RANK(X338,$X$2:$X$354))</f>
        <v>337</v>
      </c>
      <c r="AA338" s="12" t="str">
        <f aca="false">IF(X338="","Sairia — sem métrica",IF(PERCENTRANK($X$2:$X$354,X338)&lt;Critérios!$B$6,"Sairia — terço inferior","Fica"))</f>
        <v>Sairia — terço inferior</v>
      </c>
      <c r="AB338" s="12" t="s">
        <v>105</v>
      </c>
      <c r="AD338" s="15" t="s">
        <v>95</v>
      </c>
      <c r="AE338" s="16"/>
      <c r="AF338" s="12" t="s">
        <v>397</v>
      </c>
      <c r="AG338" s="12" t="s">
        <v>1742</v>
      </c>
      <c r="AH338" s="12" t="n">
        <f aca="false">COUNT(G338,I338,K338)+COUNTA(Q338:V338)</f>
        <v>3</v>
      </c>
      <c r="AI338" s="12" t="str">
        <f aca="false">IF(AH338&gt;=3,"Sim","Não")</f>
        <v>Sim</v>
      </c>
      <c r="AJ338" s="12" t="str">
        <f aca="false">IF(AND(Z338&lt;&gt;"",Z338&lt;=Critérios!$B$9),"Sim","Não")</f>
        <v>Não</v>
      </c>
    </row>
    <row r="339" customFormat="false" ht="15" hidden="false" customHeight="false" outlineLevel="0" collapsed="false">
      <c r="A339" s="12" t="s">
        <v>1743</v>
      </c>
      <c r="B339" s="12" t="s">
        <v>1744</v>
      </c>
      <c r="C339" s="12"/>
      <c r="D339" s="12" t="s">
        <v>118</v>
      </c>
      <c r="E339" s="12" t="s">
        <v>91</v>
      </c>
      <c r="F339" s="12" t="s">
        <v>92</v>
      </c>
      <c r="G339" s="13" t="n">
        <v>1267774</v>
      </c>
      <c r="H339" s="13" t="n">
        <v>23717618</v>
      </c>
      <c r="I339" s="17"/>
      <c r="K339" s="13" t="n">
        <v>175205</v>
      </c>
      <c r="L339" s="12" t="n">
        <v>5.1</v>
      </c>
      <c r="M339" s="14" t="n">
        <f aca="false">IF(G339="","",PERCENTRANK($G$2:$G$354,G339))</f>
        <v>0.0817</v>
      </c>
      <c r="N339" s="14" t="str">
        <f aca="false">IF(I339="","",PERCENTRANK($I$2:$I$354,I339))</f>
        <v/>
      </c>
      <c r="O339" s="14" t="n">
        <f aca="false">IF(K339="","",PERCENTRANK($K$2:$K$354,K339))</f>
        <v>0.151</v>
      </c>
      <c r="P339" s="12" t="n">
        <f aca="false">COUNT(M339:O339)</f>
        <v>2</v>
      </c>
      <c r="Q339" s="12" t="s">
        <v>1745</v>
      </c>
      <c r="W339" s="12" t="n">
        <f aca="false">COUNTA(Q339:V339)</f>
        <v>1</v>
      </c>
      <c r="X339" s="14" t="n">
        <f aca="false">IF(P339=0,"",MIN(1,AVERAGE(M339:O339)+Critérios!$B$5*W339))</f>
        <v>0.14635</v>
      </c>
      <c r="Y339" s="12" t="str">
        <f aca="false">IF(X339="","",IF(X339&gt;=Critérios!$B$7,"A",IF(X339&gt;=Critérios!$B$8,"B","C")))</f>
        <v>C</v>
      </c>
      <c r="Z339" s="12" t="n">
        <f aca="false">IF(X339="","",RANK(X339,$X$2:$X$354))</f>
        <v>338</v>
      </c>
      <c r="AA339" s="12" t="str">
        <f aca="false">IF(X339="","Sairia — sem métrica",IF(PERCENTRANK($X$2:$X$354,X339)&lt;Critérios!$B$6,"Sairia — terço inferior","Fica"))</f>
        <v>Sairia — terço inferior</v>
      </c>
      <c r="AB339" s="12" t="s">
        <v>105</v>
      </c>
      <c r="AC339" s="12" t="s">
        <v>719</v>
      </c>
      <c r="AD339" s="15" t="s">
        <v>95</v>
      </c>
      <c r="AE339" s="16"/>
      <c r="AF339" s="12" t="s">
        <v>931</v>
      </c>
      <c r="AG339" s="12" t="s">
        <v>1746</v>
      </c>
      <c r="AH339" s="12" t="n">
        <f aca="false">COUNT(G339,I339,K339)+COUNTA(Q339:V339)</f>
        <v>3</v>
      </c>
      <c r="AI339" s="12" t="str">
        <f aca="false">IF(AH339&gt;=3,"Sim","Não")</f>
        <v>Sim</v>
      </c>
      <c r="AJ339" s="12" t="str">
        <f aca="false">IF(AND(Z339&lt;&gt;"",Z339&lt;=Critérios!$B$9),"Sim","Não")</f>
        <v>Não</v>
      </c>
    </row>
    <row r="340" customFormat="false" ht="15" hidden="false" customHeight="false" outlineLevel="0" collapsed="false">
      <c r="A340" s="12" t="s">
        <v>1747</v>
      </c>
      <c r="B340" s="12" t="s">
        <v>1748</v>
      </c>
      <c r="C340" s="12" t="s">
        <v>1749</v>
      </c>
      <c r="D340" s="12" t="s">
        <v>265</v>
      </c>
      <c r="E340" s="12" t="s">
        <v>91</v>
      </c>
      <c r="F340" s="12" t="s">
        <v>92</v>
      </c>
      <c r="G340" s="13" t="n">
        <v>1337736</v>
      </c>
      <c r="H340" s="13" t="n">
        <v>32460000</v>
      </c>
      <c r="I340" s="17"/>
      <c r="K340" s="13" t="n">
        <v>168447</v>
      </c>
      <c r="L340" s="12" t="n">
        <v>6.4</v>
      </c>
      <c r="M340" s="14" t="n">
        <f aca="false">IF(G340="","",PERCENTRANK($G$2:$G$354,G340))</f>
        <v>0.101</v>
      </c>
      <c r="N340" s="14" t="str">
        <f aca="false">IF(I340="","",PERCENTRANK($I$2:$I$354,I340))</f>
        <v/>
      </c>
      <c r="O340" s="14" t="n">
        <f aca="false">IF(K340="","",PERCENTRANK($K$2:$K$354,K340))</f>
        <v>0.131</v>
      </c>
      <c r="P340" s="12" t="n">
        <f aca="false">COUNT(M340:O340)</f>
        <v>2</v>
      </c>
      <c r="R340" s="12" t="s">
        <v>1750</v>
      </c>
      <c r="W340" s="12" t="n">
        <f aca="false">COUNTA(Q340:V340)</f>
        <v>1</v>
      </c>
      <c r="X340" s="14" t="n">
        <f aca="false">IF(P340=0,"",MIN(1,AVERAGE(M340:O340)+Critérios!$B$5*W340))</f>
        <v>0.146</v>
      </c>
      <c r="Y340" s="12" t="str">
        <f aca="false">IF(X340="","",IF(X340&gt;=Critérios!$B$7,"A",IF(X340&gt;=Critérios!$B$8,"B","C")))</f>
        <v>C</v>
      </c>
      <c r="Z340" s="12" t="n">
        <f aca="false">IF(X340="","",RANK(X340,$X$2:$X$354))</f>
        <v>339</v>
      </c>
      <c r="AA340" s="12" t="str">
        <f aca="false">IF(X340="","Sairia — sem métrica",IF(PERCENTRANK($X$2:$X$354,X340)&lt;Critérios!$B$6,"Sairia — terço inferior","Fica"))</f>
        <v>Sairia — terço inferior</v>
      </c>
      <c r="AB340" s="12" t="s">
        <v>105</v>
      </c>
      <c r="AC340" s="12" t="s">
        <v>267</v>
      </c>
      <c r="AD340" s="15" t="s">
        <v>95</v>
      </c>
      <c r="AE340" s="16"/>
      <c r="AF340" s="12" t="s">
        <v>1087</v>
      </c>
      <c r="AG340" s="12" t="s">
        <v>1751</v>
      </c>
      <c r="AH340" s="12" t="n">
        <f aca="false">COUNT(G340,I340,K340)+COUNTA(Q340:V340)</f>
        <v>3</v>
      </c>
      <c r="AI340" s="12" t="str">
        <f aca="false">IF(AH340&gt;=3,"Sim","Não")</f>
        <v>Sim</v>
      </c>
      <c r="AJ340" s="12" t="str">
        <f aca="false">IF(AND(Z340&lt;&gt;"",Z340&lt;=Critérios!$B$9),"Sim","Não")</f>
        <v>Não</v>
      </c>
    </row>
    <row r="341" customFormat="false" ht="15" hidden="false" customHeight="false" outlineLevel="0" collapsed="false">
      <c r="A341" s="12" t="s">
        <v>1752</v>
      </c>
      <c r="B341" s="12" t="s">
        <v>1753</v>
      </c>
      <c r="C341" s="12" t="s">
        <v>1753</v>
      </c>
      <c r="D341" s="12" t="s">
        <v>101</v>
      </c>
      <c r="E341" s="12" t="s">
        <v>91</v>
      </c>
      <c r="F341" s="12" t="s">
        <v>92</v>
      </c>
      <c r="G341" s="13" t="n">
        <v>1438833</v>
      </c>
      <c r="H341" s="13" t="n">
        <v>24146823</v>
      </c>
      <c r="I341" s="13" t="n">
        <v>408668500</v>
      </c>
      <c r="J341" s="12" t="n">
        <v>10</v>
      </c>
      <c r="K341" s="13" t="n">
        <v>104205</v>
      </c>
      <c r="L341" s="12" t="n">
        <v>7.3</v>
      </c>
      <c r="M341" s="14" t="n">
        <f aca="false">IF(G341="","",PERCENTRANK($G$2:$G$354,G341))</f>
        <v>0.118</v>
      </c>
      <c r="N341" s="14" t="n">
        <f aca="false">IF(I341="","",PERCENTRANK($I$2:$I$354,I341))</f>
        <v>0.0763</v>
      </c>
      <c r="O341" s="14" t="n">
        <f aca="false">IF(K341="","",PERCENTRANK($K$2:$K$354,K341))</f>
        <v>0.0653</v>
      </c>
      <c r="P341" s="12" t="n">
        <f aca="false">COUNT(M341:O341)</f>
        <v>3</v>
      </c>
      <c r="S341" s="12" t="s">
        <v>1754</v>
      </c>
      <c r="W341" s="12" t="n">
        <f aca="false">COUNTA(Q341:V341)</f>
        <v>1</v>
      </c>
      <c r="X341" s="14" t="n">
        <f aca="false">IF(P341=0,"",MIN(1,AVERAGE(M341:O341)+Critérios!$B$5*W341))</f>
        <v>0.116533333333333</v>
      </c>
      <c r="Y341" s="12" t="str">
        <f aca="false">IF(X341="","",IF(X341&gt;=Critérios!$B$7,"A",IF(X341&gt;=Critérios!$B$8,"B","C")))</f>
        <v>C</v>
      </c>
      <c r="Z341" s="12" t="n">
        <f aca="false">IF(X341="","",RANK(X341,$X$2:$X$354))</f>
        <v>340</v>
      </c>
      <c r="AA341" s="12" t="str">
        <f aca="false">IF(X341="","Sairia — sem métrica",IF(PERCENTRANK($X$2:$X$354,X341)&lt;Critérios!$B$6,"Sairia — terço inferior","Fica"))</f>
        <v>Sairia — terço inferior</v>
      </c>
      <c r="AB341" s="12" t="s">
        <v>105</v>
      </c>
      <c r="AD341" s="15" t="s">
        <v>95</v>
      </c>
      <c r="AE341" s="16"/>
      <c r="AF341" s="12" t="s">
        <v>1755</v>
      </c>
      <c r="AG341" s="12" t="s">
        <v>1756</v>
      </c>
      <c r="AH341" s="12" t="n">
        <f aca="false">COUNT(G341,I341,K341)+COUNTA(Q341:V341)</f>
        <v>4</v>
      </c>
      <c r="AI341" s="12" t="str">
        <f aca="false">IF(AH341&gt;=3,"Sim","Não")</f>
        <v>Sim</v>
      </c>
      <c r="AJ341" s="12" t="str">
        <f aca="false">IF(AND(Z341&lt;&gt;"",Z341&lt;=Critérios!$B$9),"Sim","Não")</f>
        <v>Não</v>
      </c>
    </row>
    <row r="342" customFormat="false" ht="15" hidden="false" customHeight="false" outlineLevel="0" collapsed="false">
      <c r="A342" s="12" t="s">
        <v>1757</v>
      </c>
      <c r="B342" s="12" t="s">
        <v>1758</v>
      </c>
      <c r="C342" s="12" t="s">
        <v>1758</v>
      </c>
      <c r="D342" s="12" t="s">
        <v>118</v>
      </c>
      <c r="E342" s="12" t="s">
        <v>91</v>
      </c>
      <c r="F342" s="12" t="s">
        <v>674</v>
      </c>
      <c r="G342" s="17"/>
      <c r="H342" s="17"/>
      <c r="I342" s="17"/>
      <c r="K342" s="13" t="n">
        <v>95983</v>
      </c>
      <c r="L342" s="12" t="n">
        <v>6.7</v>
      </c>
      <c r="M342" s="14" t="str">
        <f aca="false">IF(G342="","",PERCENTRANK($G$2:$G$354,G342))</f>
        <v/>
      </c>
      <c r="N342" s="14" t="str">
        <f aca="false">IF(I342="","",PERCENTRANK($I$2:$I$354,I342))</f>
        <v/>
      </c>
      <c r="O342" s="14" t="n">
        <f aca="false">IF(K342="","",PERCENTRANK($K$2:$K$354,K342))</f>
        <v>0.054</v>
      </c>
      <c r="P342" s="12" t="n">
        <f aca="false">COUNT(M342:O342)</f>
        <v>1</v>
      </c>
      <c r="Q342" s="12" t="s">
        <v>1759</v>
      </c>
      <c r="T342" s="12" t="s">
        <v>1760</v>
      </c>
      <c r="W342" s="12" t="n">
        <f aca="false">COUNTA(Q342:V342)</f>
        <v>2</v>
      </c>
      <c r="X342" s="14" t="n">
        <f aca="false">IF(P342=0,"",MIN(1,AVERAGE(M342:O342)+Critérios!$B$5*W342))</f>
        <v>0.114</v>
      </c>
      <c r="Y342" s="12" t="str">
        <f aca="false">IF(X342="","",IF(X342&gt;=Critérios!$B$7,"A",IF(X342&gt;=Critérios!$B$8,"B","C")))</f>
        <v>C</v>
      </c>
      <c r="Z342" s="12" t="n">
        <f aca="false">IF(X342="","",RANK(X342,$X$2:$X$354))</f>
        <v>341</v>
      </c>
      <c r="AA342" s="12" t="str">
        <f aca="false">IF(X342="","Sairia — sem métrica",IF(PERCENTRANK($X$2:$X$354,X342)&lt;Critérios!$B$6,"Sairia — terço inferior","Fica"))</f>
        <v>Sairia — terço inferior</v>
      </c>
      <c r="AB342" s="12" t="s">
        <v>105</v>
      </c>
      <c r="AD342" s="15" t="s">
        <v>95</v>
      </c>
      <c r="AE342" s="16"/>
      <c r="AG342" s="12" t="s">
        <v>1761</v>
      </c>
      <c r="AH342" s="12" t="n">
        <f aca="false">COUNT(G342,I342,K342)+COUNTA(Q342:V342)</f>
        <v>3</v>
      </c>
      <c r="AI342" s="12" t="str">
        <f aca="false">IF(AH342&gt;=3,"Sim","Não")</f>
        <v>Sim</v>
      </c>
      <c r="AJ342" s="12" t="str">
        <f aca="false">IF(AND(Z342&lt;&gt;"",Z342&lt;=Critérios!$B$9),"Sim","Não")</f>
        <v>Não</v>
      </c>
    </row>
    <row r="343" customFormat="false" ht="15" hidden="false" customHeight="false" outlineLevel="0" collapsed="false">
      <c r="A343" s="12" t="s">
        <v>1762</v>
      </c>
      <c r="B343" s="12" t="s">
        <v>1763</v>
      </c>
      <c r="C343" s="12" t="s">
        <v>1764</v>
      </c>
      <c r="D343" s="12" t="s">
        <v>500</v>
      </c>
      <c r="E343" s="12" t="s">
        <v>91</v>
      </c>
      <c r="F343" s="12" t="s">
        <v>92</v>
      </c>
      <c r="G343" s="13" t="n">
        <v>1151743</v>
      </c>
      <c r="H343" s="13" t="n">
        <v>8381397</v>
      </c>
      <c r="I343" s="13" t="n">
        <v>384335608</v>
      </c>
      <c r="J343" s="12" t="n">
        <v>10</v>
      </c>
      <c r="K343" s="13" t="n">
        <v>216332</v>
      </c>
      <c r="L343" s="12" t="n">
        <v>6.4</v>
      </c>
      <c r="M343" s="14" t="n">
        <f aca="false">IF(G343="","",PERCENTRANK($G$2:$G$354,G343))</f>
        <v>0.0719</v>
      </c>
      <c r="N343" s="14" t="n">
        <f aca="false">IF(I343="","",PERCENTRANK($I$2:$I$354,I343))</f>
        <v>0.0551</v>
      </c>
      <c r="O343" s="14" t="n">
        <f aca="false">IF(K343="","",PERCENTRANK($K$2:$K$354,K343))</f>
        <v>0.213</v>
      </c>
      <c r="P343" s="12" t="n">
        <f aca="false">COUNT(M343:O343)</f>
        <v>3</v>
      </c>
      <c r="W343" s="12" t="n">
        <f aca="false">COUNTA(Q343:V343)</f>
        <v>0</v>
      </c>
      <c r="X343" s="14" t="n">
        <f aca="false">IF(P343=0,"",MIN(1,AVERAGE(M343:O343)+Critérios!$B$5*W343))</f>
        <v>0.113333333333333</v>
      </c>
      <c r="Y343" s="12" t="str">
        <f aca="false">IF(X343="","",IF(X343&gt;=Critérios!$B$7,"A",IF(X343&gt;=Critérios!$B$8,"B","C")))</f>
        <v>C</v>
      </c>
      <c r="Z343" s="12" t="n">
        <f aca="false">IF(X343="","",RANK(X343,$X$2:$X$354))</f>
        <v>342</v>
      </c>
      <c r="AA343" s="12" t="str">
        <f aca="false">IF(X343="","Sairia — sem métrica",IF(PERCENTRANK($X$2:$X$354,X343)&lt;Critérios!$B$6,"Sairia — terço inferior","Fica"))</f>
        <v>Sairia — terço inferior</v>
      </c>
      <c r="AB343" s="12" t="s">
        <v>105</v>
      </c>
      <c r="AD343" s="15" t="s">
        <v>95</v>
      </c>
      <c r="AE343" s="16"/>
      <c r="AF343" s="12" t="s">
        <v>501</v>
      </c>
      <c r="AG343" s="12" t="s">
        <v>1765</v>
      </c>
      <c r="AH343" s="12" t="n">
        <f aca="false">COUNT(G343,I343,K343)+COUNTA(Q343:V343)</f>
        <v>3</v>
      </c>
      <c r="AI343" s="12" t="str">
        <f aca="false">IF(AH343&gt;=3,"Sim","Não")</f>
        <v>Sim</v>
      </c>
      <c r="AJ343" s="12" t="str">
        <f aca="false">IF(AND(Z343&lt;&gt;"",Z343&lt;=Critérios!$B$9),"Sim","Não")</f>
        <v>Não</v>
      </c>
    </row>
    <row r="344" customFormat="false" ht="15" hidden="false" customHeight="false" outlineLevel="0" collapsed="false">
      <c r="A344" s="12" t="s">
        <v>1766</v>
      </c>
      <c r="B344" s="12" t="s">
        <v>1767</v>
      </c>
      <c r="C344" s="12"/>
      <c r="D344" s="12" t="s">
        <v>265</v>
      </c>
      <c r="E344" s="12" t="s">
        <v>91</v>
      </c>
      <c r="F344" s="12" t="s">
        <v>92</v>
      </c>
      <c r="G344" s="13" t="n">
        <v>1490700</v>
      </c>
      <c r="H344" s="13" t="n">
        <v>35190000</v>
      </c>
      <c r="I344" s="17"/>
      <c r="K344" s="13" t="n">
        <v>15113</v>
      </c>
      <c r="L344" s="12" t="n">
        <v>6</v>
      </c>
      <c r="M344" s="14" t="n">
        <f aca="false">IF(G344="","",PERCENTRANK($G$2:$G$354,G344))</f>
        <v>0.127</v>
      </c>
      <c r="N344" s="14" t="str">
        <f aca="false">IF(I344="","",PERCENTRANK($I$2:$I$354,I344))</f>
        <v/>
      </c>
      <c r="O344" s="14" t="n">
        <f aca="false">IF(K344="","",PERCENTRANK($K$2:$K$354,K344))</f>
        <v>0.017</v>
      </c>
      <c r="P344" s="12" t="n">
        <f aca="false">COUNT(M344:O344)</f>
        <v>2</v>
      </c>
      <c r="R344" s="12" t="s">
        <v>1768</v>
      </c>
      <c r="W344" s="12" t="n">
        <f aca="false">COUNTA(Q344:V344)</f>
        <v>1</v>
      </c>
      <c r="X344" s="14" t="n">
        <f aca="false">IF(P344=0,"",MIN(1,AVERAGE(M344:O344)+Critérios!$B$5*W344))</f>
        <v>0.102</v>
      </c>
      <c r="Y344" s="12" t="str">
        <f aca="false">IF(X344="","",IF(X344&gt;=Critérios!$B$7,"A",IF(X344&gt;=Critérios!$B$8,"B","C")))</f>
        <v>C</v>
      </c>
      <c r="Z344" s="12" t="n">
        <f aca="false">IF(X344="","",RANK(X344,$X$2:$X$354))</f>
        <v>343</v>
      </c>
      <c r="AA344" s="12" t="str">
        <f aca="false">IF(X344="","Sairia — sem métrica",IF(PERCENTRANK($X$2:$X$354,X344)&lt;Critérios!$B$6,"Sairia — terço inferior","Fica"))</f>
        <v>Sairia — terço inferior</v>
      </c>
      <c r="AB344" s="12" t="s">
        <v>105</v>
      </c>
      <c r="AC344" s="12" t="s">
        <v>267</v>
      </c>
      <c r="AD344" s="15" t="s">
        <v>95</v>
      </c>
      <c r="AE344" s="16"/>
      <c r="AF344" s="12" t="s">
        <v>1087</v>
      </c>
      <c r="AG344" s="12" t="s">
        <v>1769</v>
      </c>
      <c r="AH344" s="12" t="n">
        <f aca="false">COUNT(G344,I344,K344)+COUNTA(Q344:V344)</f>
        <v>3</v>
      </c>
      <c r="AI344" s="12" t="str">
        <f aca="false">IF(AH344&gt;=3,"Sim","Não")</f>
        <v>Sim</v>
      </c>
      <c r="AJ344" s="12" t="str">
        <f aca="false">IF(AND(Z344&lt;&gt;"",Z344&lt;=Critérios!$B$9),"Sim","Não")</f>
        <v>Não</v>
      </c>
    </row>
    <row r="345" customFormat="false" ht="15" hidden="false" customHeight="false" outlineLevel="0" collapsed="false">
      <c r="A345" s="12" t="s">
        <v>1770</v>
      </c>
      <c r="B345" s="12" t="s">
        <v>1771</v>
      </c>
      <c r="C345" s="12" t="s">
        <v>1772</v>
      </c>
      <c r="D345" s="12" t="s">
        <v>273</v>
      </c>
      <c r="E345" s="12" t="s">
        <v>91</v>
      </c>
      <c r="F345" s="12" t="s">
        <v>92</v>
      </c>
      <c r="G345" s="13" t="n">
        <v>1553583</v>
      </c>
      <c r="H345" s="13" t="n">
        <v>10390800</v>
      </c>
      <c r="I345" s="13" t="n">
        <v>368744044</v>
      </c>
      <c r="J345" s="12" t="n">
        <v>9</v>
      </c>
      <c r="K345" s="13" t="n">
        <v>152523</v>
      </c>
      <c r="L345" s="12" t="n">
        <v>6.6</v>
      </c>
      <c r="M345" s="14" t="n">
        <f aca="false">IF(G345="","",PERCENTRANK($G$2:$G$354,G345))</f>
        <v>0.137</v>
      </c>
      <c r="N345" s="14" t="n">
        <f aca="false">IF(I345="","",PERCENTRANK($I$2:$I$354,I345))</f>
        <v>0.0297</v>
      </c>
      <c r="O345" s="14" t="n">
        <f aca="false">IF(K345="","",PERCENTRANK($K$2:$K$354,K345))</f>
        <v>0.122</v>
      </c>
      <c r="P345" s="12" t="n">
        <f aca="false">COUNT(M345:O345)</f>
        <v>3</v>
      </c>
      <c r="W345" s="12" t="n">
        <f aca="false">COUNTA(Q345:V345)</f>
        <v>0</v>
      </c>
      <c r="X345" s="14" t="n">
        <f aca="false">IF(P345=0,"",MIN(1,AVERAGE(M345:O345)+Critérios!$B$5*W345))</f>
        <v>0.0962333333333333</v>
      </c>
      <c r="Y345" s="12" t="str">
        <f aca="false">IF(X345="","",IF(X345&gt;=Critérios!$B$7,"A",IF(X345&gt;=Critérios!$B$8,"B","C")))</f>
        <v>C</v>
      </c>
      <c r="Z345" s="12" t="n">
        <f aca="false">IF(X345="","",RANK(X345,$X$2:$X$354))</f>
        <v>344</v>
      </c>
      <c r="AA345" s="12" t="str">
        <f aca="false">IF(X345="","Sairia — sem métrica",IF(PERCENTRANK($X$2:$X$354,X345)&lt;Critérios!$B$6,"Sairia — terço inferior","Fica"))</f>
        <v>Sairia — terço inferior</v>
      </c>
      <c r="AB345" s="12" t="s">
        <v>105</v>
      </c>
      <c r="AD345" s="15" t="s">
        <v>95</v>
      </c>
      <c r="AE345" s="16"/>
      <c r="AF345" s="12" t="s">
        <v>275</v>
      </c>
      <c r="AG345" s="12" t="s">
        <v>1773</v>
      </c>
      <c r="AH345" s="12" t="n">
        <f aca="false">COUNT(G345,I345,K345)+COUNTA(Q345:V345)</f>
        <v>3</v>
      </c>
      <c r="AI345" s="12" t="str">
        <f aca="false">IF(AH345&gt;=3,"Sim","Não")</f>
        <v>Sim</v>
      </c>
      <c r="AJ345" s="12" t="str">
        <f aca="false">IF(AND(Z345&lt;&gt;"",Z345&lt;=Critérios!$B$9),"Sim","Não")</f>
        <v>Não</v>
      </c>
    </row>
    <row r="346" customFormat="false" ht="15" hidden="false" customHeight="false" outlineLevel="0" collapsed="false">
      <c r="A346" s="12" t="s">
        <v>1774</v>
      </c>
      <c r="B346" s="12" t="s">
        <v>1775</v>
      </c>
      <c r="C346" s="12"/>
      <c r="D346" s="12" t="s">
        <v>265</v>
      </c>
      <c r="E346" s="12" t="s">
        <v>91</v>
      </c>
      <c r="F346" s="12" t="s">
        <v>92</v>
      </c>
      <c r="G346" s="13" t="n">
        <v>1145730</v>
      </c>
      <c r="H346" s="13" t="n">
        <v>24560000</v>
      </c>
      <c r="I346" s="17"/>
      <c r="K346" s="13" t="n">
        <v>100596</v>
      </c>
      <c r="L346" s="12" t="n">
        <v>7.6</v>
      </c>
      <c r="M346" s="14" t="n">
        <f aca="false">IF(G346="","",PERCENTRANK($G$2:$G$354,G346))</f>
        <v>0.0686</v>
      </c>
      <c r="N346" s="14" t="str">
        <f aca="false">IF(I346="","",PERCENTRANK($I$2:$I$354,I346))</f>
        <v/>
      </c>
      <c r="O346" s="14" t="n">
        <f aca="false">IF(K346="","",PERCENTRANK($K$2:$K$354,K346))</f>
        <v>0.0625</v>
      </c>
      <c r="P346" s="12" t="n">
        <f aca="false">COUNT(M346:O346)</f>
        <v>2</v>
      </c>
      <c r="R346" s="12" t="s">
        <v>1776</v>
      </c>
      <c r="W346" s="12" t="n">
        <f aca="false">COUNTA(Q346:V346)</f>
        <v>1</v>
      </c>
      <c r="X346" s="14" t="n">
        <f aca="false">IF(P346=0,"",MIN(1,AVERAGE(M346:O346)+Critérios!$B$5*W346))</f>
        <v>0.09555</v>
      </c>
      <c r="Y346" s="12" t="str">
        <f aca="false">IF(X346="","",IF(X346&gt;=Critérios!$B$7,"A",IF(X346&gt;=Critérios!$B$8,"B","C")))</f>
        <v>C</v>
      </c>
      <c r="Z346" s="12" t="n">
        <f aca="false">IF(X346="","",RANK(X346,$X$2:$X$354))</f>
        <v>345</v>
      </c>
      <c r="AA346" s="12" t="str">
        <f aca="false">IF(X346="","Sairia — sem métrica",IF(PERCENTRANK($X$2:$X$354,X346)&lt;Critérios!$B$6,"Sairia — terço inferior","Fica"))</f>
        <v>Sairia — terço inferior</v>
      </c>
      <c r="AB346" s="12" t="s">
        <v>105</v>
      </c>
      <c r="AC346" s="12" t="s">
        <v>267</v>
      </c>
      <c r="AD346" s="15" t="s">
        <v>95</v>
      </c>
      <c r="AE346" s="16"/>
      <c r="AF346" s="12" t="s">
        <v>1087</v>
      </c>
      <c r="AG346" s="12" t="s">
        <v>1777</v>
      </c>
      <c r="AH346" s="12" t="n">
        <f aca="false">COUNT(G346,I346,K346)+COUNTA(Q346:V346)</f>
        <v>3</v>
      </c>
      <c r="AI346" s="12" t="str">
        <f aca="false">IF(AH346&gt;=3,"Sim","Não")</f>
        <v>Sim</v>
      </c>
      <c r="AJ346" s="12" t="str">
        <f aca="false">IF(AND(Z346&lt;&gt;"",Z346&lt;=Critérios!$B$9),"Sim","Não")</f>
        <v>Não</v>
      </c>
    </row>
    <row r="347" customFormat="false" ht="15" hidden="false" customHeight="false" outlineLevel="0" collapsed="false">
      <c r="A347" s="12" t="s">
        <v>1778</v>
      </c>
      <c r="B347" s="12" t="s">
        <v>1779</v>
      </c>
      <c r="C347" s="12" t="s">
        <v>1780</v>
      </c>
      <c r="D347" s="12" t="s">
        <v>265</v>
      </c>
      <c r="E347" s="12" t="s">
        <v>91</v>
      </c>
      <c r="F347" s="12" t="s">
        <v>92</v>
      </c>
      <c r="G347" s="13" t="n">
        <v>719102</v>
      </c>
      <c r="H347" s="13" t="n">
        <v>16530636</v>
      </c>
      <c r="I347" s="17"/>
      <c r="K347" s="13" t="n">
        <v>136052</v>
      </c>
      <c r="L347" s="12" t="n">
        <v>7.1</v>
      </c>
      <c r="M347" s="14" t="n">
        <f aca="false">IF(G347="","",PERCENTRANK($G$2:$G$354,G347))</f>
        <v>0.0294</v>
      </c>
      <c r="N347" s="14" t="str">
        <f aca="false">IF(I347="","",PERCENTRANK($I$2:$I$354,I347))</f>
        <v/>
      </c>
      <c r="O347" s="14" t="n">
        <f aca="false">IF(K347="","",PERCENTRANK($K$2:$K$354,K347))</f>
        <v>0.0966</v>
      </c>
      <c r="P347" s="12" t="n">
        <f aca="false">COUNT(M347:O347)</f>
        <v>2</v>
      </c>
      <c r="R347" s="12" t="s">
        <v>1781</v>
      </c>
      <c r="W347" s="12" t="n">
        <f aca="false">COUNTA(Q347:V347)</f>
        <v>1</v>
      </c>
      <c r="X347" s="14" t="n">
        <f aca="false">IF(P347=0,"",MIN(1,AVERAGE(M347:O347)+Critérios!$B$5*W347))</f>
        <v>0.093</v>
      </c>
      <c r="Y347" s="12" t="str">
        <f aca="false">IF(X347="","",IF(X347&gt;=Critérios!$B$7,"A",IF(X347&gt;=Critérios!$B$8,"B","C")))</f>
        <v>C</v>
      </c>
      <c r="Z347" s="12" t="n">
        <f aca="false">IF(X347="","",RANK(X347,$X$2:$X$354))</f>
        <v>346</v>
      </c>
      <c r="AA347" s="12" t="str">
        <f aca="false">IF(X347="","Sairia — sem métrica",IF(PERCENTRANK($X$2:$X$354,X347)&lt;Critérios!$B$6,"Sairia — terço inferior","Fica"))</f>
        <v>Sairia — terço inferior</v>
      </c>
      <c r="AB347" s="12" t="s">
        <v>105</v>
      </c>
      <c r="AC347" s="12" t="s">
        <v>267</v>
      </c>
      <c r="AD347" s="15" t="s">
        <v>95</v>
      </c>
      <c r="AE347" s="16"/>
      <c r="AF347" s="12" t="s">
        <v>1087</v>
      </c>
      <c r="AG347" s="12" t="s">
        <v>1782</v>
      </c>
      <c r="AH347" s="12" t="n">
        <f aca="false">COUNT(G347,I347,K347)+COUNTA(Q347:V347)</f>
        <v>3</v>
      </c>
      <c r="AI347" s="12" t="str">
        <f aca="false">IF(AH347&gt;=3,"Sim","Não")</f>
        <v>Sim</v>
      </c>
      <c r="AJ347" s="12" t="str">
        <f aca="false">IF(AND(Z347&lt;&gt;"",Z347&lt;=Critérios!$B$9),"Sim","Não")</f>
        <v>Não</v>
      </c>
    </row>
    <row r="348" customFormat="false" ht="15" hidden="false" customHeight="false" outlineLevel="0" collapsed="false">
      <c r="A348" s="12" t="s">
        <v>1783</v>
      </c>
      <c r="B348" s="12" t="s">
        <v>1784</v>
      </c>
      <c r="C348" s="12" t="s">
        <v>1785</v>
      </c>
      <c r="D348" s="12" t="s">
        <v>1103</v>
      </c>
      <c r="E348" s="12" t="s">
        <v>91</v>
      </c>
      <c r="F348" s="12" t="s">
        <v>92</v>
      </c>
      <c r="G348" s="13" t="n">
        <v>362322</v>
      </c>
      <c r="H348" s="13" t="n">
        <v>5551373</v>
      </c>
      <c r="I348" s="17"/>
      <c r="K348" s="13" t="n">
        <v>104382</v>
      </c>
      <c r="L348" s="12" t="n">
        <v>5.3</v>
      </c>
      <c r="M348" s="14" t="n">
        <f aca="false">IF(G348="","",PERCENTRANK($G$2:$G$354,G348))</f>
        <v>0.0163</v>
      </c>
      <c r="N348" s="14" t="str">
        <f aca="false">IF(I348="","",PERCENTRANK($I$2:$I$354,I348))</f>
        <v/>
      </c>
      <c r="O348" s="14" t="n">
        <f aca="false">IF(K348="","",PERCENTRANK($K$2:$K$354,K348))</f>
        <v>0.0682</v>
      </c>
      <c r="P348" s="12" t="n">
        <f aca="false">COUNT(M348:O348)</f>
        <v>2</v>
      </c>
      <c r="Q348" s="12" t="s">
        <v>1786</v>
      </c>
      <c r="W348" s="12" t="n">
        <f aca="false">COUNTA(Q348:V348)</f>
        <v>1</v>
      </c>
      <c r="X348" s="14" t="n">
        <f aca="false">IF(P348=0,"",MIN(1,AVERAGE(M348:O348)+Critérios!$B$5*W348))</f>
        <v>0.07225</v>
      </c>
      <c r="Y348" s="12" t="str">
        <f aca="false">IF(X348="","",IF(X348&gt;=Critérios!$B$7,"A",IF(X348&gt;=Critérios!$B$8,"B","C")))</f>
        <v>C</v>
      </c>
      <c r="Z348" s="12" t="n">
        <f aca="false">IF(X348="","",RANK(X348,$X$2:$X$354))</f>
        <v>347</v>
      </c>
      <c r="AA348" s="12" t="str">
        <f aca="false">IF(X348="","Sairia — sem métrica",IF(PERCENTRANK($X$2:$X$354,X348)&lt;Critérios!$B$6,"Sairia — terço inferior","Fica"))</f>
        <v>Sairia — terço inferior</v>
      </c>
      <c r="AB348" s="12" t="s">
        <v>105</v>
      </c>
      <c r="AD348" s="15" t="s">
        <v>95</v>
      </c>
      <c r="AE348" s="16"/>
      <c r="AF348" s="12" t="s">
        <v>937</v>
      </c>
      <c r="AG348" s="12" t="s">
        <v>1787</v>
      </c>
      <c r="AH348" s="12" t="n">
        <f aca="false">COUNT(G348,I348,K348)+COUNTA(Q348:V348)</f>
        <v>3</v>
      </c>
      <c r="AI348" s="12" t="str">
        <f aca="false">IF(AH348&gt;=3,"Sim","Não")</f>
        <v>Sim</v>
      </c>
      <c r="AJ348" s="12" t="str">
        <f aca="false">IF(AND(Z348&lt;&gt;"",Z348&lt;=Critérios!$B$9),"Sim","Não")</f>
        <v>Não</v>
      </c>
    </row>
    <row r="349" customFormat="false" ht="15" hidden="false" customHeight="false" outlineLevel="0" collapsed="false">
      <c r="A349" s="12" t="s">
        <v>1788</v>
      </c>
      <c r="B349" s="12" t="s">
        <v>1789</v>
      </c>
      <c r="C349" s="12"/>
      <c r="D349" s="12" t="s">
        <v>90</v>
      </c>
      <c r="E349" s="12" t="s">
        <v>583</v>
      </c>
      <c r="F349" s="12" t="s">
        <v>92</v>
      </c>
      <c r="G349" s="13" t="n">
        <v>741977</v>
      </c>
      <c r="H349" s="13" t="n">
        <v>11284729</v>
      </c>
      <c r="I349" s="17"/>
      <c r="K349" s="13" t="n">
        <v>35541</v>
      </c>
      <c r="L349" s="12" t="n">
        <v>7.3</v>
      </c>
      <c r="M349" s="14" t="n">
        <f aca="false">IF(G349="","",PERCENTRANK($G$2:$G$354,G349))</f>
        <v>0.0359</v>
      </c>
      <c r="N349" s="14" t="str">
        <f aca="false">IF(I349="","",PERCENTRANK($I$2:$I$354,I349))</f>
        <v/>
      </c>
      <c r="O349" s="14" t="n">
        <f aca="false">IF(K349="","",PERCENTRANK($K$2:$K$354,K349))</f>
        <v>0.0284</v>
      </c>
      <c r="P349" s="12" t="n">
        <f aca="false">COUNT(M349:O349)</f>
        <v>2</v>
      </c>
      <c r="Q349" s="12" t="s">
        <v>1790</v>
      </c>
      <c r="W349" s="12" t="n">
        <f aca="false">COUNTA(Q349:V349)</f>
        <v>1</v>
      </c>
      <c r="X349" s="14" t="n">
        <f aca="false">IF(P349=0,"",MIN(1,AVERAGE(M349:O349)+Critérios!$B$5*W349))</f>
        <v>0.06215</v>
      </c>
      <c r="Y349" s="12" t="str">
        <f aca="false">IF(X349="","",IF(X349&gt;=Critérios!$B$7,"A",IF(X349&gt;=Critérios!$B$8,"B","C")))</f>
        <v>C</v>
      </c>
      <c r="Z349" s="12" t="n">
        <f aca="false">IF(X349="","",RANK(X349,$X$2:$X$354))</f>
        <v>348</v>
      </c>
      <c r="AA349" s="12" t="str">
        <f aca="false">IF(X349="","Sairia — sem métrica",IF(PERCENTRANK($X$2:$X$354,X349)&lt;Critérios!$B$6,"Sairia — terço inferior","Fica"))</f>
        <v>Sairia — terço inferior</v>
      </c>
      <c r="AB349" s="12" t="s">
        <v>105</v>
      </c>
      <c r="AD349" s="15" t="s">
        <v>95</v>
      </c>
      <c r="AE349" s="16"/>
      <c r="AF349" s="12" t="s">
        <v>1791</v>
      </c>
      <c r="AG349" s="12" t="s">
        <v>1792</v>
      </c>
      <c r="AH349" s="12" t="n">
        <f aca="false">COUNT(G349,I349,K349)+COUNTA(Q349:V349)</f>
        <v>3</v>
      </c>
      <c r="AI349" s="12" t="str">
        <f aca="false">IF(AH349&gt;=3,"Sim","Não")</f>
        <v>Sim</v>
      </c>
      <c r="AJ349" s="12" t="str">
        <f aca="false">IF(AND(Z349&lt;&gt;"",Z349&lt;=Critérios!$B$9),"Sim","Não")</f>
        <v>Não</v>
      </c>
    </row>
    <row r="350" customFormat="false" ht="15" hidden="false" customHeight="false" outlineLevel="0" collapsed="false">
      <c r="A350" s="12" t="s">
        <v>1793</v>
      </c>
      <c r="B350" s="12" t="s">
        <v>1794</v>
      </c>
      <c r="C350" s="12" t="s">
        <v>1795</v>
      </c>
      <c r="D350" s="12" t="s">
        <v>101</v>
      </c>
      <c r="E350" s="12" t="s">
        <v>91</v>
      </c>
      <c r="F350" s="12" t="s">
        <v>92</v>
      </c>
      <c r="G350" s="13" t="n">
        <v>723008</v>
      </c>
      <c r="H350" s="13" t="n">
        <v>11892534</v>
      </c>
      <c r="I350" s="17"/>
      <c r="K350" s="13" t="n">
        <v>10079</v>
      </c>
      <c r="L350" s="12" t="n">
        <v>6.1</v>
      </c>
      <c r="M350" s="14" t="n">
        <f aca="false">IF(G350="","",PERCENTRANK($G$2:$G$354,G350))</f>
        <v>0.0327</v>
      </c>
      <c r="N350" s="14" t="str">
        <f aca="false">IF(I350="","",PERCENTRANK($I$2:$I$354,I350))</f>
        <v/>
      </c>
      <c r="O350" s="14" t="n">
        <f aca="false">IF(K350="","",PERCENTRANK($K$2:$K$354,K350))</f>
        <v>0.0114</v>
      </c>
      <c r="P350" s="12" t="n">
        <f aca="false">COUNT(M350:O350)</f>
        <v>2</v>
      </c>
      <c r="S350" s="12" t="s">
        <v>1796</v>
      </c>
      <c r="W350" s="12" t="n">
        <f aca="false">COUNTA(Q350:V350)</f>
        <v>1</v>
      </c>
      <c r="X350" s="14" t="n">
        <f aca="false">IF(P350=0,"",MIN(1,AVERAGE(M350:O350)+Critérios!$B$5*W350))</f>
        <v>0.05205</v>
      </c>
      <c r="Y350" s="12" t="str">
        <f aca="false">IF(X350="","",IF(X350&gt;=Critérios!$B$7,"A",IF(X350&gt;=Critérios!$B$8,"B","C")))</f>
        <v>C</v>
      </c>
      <c r="Z350" s="12" t="n">
        <f aca="false">IF(X350="","",RANK(X350,$X$2:$X$354))</f>
        <v>349</v>
      </c>
      <c r="AA350" s="12" t="str">
        <f aca="false">IF(X350="","Sairia — sem métrica",IF(PERCENTRANK($X$2:$X$354,X350)&lt;Critérios!$B$6,"Sairia — terço inferior","Fica"))</f>
        <v>Sairia — terço inferior</v>
      </c>
      <c r="AB350" s="12" t="s">
        <v>105</v>
      </c>
      <c r="AC350" s="12" t="s">
        <v>719</v>
      </c>
      <c r="AD350" s="15" t="s">
        <v>95</v>
      </c>
      <c r="AE350" s="16"/>
      <c r="AF350" s="12" t="s">
        <v>720</v>
      </c>
      <c r="AG350" s="12" t="s">
        <v>1797</v>
      </c>
      <c r="AH350" s="12" t="n">
        <f aca="false">COUNT(G350,I350,K350)+COUNTA(Q350:V350)</f>
        <v>3</v>
      </c>
      <c r="AI350" s="12" t="str">
        <f aca="false">IF(AH350&gt;=3,"Sim","Não")</f>
        <v>Sim</v>
      </c>
      <c r="AJ350" s="12" t="str">
        <f aca="false">IF(AND(Z350&lt;&gt;"",Z350&lt;=Critérios!$B$9),"Sim","Não")</f>
        <v>Não</v>
      </c>
    </row>
    <row r="351" customFormat="false" ht="15" hidden="false" customHeight="false" outlineLevel="0" collapsed="false">
      <c r="A351" s="12" t="s">
        <v>1798</v>
      </c>
      <c r="B351" s="12" t="s">
        <v>1799</v>
      </c>
      <c r="C351" s="12"/>
      <c r="D351" s="12" t="s">
        <v>189</v>
      </c>
      <c r="E351" s="12" t="s">
        <v>583</v>
      </c>
      <c r="F351" s="12" t="s">
        <v>92</v>
      </c>
      <c r="G351" s="13" t="n">
        <v>355085</v>
      </c>
      <c r="H351" s="13" t="n">
        <v>5252844</v>
      </c>
      <c r="I351" s="17"/>
      <c r="K351" s="13" t="n">
        <v>22350</v>
      </c>
      <c r="L351" s="12" t="n">
        <v>7.4</v>
      </c>
      <c r="M351" s="14" t="n">
        <f aca="false">IF(G351="","",PERCENTRANK($G$2:$G$354,G351))</f>
        <v>0.0131</v>
      </c>
      <c r="N351" s="14" t="str">
        <f aca="false">IF(I351="","",PERCENTRANK($I$2:$I$354,I351))</f>
        <v/>
      </c>
      <c r="O351" s="14" t="n">
        <f aca="false">IF(K351="","",PERCENTRANK($K$2:$K$354,K351))</f>
        <v>0.0199</v>
      </c>
      <c r="P351" s="12" t="n">
        <f aca="false">COUNT(M351:O351)</f>
        <v>2</v>
      </c>
      <c r="Q351" s="12" t="s">
        <v>1800</v>
      </c>
      <c r="W351" s="12" t="n">
        <f aca="false">COUNTA(Q351:V351)</f>
        <v>1</v>
      </c>
      <c r="X351" s="14" t="n">
        <f aca="false">IF(P351=0,"",MIN(1,AVERAGE(M351:O351)+Critérios!$B$5*W351))</f>
        <v>0.0465</v>
      </c>
      <c r="Y351" s="12" t="str">
        <f aca="false">IF(X351="","",IF(X351&gt;=Critérios!$B$7,"A",IF(X351&gt;=Critérios!$B$8,"B","C")))</f>
        <v>C</v>
      </c>
      <c r="Z351" s="12" t="n">
        <f aca="false">IF(X351="","",RANK(X351,$X$2:$X$354))</f>
        <v>350</v>
      </c>
      <c r="AA351" s="12" t="str">
        <f aca="false">IF(X351="","Sairia — sem métrica",IF(PERCENTRANK($X$2:$X$354,X351)&lt;Critérios!$B$6,"Sairia — terço inferior","Fica"))</f>
        <v>Sairia — terço inferior</v>
      </c>
      <c r="AB351" s="12" t="s">
        <v>105</v>
      </c>
      <c r="AD351" s="15" t="s">
        <v>95</v>
      </c>
      <c r="AE351" s="16"/>
      <c r="AF351" s="12" t="s">
        <v>316</v>
      </c>
      <c r="AG351" s="12" t="s">
        <v>1801</v>
      </c>
      <c r="AH351" s="12" t="n">
        <f aca="false">COUNT(G351,I351,K351)+COUNTA(Q351:V351)</f>
        <v>3</v>
      </c>
      <c r="AI351" s="12" t="str">
        <f aca="false">IF(AH351&gt;=3,"Sim","Não")</f>
        <v>Sim</v>
      </c>
      <c r="AJ351" s="12" t="str">
        <f aca="false">IF(AND(Z351&lt;&gt;"",Z351&lt;=Critérios!$B$9),"Sim","Não")</f>
        <v>Não</v>
      </c>
    </row>
    <row r="352" customFormat="false" ht="15" hidden="false" customHeight="false" outlineLevel="0" collapsed="false">
      <c r="A352" s="12" t="s">
        <v>1802</v>
      </c>
      <c r="B352" s="12" t="s">
        <v>1803</v>
      </c>
      <c r="C352" s="12" t="s">
        <v>1804</v>
      </c>
      <c r="D352" s="12" t="s">
        <v>90</v>
      </c>
      <c r="E352" s="12" t="s">
        <v>583</v>
      </c>
      <c r="F352" s="12" t="s">
        <v>92</v>
      </c>
      <c r="G352" s="13" t="n">
        <v>117222</v>
      </c>
      <c r="H352" s="13" t="n">
        <v>2010086</v>
      </c>
      <c r="I352" s="17"/>
      <c r="K352" s="13" t="n">
        <v>10950</v>
      </c>
      <c r="L352" s="12" t="n">
        <v>7.7</v>
      </c>
      <c r="M352" s="14" t="n">
        <f aca="false">IF(G352="","",PERCENTRANK($G$2:$G$354,G352))</f>
        <v>0.00327</v>
      </c>
      <c r="N352" s="14" t="str">
        <f aca="false">IF(I352="","",PERCENTRANK($I$2:$I$354,I352))</f>
        <v/>
      </c>
      <c r="O352" s="14" t="n">
        <f aca="false">IF(K352="","",PERCENTRANK($K$2:$K$354,K352))</f>
        <v>0.0142</v>
      </c>
      <c r="P352" s="12" t="n">
        <f aca="false">COUNT(M352:O352)</f>
        <v>2</v>
      </c>
      <c r="Q352" s="12" t="s">
        <v>1805</v>
      </c>
      <c r="W352" s="12" t="n">
        <f aca="false">COUNTA(Q352:V352)</f>
        <v>1</v>
      </c>
      <c r="X352" s="14" t="n">
        <f aca="false">IF(P352=0,"",MIN(1,AVERAGE(M352:O352)+Critérios!$B$5*W352))</f>
        <v>0.038735</v>
      </c>
      <c r="Y352" s="12" t="str">
        <f aca="false">IF(X352="","",IF(X352&gt;=Critérios!$B$7,"A",IF(X352&gt;=Critérios!$B$8,"B","C")))</f>
        <v>C</v>
      </c>
      <c r="Z352" s="12" t="n">
        <f aca="false">IF(X352="","",RANK(X352,$X$2:$X$354))</f>
        <v>351</v>
      </c>
      <c r="AA352" s="12" t="str">
        <f aca="false">IF(X352="","Sairia — sem métrica",IF(PERCENTRANK($X$2:$X$354,X352)&lt;Critérios!$B$6,"Sairia — terço inferior","Fica"))</f>
        <v>Sairia — terço inferior</v>
      </c>
      <c r="AB352" s="12" t="s">
        <v>105</v>
      </c>
      <c r="AD352" s="15" t="s">
        <v>95</v>
      </c>
      <c r="AE352" s="16"/>
      <c r="AF352" s="12" t="s">
        <v>1806</v>
      </c>
      <c r="AG352" s="12" t="s">
        <v>1807</v>
      </c>
      <c r="AH352" s="12" t="n">
        <f aca="false">COUNT(G352,I352,K352)+COUNTA(Q352:V352)</f>
        <v>3</v>
      </c>
      <c r="AI352" s="12" t="str">
        <f aca="false">IF(AH352&gt;=3,"Sim","Não")</f>
        <v>Sim</v>
      </c>
      <c r="AJ352" s="12" t="str">
        <f aca="false">IF(AND(Z352&lt;&gt;"",Z352&lt;=Critérios!$B$9),"Sim","Não")</f>
        <v>Não</v>
      </c>
    </row>
    <row r="353" customFormat="false" ht="15" hidden="false" customHeight="false" outlineLevel="0" collapsed="false">
      <c r="A353" s="12" t="s">
        <v>1808</v>
      </c>
      <c r="B353" s="12" t="s">
        <v>1809</v>
      </c>
      <c r="C353" s="12" t="s">
        <v>1810</v>
      </c>
      <c r="D353" s="12" t="s">
        <v>118</v>
      </c>
      <c r="E353" s="12" t="s">
        <v>583</v>
      </c>
      <c r="F353" s="12" t="s">
        <v>92</v>
      </c>
      <c r="G353" s="13" t="n">
        <v>81994</v>
      </c>
      <c r="H353" s="13" t="n">
        <v>1463689</v>
      </c>
      <c r="I353" s="17"/>
      <c r="K353" s="13" t="n">
        <v>2690</v>
      </c>
      <c r="L353" s="12" t="n">
        <v>7.4</v>
      </c>
      <c r="M353" s="14" t="n">
        <f aca="false">IF(G353="","",PERCENTRANK($G$2:$G$354,G353))</f>
        <v>0</v>
      </c>
      <c r="N353" s="14" t="str">
        <f aca="false">IF(I353="","",PERCENTRANK($I$2:$I$354,I353))</f>
        <v/>
      </c>
      <c r="O353" s="14" t="n">
        <f aca="false">IF(K353="","",PERCENTRANK($K$2:$K$354,K353))</f>
        <v>0.00852</v>
      </c>
      <c r="P353" s="12" t="n">
        <f aca="false">COUNT(M353:O353)</f>
        <v>2</v>
      </c>
      <c r="Q353" s="12" t="s">
        <v>1811</v>
      </c>
      <c r="W353" s="12" t="n">
        <f aca="false">COUNTA(Q353:V353)</f>
        <v>1</v>
      </c>
      <c r="X353" s="14" t="n">
        <f aca="false">IF(P353=0,"",MIN(1,AVERAGE(M353:O353)+Critérios!$B$5*W353))</f>
        <v>0.03426</v>
      </c>
      <c r="Y353" s="12" t="str">
        <f aca="false">IF(X353="","",IF(X353&gt;=Critérios!$B$7,"A",IF(X353&gt;=Critérios!$B$8,"B","C")))</f>
        <v>C</v>
      </c>
      <c r="Z353" s="12" t="n">
        <f aca="false">IF(X353="","",RANK(X353,$X$2:$X$354))</f>
        <v>352</v>
      </c>
      <c r="AA353" s="12" t="str">
        <f aca="false">IF(X353="","Sairia — sem métrica",IF(PERCENTRANK($X$2:$X$354,X353)&lt;Critérios!$B$6,"Sairia — terço inferior","Fica"))</f>
        <v>Sairia — terço inferior</v>
      </c>
      <c r="AB353" s="12" t="s">
        <v>105</v>
      </c>
      <c r="AC353" s="12" t="s">
        <v>719</v>
      </c>
      <c r="AD353" s="15" t="s">
        <v>95</v>
      </c>
      <c r="AE353" s="16"/>
      <c r="AF353" s="12" t="s">
        <v>931</v>
      </c>
      <c r="AG353" s="12" t="s">
        <v>1812</v>
      </c>
      <c r="AH353" s="12" t="n">
        <f aca="false">COUNT(G353,I353,K353)+COUNTA(Q353:V353)</f>
        <v>3</v>
      </c>
      <c r="AI353" s="12" t="str">
        <f aca="false">IF(AH353&gt;=3,"Sim","Não")</f>
        <v>Sim</v>
      </c>
      <c r="AJ353" s="12" t="str">
        <f aca="false">IF(AND(Z353&lt;&gt;"",Z353&lt;=Critérios!$B$9),"Sim","Não")</f>
        <v>Não</v>
      </c>
    </row>
    <row r="354" customFormat="false" ht="15" hidden="false" customHeight="false" outlineLevel="0" collapsed="false">
      <c r="A354" s="12" t="s">
        <v>1813</v>
      </c>
      <c r="B354" s="12" t="s">
        <v>1814</v>
      </c>
      <c r="C354" s="12" t="s">
        <v>1814</v>
      </c>
      <c r="D354" s="12" t="s">
        <v>1103</v>
      </c>
      <c r="E354" s="12" t="s">
        <v>91</v>
      </c>
      <c r="F354" s="12" t="s">
        <v>92</v>
      </c>
      <c r="G354" s="13" t="n">
        <v>863271</v>
      </c>
      <c r="H354" s="13" t="n">
        <v>13796196</v>
      </c>
      <c r="I354" s="13" t="n">
        <v>251410631</v>
      </c>
      <c r="J354" s="12" t="n">
        <v>7</v>
      </c>
      <c r="K354" s="13" t="n">
        <v>80720</v>
      </c>
      <c r="L354" s="12" t="n">
        <v>5.6</v>
      </c>
      <c r="M354" s="14" t="n">
        <f aca="false">IF(G354="","",PERCENTRANK($G$2:$G$354,G354))</f>
        <v>0.0523</v>
      </c>
      <c r="N354" s="14" t="n">
        <f aca="false">IF(I354="","",PERCENTRANK($I$2:$I$354,I354))</f>
        <v>0</v>
      </c>
      <c r="O354" s="14" t="n">
        <f aca="false">IF(K354="","",PERCENTRANK($K$2:$K$354,K354))</f>
        <v>0.0398</v>
      </c>
      <c r="P354" s="12" t="n">
        <f aca="false">COUNT(M354:O354)</f>
        <v>3</v>
      </c>
      <c r="W354" s="12" t="n">
        <f aca="false">COUNTA(Q354:V354)</f>
        <v>0</v>
      </c>
      <c r="X354" s="14" t="n">
        <f aca="false">IF(P354=0,"",MIN(1,AVERAGE(M354:O354)+Critérios!$B$5*W354))</f>
        <v>0.0307</v>
      </c>
      <c r="Y354" s="12" t="str">
        <f aca="false">IF(X354="","",IF(X354&gt;=Critérios!$B$7,"A",IF(X354&gt;=Critérios!$B$8,"B","C")))</f>
        <v>C</v>
      </c>
      <c r="Z354" s="12" t="n">
        <f aca="false">IF(X354="","",RANK(X354,$X$2:$X$354))</f>
        <v>353</v>
      </c>
      <c r="AA354" s="12" t="str">
        <f aca="false">IF(X354="","Sairia — sem métrica",IF(PERCENTRANK($X$2:$X$354,X354)&lt;Critérios!$B$6,"Sairia — terço inferior","Fica"))</f>
        <v>Sairia — terço inferior</v>
      </c>
      <c r="AB354" s="12" t="s">
        <v>105</v>
      </c>
      <c r="AD354" s="15" t="s">
        <v>95</v>
      </c>
      <c r="AE354" s="16"/>
      <c r="AF354" s="12" t="s">
        <v>1480</v>
      </c>
      <c r="AG354" s="12" t="s">
        <v>1815</v>
      </c>
      <c r="AH354" s="12" t="n">
        <f aca="false">COUNT(G354,I354,K354)+COUNTA(Q354:V354)</f>
        <v>3</v>
      </c>
      <c r="AI354" s="12" t="str">
        <f aca="false">IF(AH354&gt;=3,"Sim","Não")</f>
        <v>Sim</v>
      </c>
      <c r="AJ354" s="12" t="str">
        <f aca="false">IF(AND(Z354&lt;&gt;"",Z354&lt;=Critérios!$B$9),"Sim","Não")</f>
        <v>Não</v>
      </c>
    </row>
  </sheetData>
  <autoFilter ref="A1:AJ1"/>
  <dataValidations count="1">
    <dataValidation allowBlank="true" errorStyle="stop" operator="between" showDropDown="false" showErrorMessage="false" showInputMessage="false" sqref="AD2:AD354" type="list">
      <formula1>"candidato,selecionado,em escrita,aprovado,excluído"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28"/>
    <col collapsed="false" customWidth="true" hidden="false" outlineLevel="0" max="20" min="16" style="0" width="9"/>
    <col collapsed="false" customWidth="true" hidden="false" outlineLevel="0" max="21" min="21" style="0" width="8"/>
    <col collapsed="false" customWidth="true" hidden="false" outlineLevel="0" max="22" min="22" style="0" width="26"/>
    <col collapsed="false" customWidth="true" hidden="false" outlineLevel="0" max="23" min="23" style="0" width="16"/>
    <col collapsed="false" customWidth="true" hidden="false" outlineLevel="0" max="24" min="24" style="0" width="20"/>
    <col collapsed="false" customWidth="true" hidden="false" outlineLevel="0" max="25" min="25" style="0" width="12"/>
    <col collapsed="false" customWidth="true" hidden="false" outlineLevel="0" max="26" min="26" style="0" width="7"/>
    <col collapsed="false" customWidth="true" hidden="false" outlineLevel="0" max="27" min="27" style="0" width="8"/>
    <col collapsed="false" customWidth="true" hidden="false" outlineLevel="0" max="28" min="28" style="0" width="6"/>
    <col collapsed="false" customWidth="true" hidden="false" outlineLevel="0" max="29" min="29" style="0" width="8"/>
    <col collapsed="false" customWidth="true" hidden="false" outlineLevel="0" max="30" min="30" style="0" width="20"/>
    <col collapsed="false" customWidth="true" hidden="false" outlineLevel="0" max="31" min="31" style="0" width="18"/>
    <col collapsed="false" customWidth="true" hidden="false" outlineLevel="0" max="32" min="32" style="0" width="30"/>
    <col collapsed="false" customWidth="true" hidden="false" outlineLevel="0" max="33" min="33" style="0" width="22"/>
    <col collapsed="false" customWidth="true" hidden="false" outlineLevel="0" max="34" min="34" style="0" width="13"/>
    <col collapsed="false" customWidth="true" hidden="false" outlineLevel="0" max="35" min="35" style="0" width="26"/>
    <col collapsed="false" customWidth="true" hidden="false" outlineLevel="0" max="36" min="36" style="0" width="14"/>
    <col collapsed="false" customWidth="true" hidden="false" outlineLevel="0" max="37" min="37" style="0" width="11"/>
    <col collapsed="false" customWidth="true" hidden="false" outlineLevel="0" max="40" min="38" style="0" width="10"/>
  </cols>
  <sheetData>
    <row r="1" customFormat="false" ht="57.75" hidden="false" customHeight="true" outlineLevel="0" collapsed="false">
      <c r="A1" s="8" t="s">
        <v>51</v>
      </c>
      <c r="B1" s="8" t="s">
        <v>52</v>
      </c>
      <c r="C1" s="8" t="s">
        <v>53</v>
      </c>
      <c r="D1" s="8" t="s">
        <v>1816</v>
      </c>
      <c r="E1" s="8" t="s">
        <v>1817</v>
      </c>
      <c r="F1" s="8" t="s">
        <v>56</v>
      </c>
      <c r="G1" s="9" t="s">
        <v>61</v>
      </c>
      <c r="H1" s="9" t="s">
        <v>62</v>
      </c>
      <c r="I1" s="9" t="s">
        <v>1818</v>
      </c>
      <c r="J1" s="9" t="s">
        <v>1819</v>
      </c>
      <c r="K1" s="9" t="s">
        <v>1820</v>
      </c>
      <c r="L1" s="9" t="s">
        <v>1821</v>
      </c>
      <c r="M1" s="9" t="s">
        <v>1822</v>
      </c>
      <c r="N1" s="9" t="s">
        <v>1823</v>
      </c>
      <c r="O1" s="9" t="s">
        <v>1824</v>
      </c>
      <c r="P1" s="9" t="s">
        <v>65</v>
      </c>
      <c r="Q1" s="9" t="s">
        <v>1825</v>
      </c>
      <c r="R1" s="9" t="s">
        <v>1826</v>
      </c>
      <c r="S1" s="9" t="s">
        <v>1827</v>
      </c>
      <c r="T1" s="9" t="s">
        <v>1828</v>
      </c>
      <c r="U1" s="9" t="s">
        <v>66</v>
      </c>
      <c r="V1" s="10" t="s">
        <v>71</v>
      </c>
      <c r="W1" s="10" t="s">
        <v>72</v>
      </c>
      <c r="X1" s="10" t="s">
        <v>70</v>
      </c>
      <c r="Y1" s="10" t="s">
        <v>68</v>
      </c>
      <c r="Z1" s="10" t="s">
        <v>73</v>
      </c>
      <c r="AA1" s="11" t="s">
        <v>74</v>
      </c>
      <c r="AB1" s="11" t="s">
        <v>75</v>
      </c>
      <c r="AC1" s="11" t="s">
        <v>76</v>
      </c>
      <c r="AD1" s="11" t="s">
        <v>77</v>
      </c>
      <c r="AE1" s="8" t="s">
        <v>78</v>
      </c>
      <c r="AF1" s="8" t="s">
        <v>1829</v>
      </c>
      <c r="AG1" s="8" t="s">
        <v>1830</v>
      </c>
      <c r="AH1" s="8" t="s">
        <v>80</v>
      </c>
      <c r="AI1" s="8" t="s">
        <v>81</v>
      </c>
      <c r="AJ1" s="8" t="s">
        <v>82</v>
      </c>
      <c r="AK1" s="8" t="s">
        <v>83</v>
      </c>
      <c r="AL1" s="11" t="s">
        <v>84</v>
      </c>
      <c r="AM1" s="11" t="s">
        <v>85</v>
      </c>
      <c r="AN1" s="11" t="s">
        <v>86</v>
      </c>
    </row>
    <row r="2" customFormat="false" ht="15" hidden="false" customHeight="false" outlineLevel="0" collapsed="false">
      <c r="A2" s="12" t="s">
        <v>1831</v>
      </c>
      <c r="B2" s="12" t="s">
        <v>1832</v>
      </c>
      <c r="C2" s="12" t="s">
        <v>1832</v>
      </c>
      <c r="D2" s="12" t="s">
        <v>189</v>
      </c>
      <c r="E2" s="12" t="s">
        <v>1833</v>
      </c>
      <c r="F2" s="12" t="s">
        <v>1834</v>
      </c>
      <c r="G2" s="13" t="n">
        <v>1746147</v>
      </c>
      <c r="H2" s="12" t="n">
        <v>8.6</v>
      </c>
      <c r="I2" s="13" t="n">
        <v>140700000</v>
      </c>
      <c r="J2" s="12" t="n">
        <v>3</v>
      </c>
      <c r="K2" s="17"/>
      <c r="M2" s="12" t="n">
        <v>1</v>
      </c>
      <c r="N2" s="12" t="n">
        <v>30</v>
      </c>
      <c r="O2" s="12" t="s">
        <v>1835</v>
      </c>
      <c r="P2" s="14" t="n">
        <f aca="false">IF(G2="","",PERCENTRANK($G$2:$G$85,G2))</f>
        <v>0.976</v>
      </c>
      <c r="Q2" s="14" t="n">
        <f aca="false">IF(J2="","",1-(J2-1)/20)</f>
        <v>0.9</v>
      </c>
      <c r="R2" s="14" t="n">
        <f aca="false">IF(M2="","",1-(M2-1)/(2*N2))</f>
        <v>1</v>
      </c>
      <c r="S2" s="14" t="str">
        <f aca="false">IF(K2="","",0.5+0.5*PERCENTRANK($K$2:$K$85,K2))</f>
        <v/>
      </c>
      <c r="T2" s="14" t="n">
        <f aca="false">IF(COUNT(Q2:S2)=0,"",MAX(Q2:S2))</f>
        <v>1</v>
      </c>
      <c r="U2" s="12" t="n">
        <f aca="false">COUNT(P2,T2)</f>
        <v>2</v>
      </c>
      <c r="V2" s="12" t="s">
        <v>1836</v>
      </c>
      <c r="W2" s="12" t="s">
        <v>1837</v>
      </c>
      <c r="X2" s="12" t="s">
        <v>1838</v>
      </c>
      <c r="Y2" s="12" t="s">
        <v>1434</v>
      </c>
      <c r="Z2" s="12" t="n">
        <f aca="false">COUNTA(V2:Y2)</f>
        <v>4</v>
      </c>
      <c r="AA2" s="14" t="n">
        <f aca="false">IF(U2=0,"",MIN(1,AVERAGE(P2,T2)+Critérios!$B$5*Z2))</f>
        <v>1</v>
      </c>
      <c r="AB2" s="12" t="str">
        <f aca="false">IF(AA2="","",IF(AA2&gt;=Critérios!$B$7,"A",IF(AA2&gt;=Critérios!$B$8,"B","C")))</f>
        <v>A</v>
      </c>
      <c r="AC2" s="12" t="n">
        <f aca="false">IF(AA2="","",RANK(AA2,$AA$2:$AA$85))</f>
        <v>1</v>
      </c>
      <c r="AD2" s="12" t="str">
        <f aca="false">IF(AA2="","Sairia — sem métrica",IF(PERCENTRANK($AA$2:$AA$85,AA2)&lt;Critérios!$B$6,"Sairia — terço inferior","Fica"))</f>
        <v>Fica</v>
      </c>
      <c r="AE2" s="12" t="s">
        <v>1839</v>
      </c>
      <c r="AH2" s="15" t="s">
        <v>95</v>
      </c>
      <c r="AI2" s="16"/>
      <c r="AJ2" s="12" t="s">
        <v>1840</v>
      </c>
      <c r="AK2" s="12" t="s">
        <v>1841</v>
      </c>
      <c r="AL2" s="12" t="n">
        <f aca="false">COUNT(G2)+IF(OR(I2&lt;&gt;"",K2&lt;&gt;""),1,0)+IF(M2&lt;&gt;"",1,0)+COUNTA(V2:Y2)</f>
        <v>7</v>
      </c>
      <c r="AM2" s="12" t="str">
        <f aca="false">IF(AL2&gt;=3,"Sim","Não")</f>
        <v>Sim</v>
      </c>
      <c r="AN2" s="12" t="str">
        <f aca="false">IF(AND(AC2&lt;&gt;"",AC2&lt;=Critérios!$B$9),"Sim","Não")</f>
        <v>Sim</v>
      </c>
    </row>
    <row r="3" customFormat="false" ht="15" hidden="false" customHeight="false" outlineLevel="0" collapsed="false">
      <c r="A3" s="12" t="s">
        <v>1842</v>
      </c>
      <c r="B3" s="12" t="s">
        <v>1843</v>
      </c>
      <c r="C3" s="12" t="s">
        <v>1843</v>
      </c>
      <c r="D3" s="12" t="s">
        <v>146</v>
      </c>
      <c r="E3" s="12" t="s">
        <v>1844</v>
      </c>
      <c r="F3" s="12" t="s">
        <v>1834</v>
      </c>
      <c r="G3" s="13" t="n">
        <v>948462</v>
      </c>
      <c r="H3" s="12" t="n">
        <v>8.1</v>
      </c>
      <c r="I3" s="17"/>
      <c r="K3" s="13" t="n">
        <v>20360000</v>
      </c>
      <c r="M3" s="12" t="n">
        <v>1</v>
      </c>
      <c r="N3" s="12" t="n">
        <v>40</v>
      </c>
      <c r="O3" s="12" t="s">
        <v>1845</v>
      </c>
      <c r="P3" s="14" t="n">
        <f aca="false">IF(G3="","",PERCENTRANK($G$2:$G$85,G3))</f>
        <v>0.904</v>
      </c>
      <c r="Q3" s="14" t="str">
        <f aca="false">IF(J3="","",1-(J3-1)/20)</f>
        <v/>
      </c>
      <c r="R3" s="14" t="n">
        <f aca="false">IF(M3="","",1-(M3-1)/(2*N3))</f>
        <v>1</v>
      </c>
      <c r="S3" s="14" t="n">
        <f aca="false">IF(K3="","",0.5+0.5*PERCENTRANK($K$2:$K$85,K3))</f>
        <v>0.9375</v>
      </c>
      <c r="T3" s="14" t="n">
        <f aca="false">IF(COUNT(Q3:S3)=0,"",MAX(Q3:S3))</f>
        <v>1</v>
      </c>
      <c r="U3" s="12" t="n">
        <f aca="false">COUNT(P3,T3)</f>
        <v>2</v>
      </c>
      <c r="W3" s="12" t="s">
        <v>1846</v>
      </c>
      <c r="Y3" s="12" t="s">
        <v>1847</v>
      </c>
      <c r="Z3" s="12" t="n">
        <f aca="false">COUNTA(V3:Y3)</f>
        <v>2</v>
      </c>
      <c r="AA3" s="14" t="n">
        <f aca="false">IF(U3=0,"",MIN(1,AVERAGE(P3,T3)+Critérios!$B$5*Z3))</f>
        <v>1</v>
      </c>
      <c r="AB3" s="12" t="str">
        <f aca="false">IF(AA3="","",IF(AA3&gt;=Critérios!$B$7,"A",IF(AA3&gt;=Critérios!$B$8,"B","C")))</f>
        <v>A</v>
      </c>
      <c r="AC3" s="12" t="n">
        <f aca="false">IF(AA3="","",RANK(AA3,$AA$2:$AA$85))</f>
        <v>1</v>
      </c>
      <c r="AD3" s="12" t="str">
        <f aca="false">IF(AA3="","Sairia — sem métrica",IF(PERCENTRANK($AA$2:$AA$85,AA3)&lt;Critérios!$B$6,"Sairia — terço inferior","Fica"))</f>
        <v>Fica</v>
      </c>
      <c r="AE3" s="12" t="s">
        <v>1839</v>
      </c>
      <c r="AH3" s="15" t="s">
        <v>95</v>
      </c>
      <c r="AI3" s="16"/>
      <c r="AJ3" s="12" t="s">
        <v>1848</v>
      </c>
      <c r="AK3" s="12" t="s">
        <v>1849</v>
      </c>
      <c r="AL3" s="12" t="n">
        <f aca="false">COUNT(G3)+IF(OR(I3&lt;&gt;"",K3&lt;&gt;""),1,0)+IF(M3&lt;&gt;"",1,0)+COUNTA(V3:Y3)</f>
        <v>5</v>
      </c>
      <c r="AM3" s="12" t="str">
        <f aca="false">IF(AL3&gt;=3,"Sim","Não")</f>
        <v>Sim</v>
      </c>
      <c r="AN3" s="12" t="str">
        <f aca="false">IF(AND(AC3&lt;&gt;"",AC3&lt;=Critérios!$B$9),"Sim","Não")</f>
        <v>Sim</v>
      </c>
    </row>
    <row r="4" customFormat="false" ht="15" hidden="false" customHeight="false" outlineLevel="0" collapsed="false">
      <c r="A4" s="12" t="s">
        <v>1850</v>
      </c>
      <c r="B4" s="12" t="s">
        <v>1851</v>
      </c>
      <c r="C4" s="12" t="s">
        <v>1851</v>
      </c>
      <c r="D4" s="12" t="s">
        <v>90</v>
      </c>
      <c r="E4" s="12" t="s">
        <v>1852</v>
      </c>
      <c r="F4" s="12" t="s">
        <v>1834</v>
      </c>
      <c r="G4" s="13" t="n">
        <v>1030960</v>
      </c>
      <c r="H4" s="12" t="n">
        <v>8.5</v>
      </c>
      <c r="I4" s="17"/>
      <c r="K4" s="17"/>
      <c r="M4" s="12" t="n">
        <v>3</v>
      </c>
      <c r="N4" s="12" t="n">
        <v>30</v>
      </c>
      <c r="O4" s="12" t="s">
        <v>1853</v>
      </c>
      <c r="P4" s="14" t="n">
        <f aca="false">IF(G4="","",PERCENTRANK($G$2:$G$85,G4))</f>
        <v>0.928</v>
      </c>
      <c r="Q4" s="14" t="str">
        <f aca="false">IF(J4="","",1-(J4-1)/20)</f>
        <v/>
      </c>
      <c r="R4" s="14" t="n">
        <f aca="false">IF(M4="","",1-(M4-1)/(2*N4))</f>
        <v>0.966666666666667</v>
      </c>
      <c r="S4" s="14" t="str">
        <f aca="false">IF(K4="","",0.5+0.5*PERCENTRANK($K$2:$K$85,K4))</f>
        <v/>
      </c>
      <c r="T4" s="14" t="n">
        <f aca="false">IF(COUNT(Q4:S4)=0,"",MAX(Q4:S4))</f>
        <v>0.966666666666667</v>
      </c>
      <c r="U4" s="12" t="n">
        <f aca="false">COUNT(P4,T4)</f>
        <v>2</v>
      </c>
      <c r="V4" s="12" t="s">
        <v>1854</v>
      </c>
      <c r="W4" s="12" t="s">
        <v>1855</v>
      </c>
      <c r="X4" s="12" t="s">
        <v>1856</v>
      </c>
      <c r="Z4" s="12" t="n">
        <f aca="false">COUNTA(V4:Y4)</f>
        <v>3</v>
      </c>
      <c r="AA4" s="14" t="n">
        <f aca="false">IF(U4=0,"",MIN(1,AVERAGE(P4,T4)+Critérios!$B$5*Z4))</f>
        <v>1</v>
      </c>
      <c r="AB4" s="12" t="str">
        <f aca="false">IF(AA4="","",IF(AA4&gt;=Critérios!$B$7,"A",IF(AA4&gt;=Critérios!$B$8,"B","C")))</f>
        <v>A</v>
      </c>
      <c r="AC4" s="12" t="n">
        <f aca="false">IF(AA4="","",RANK(AA4,$AA$2:$AA$85))</f>
        <v>1</v>
      </c>
      <c r="AD4" s="12" t="str">
        <f aca="false">IF(AA4="","Sairia — sem métrica",IF(PERCENTRANK($AA$2:$AA$85,AA4)&lt;Critérios!$B$6,"Sairia — terço inferior","Fica"))</f>
        <v>Fica</v>
      </c>
      <c r="AE4" s="12" t="s">
        <v>1839</v>
      </c>
      <c r="AF4" s="12" t="s">
        <v>1857</v>
      </c>
      <c r="AH4" s="15" t="s">
        <v>95</v>
      </c>
      <c r="AI4" s="16"/>
      <c r="AJ4" s="12" t="s">
        <v>1858</v>
      </c>
      <c r="AK4" s="12" t="s">
        <v>1859</v>
      </c>
      <c r="AL4" s="12" t="n">
        <f aca="false">COUNT(G4)+IF(OR(I4&lt;&gt;"",K4&lt;&gt;""),1,0)+IF(M4&lt;&gt;"",1,0)+COUNTA(V4:Y4)</f>
        <v>5</v>
      </c>
      <c r="AM4" s="12" t="str">
        <f aca="false">IF(AL4&gt;=3,"Sim","Não")</f>
        <v>Sim</v>
      </c>
      <c r="AN4" s="12" t="str">
        <f aca="false">IF(AND(AC4&lt;&gt;"",AC4&lt;=Critérios!$B$9),"Sim","Não")</f>
        <v>Sim</v>
      </c>
    </row>
    <row r="5" customFormat="false" ht="15" hidden="false" customHeight="false" outlineLevel="0" collapsed="false">
      <c r="A5" s="12" t="s">
        <v>1860</v>
      </c>
      <c r="B5" s="12" t="s">
        <v>1861</v>
      </c>
      <c r="C5" s="12" t="s">
        <v>1861</v>
      </c>
      <c r="D5" s="12" t="s">
        <v>127</v>
      </c>
      <c r="E5" s="12" t="s">
        <v>1862</v>
      </c>
      <c r="F5" s="12" t="s">
        <v>1834</v>
      </c>
      <c r="G5" s="13" t="n">
        <v>854849</v>
      </c>
      <c r="H5" s="12" t="n">
        <v>9</v>
      </c>
      <c r="I5" s="17"/>
      <c r="K5" s="13" t="n">
        <v>9000000</v>
      </c>
      <c r="M5" s="12" t="n">
        <v>1</v>
      </c>
      <c r="N5" s="12" t="n">
        <v>30</v>
      </c>
      <c r="O5" s="12" t="s">
        <v>1863</v>
      </c>
      <c r="P5" s="14" t="n">
        <f aca="false">IF(G5="","",PERCENTRANK($G$2:$G$85,G5))</f>
        <v>0.88</v>
      </c>
      <c r="Q5" s="14" t="str">
        <f aca="false">IF(J5="","",1-(J5-1)/20)</f>
        <v/>
      </c>
      <c r="R5" s="14" t="n">
        <f aca="false">IF(M5="","",1-(M5-1)/(2*N5))</f>
        <v>1</v>
      </c>
      <c r="S5" s="14" t="n">
        <f aca="false">IF(K5="","",0.5+0.5*PERCENTRANK($K$2:$K$85,K5))</f>
        <v>0.719</v>
      </c>
      <c r="T5" s="14" t="n">
        <f aca="false">IF(COUNT(Q5:S5)=0,"",MAX(Q5:S5))</f>
        <v>1</v>
      </c>
      <c r="U5" s="12" t="n">
        <f aca="false">COUNT(P5,T5)</f>
        <v>2</v>
      </c>
      <c r="V5" s="12" t="s">
        <v>1864</v>
      </c>
      <c r="Y5" s="12" t="s">
        <v>920</v>
      </c>
      <c r="Z5" s="12" t="n">
        <f aca="false">COUNTA(V5:Y5)</f>
        <v>2</v>
      </c>
      <c r="AA5" s="14" t="n">
        <f aca="false">IF(U5=0,"",MIN(1,AVERAGE(P5,T5)+Critérios!$B$5*Z5))</f>
        <v>1</v>
      </c>
      <c r="AB5" s="12" t="str">
        <f aca="false">IF(AA5="","",IF(AA5&gt;=Critérios!$B$7,"A",IF(AA5&gt;=Critérios!$B$8,"B","C")))</f>
        <v>A</v>
      </c>
      <c r="AC5" s="12" t="n">
        <f aca="false">IF(AA5="","",RANK(AA5,$AA$2:$AA$85))</f>
        <v>1</v>
      </c>
      <c r="AD5" s="12" t="str">
        <f aca="false">IF(AA5="","Sairia — sem métrica",IF(PERCENTRANK($AA$2:$AA$85,AA5)&lt;Critérios!$B$6,"Sairia — terço inferior","Fica"))</f>
        <v>Fica</v>
      </c>
      <c r="AE5" s="12" t="s">
        <v>1839</v>
      </c>
      <c r="AH5" s="15" t="s">
        <v>95</v>
      </c>
      <c r="AI5" s="16"/>
      <c r="AJ5" s="12" t="s">
        <v>1865</v>
      </c>
      <c r="AK5" s="12" t="s">
        <v>1866</v>
      </c>
      <c r="AL5" s="12" t="n">
        <f aca="false">COUNT(G5)+IF(OR(I5&lt;&gt;"",K5&lt;&gt;""),1,0)+IF(M5&lt;&gt;"",1,0)+COUNTA(V5:Y5)</f>
        <v>5</v>
      </c>
      <c r="AM5" s="12" t="str">
        <f aca="false">IF(AL5&gt;=3,"Sim","Não")</f>
        <v>Sim</v>
      </c>
      <c r="AN5" s="12" t="str">
        <f aca="false">IF(AND(AC5&lt;&gt;"",AC5&lt;=Critérios!$B$9),"Sim","Não")</f>
        <v>Sim</v>
      </c>
    </row>
    <row r="6" customFormat="false" ht="15" hidden="false" customHeight="false" outlineLevel="0" collapsed="false">
      <c r="A6" s="12" t="s">
        <v>1867</v>
      </c>
      <c r="B6" s="12" t="s">
        <v>1868</v>
      </c>
      <c r="C6" s="12" t="s">
        <v>1869</v>
      </c>
      <c r="D6" s="12" t="s">
        <v>101</v>
      </c>
      <c r="E6" s="12" t="s">
        <v>1833</v>
      </c>
      <c r="F6" s="12" t="s">
        <v>1834</v>
      </c>
      <c r="G6" s="13" t="n">
        <v>779793</v>
      </c>
      <c r="H6" s="12" t="n">
        <v>7.9</v>
      </c>
      <c r="I6" s="13" t="n">
        <v>265200000</v>
      </c>
      <c r="J6" s="12" t="n">
        <v>1</v>
      </c>
      <c r="K6" s="17"/>
      <c r="M6" s="12" t="n">
        <v>2</v>
      </c>
      <c r="N6" s="12" t="n">
        <v>30</v>
      </c>
      <c r="O6" s="12" t="s">
        <v>1870</v>
      </c>
      <c r="P6" s="14" t="n">
        <f aca="false">IF(G6="","",PERCENTRANK($G$2:$G$85,G6))</f>
        <v>0.843</v>
      </c>
      <c r="Q6" s="14" t="n">
        <f aca="false">IF(J6="","",1-(J6-1)/20)</f>
        <v>1</v>
      </c>
      <c r="R6" s="14" t="n">
        <f aca="false">IF(M6="","",1-(M6-1)/(2*N6))</f>
        <v>0.983333333333333</v>
      </c>
      <c r="S6" s="14" t="str">
        <f aca="false">IF(K6="","",0.5+0.5*PERCENTRANK($K$2:$K$85,K6))</f>
        <v/>
      </c>
      <c r="T6" s="14" t="n">
        <f aca="false">IF(COUNT(Q6:S6)=0,"",MAX(Q6:S6))</f>
        <v>1</v>
      </c>
      <c r="U6" s="12" t="n">
        <f aca="false">COUNT(P6,T6)</f>
        <v>2</v>
      </c>
      <c r="V6" s="12" t="s">
        <v>1871</v>
      </c>
      <c r="X6" s="12" t="s">
        <v>1872</v>
      </c>
      <c r="Z6" s="12" t="n">
        <f aca="false">COUNTA(V6:Y6)</f>
        <v>2</v>
      </c>
      <c r="AA6" s="14" t="n">
        <f aca="false">IF(U6=0,"",MIN(1,AVERAGE(P6,T6)+Critérios!$B$5*Z6))</f>
        <v>0.9815</v>
      </c>
      <c r="AB6" s="12" t="str">
        <f aca="false">IF(AA6="","",IF(AA6&gt;=Critérios!$B$7,"A",IF(AA6&gt;=Critérios!$B$8,"B","C")))</f>
        <v>A</v>
      </c>
      <c r="AC6" s="12" t="n">
        <f aca="false">IF(AA6="","",RANK(AA6,$AA$2:$AA$85))</f>
        <v>5</v>
      </c>
      <c r="AD6" s="12" t="str">
        <f aca="false">IF(AA6="","Sairia — sem métrica",IF(PERCENTRANK($AA$2:$AA$85,AA6)&lt;Critérios!$B$6,"Sairia — terço inferior","Fica"))</f>
        <v>Fica</v>
      </c>
      <c r="AE6" s="12" t="s">
        <v>1873</v>
      </c>
      <c r="AH6" s="15" t="s">
        <v>95</v>
      </c>
      <c r="AI6" s="16"/>
      <c r="AJ6" s="12" t="s">
        <v>1874</v>
      </c>
      <c r="AK6" s="12" t="s">
        <v>1875</v>
      </c>
      <c r="AL6" s="12" t="n">
        <f aca="false">COUNT(G6)+IF(OR(I6&lt;&gt;"",K6&lt;&gt;""),1,0)+IF(M6&lt;&gt;"",1,0)+COUNTA(V6:Y6)</f>
        <v>5</v>
      </c>
      <c r="AM6" s="12" t="str">
        <f aca="false">IF(AL6&gt;=3,"Sim","Não")</f>
        <v>Sim</v>
      </c>
      <c r="AN6" s="12" t="str">
        <f aca="false">IF(AND(AC6&lt;&gt;"",AC6&lt;=Critérios!$B$9),"Sim","Não")</f>
        <v>Sim</v>
      </c>
    </row>
    <row r="7" customFormat="false" ht="15" hidden="false" customHeight="false" outlineLevel="0" collapsed="false">
      <c r="A7" s="12" t="s">
        <v>1876</v>
      </c>
      <c r="B7" s="12" t="s">
        <v>1877</v>
      </c>
      <c r="C7" s="12" t="s">
        <v>1877</v>
      </c>
      <c r="D7" s="12" t="s">
        <v>358</v>
      </c>
      <c r="E7" s="12" t="s">
        <v>1878</v>
      </c>
      <c r="F7" s="12" t="s">
        <v>1834</v>
      </c>
      <c r="G7" s="13" t="n">
        <v>1218228</v>
      </c>
      <c r="H7" s="12" t="n">
        <v>8.1</v>
      </c>
      <c r="I7" s="17"/>
      <c r="K7" s="13" t="n">
        <v>14380000</v>
      </c>
      <c r="P7" s="14" t="n">
        <f aca="false">IF(G7="","",PERCENTRANK($G$2:$G$85,G7))</f>
        <v>0.964</v>
      </c>
      <c r="Q7" s="14" t="str">
        <f aca="false">IF(J7="","",1-(J7-1)/20)</f>
        <v/>
      </c>
      <c r="R7" s="14" t="str">
        <f aca="false">IF(M7="","",1-(M7-1)/(2*N7))</f>
        <v/>
      </c>
      <c r="S7" s="14" t="n">
        <f aca="false">IF(K7="","",0.5+0.5*PERCENTRANK($K$2:$K$85,K7))</f>
        <v>0.8125</v>
      </c>
      <c r="T7" s="14" t="n">
        <f aca="false">IF(COUNT(Q7:S7)=0,"",MAX(Q7:S7))</f>
        <v>0.8125</v>
      </c>
      <c r="U7" s="12" t="n">
        <f aca="false">COUNT(P7,T7)</f>
        <v>2</v>
      </c>
      <c r="V7" s="12" t="s">
        <v>1879</v>
      </c>
      <c r="W7" s="12" t="s">
        <v>1880</v>
      </c>
      <c r="Y7" s="12" t="s">
        <v>159</v>
      </c>
      <c r="Z7" s="12" t="n">
        <f aca="false">COUNTA(V7:Y7)</f>
        <v>3</v>
      </c>
      <c r="AA7" s="14" t="n">
        <f aca="false">IF(U7=0,"",MIN(1,AVERAGE(P7,T7)+Critérios!$B$5*Z7))</f>
        <v>0.97825</v>
      </c>
      <c r="AB7" s="12" t="str">
        <f aca="false">IF(AA7="","",IF(AA7&gt;=Critérios!$B$7,"A",IF(AA7&gt;=Critérios!$B$8,"B","C")))</f>
        <v>A</v>
      </c>
      <c r="AC7" s="12" t="n">
        <f aca="false">IF(AA7="","",RANK(AA7,$AA$2:$AA$85))</f>
        <v>6</v>
      </c>
      <c r="AD7" s="12" t="str">
        <f aca="false">IF(AA7="","Sairia — sem métrica",IF(PERCENTRANK($AA$2:$AA$85,AA7)&lt;Critérios!$B$6,"Sairia — terço inferior","Fica"))</f>
        <v>Fica</v>
      </c>
      <c r="AE7" s="12" t="s">
        <v>1839</v>
      </c>
      <c r="AF7" s="12" t="s">
        <v>1857</v>
      </c>
      <c r="AH7" s="15" t="s">
        <v>95</v>
      </c>
      <c r="AI7" s="16"/>
      <c r="AJ7" s="12" t="s">
        <v>1881</v>
      </c>
      <c r="AK7" s="12" t="s">
        <v>1882</v>
      </c>
      <c r="AL7" s="12" t="n">
        <f aca="false">COUNT(G7)+IF(OR(I7&lt;&gt;"",K7&lt;&gt;""),1,0)+IF(M7&lt;&gt;"",1,0)+COUNTA(V7:Y7)</f>
        <v>5</v>
      </c>
      <c r="AM7" s="12" t="str">
        <f aca="false">IF(AL7&gt;=3,"Sim","Não")</f>
        <v>Sim</v>
      </c>
      <c r="AN7" s="12" t="str">
        <f aca="false">IF(AND(AC7&lt;&gt;"",AC7&lt;=Critérios!$B$9),"Sim","Não")</f>
        <v>Sim</v>
      </c>
    </row>
    <row r="8" customFormat="false" ht="15" hidden="false" customHeight="false" outlineLevel="0" collapsed="false">
      <c r="A8" s="12" t="s">
        <v>1883</v>
      </c>
      <c r="B8" s="12" t="s">
        <v>1884</v>
      </c>
      <c r="C8" s="12" t="s">
        <v>1884</v>
      </c>
      <c r="D8" s="12" t="s">
        <v>214</v>
      </c>
      <c r="E8" s="12" t="s">
        <v>1885</v>
      </c>
      <c r="F8" s="12" t="s">
        <v>1834</v>
      </c>
      <c r="G8" s="13" t="n">
        <v>2673165</v>
      </c>
      <c r="H8" s="12" t="n">
        <v>9.2</v>
      </c>
      <c r="I8" s="17"/>
      <c r="K8" s="13" t="n">
        <v>11990000</v>
      </c>
      <c r="P8" s="14" t="n">
        <f aca="false">IF(G8="","",PERCENTRANK($G$2:$G$85,G8))</f>
        <v>0.988</v>
      </c>
      <c r="Q8" s="14" t="str">
        <f aca="false">IF(J8="","",1-(J8-1)/20)</f>
        <v/>
      </c>
      <c r="R8" s="14" t="str">
        <f aca="false">IF(M8="","",1-(M8-1)/(2*N8))</f>
        <v/>
      </c>
      <c r="S8" s="14" t="n">
        <f aca="false">IF(K8="","",0.5+0.5*PERCENTRANK($K$2:$K$85,K8))</f>
        <v>0.7815</v>
      </c>
      <c r="T8" s="14" t="n">
        <f aca="false">IF(COUNT(Q8:S8)=0,"",MAX(Q8:S8))</f>
        <v>0.7815</v>
      </c>
      <c r="U8" s="12" t="n">
        <f aca="false">COUNT(P8,T8)</f>
        <v>2</v>
      </c>
      <c r="V8" s="12" t="s">
        <v>1627</v>
      </c>
      <c r="W8" s="12" t="s">
        <v>1886</v>
      </c>
      <c r="Z8" s="12" t="n">
        <f aca="false">COUNTA(V8:Y8)</f>
        <v>2</v>
      </c>
      <c r="AA8" s="14" t="n">
        <f aca="false">IF(U8=0,"",MIN(1,AVERAGE(P8,T8)+Critérios!$B$5*Z8))</f>
        <v>0.94475</v>
      </c>
      <c r="AB8" s="12" t="str">
        <f aca="false">IF(AA8="","",IF(AA8&gt;=Critérios!$B$7,"A",IF(AA8&gt;=Critérios!$B$8,"B","C")))</f>
        <v>A</v>
      </c>
      <c r="AC8" s="12" t="n">
        <f aca="false">IF(AA8="","",RANK(AA8,$AA$2:$AA$85))</f>
        <v>7</v>
      </c>
      <c r="AD8" s="12" t="str">
        <f aca="false">IF(AA8="","Sairia — sem métrica",IF(PERCENTRANK($AA$2:$AA$85,AA8)&lt;Critérios!$B$6,"Sairia — terço inferior","Fica"))</f>
        <v>Fica</v>
      </c>
      <c r="AE8" s="12" t="s">
        <v>1839</v>
      </c>
      <c r="AF8" s="12" t="s">
        <v>1857</v>
      </c>
      <c r="AH8" s="15" t="s">
        <v>95</v>
      </c>
      <c r="AI8" s="16"/>
      <c r="AJ8" s="12" t="s">
        <v>1887</v>
      </c>
      <c r="AK8" s="12" t="s">
        <v>1888</v>
      </c>
      <c r="AL8" s="12" t="n">
        <f aca="false">COUNT(G8)+IF(OR(I8&lt;&gt;"",K8&lt;&gt;""),1,0)+IF(M8&lt;&gt;"",1,0)+COUNTA(V8:Y8)</f>
        <v>4</v>
      </c>
      <c r="AM8" s="12" t="str">
        <f aca="false">IF(AL8&gt;=3,"Sim","Não")</f>
        <v>Sim</v>
      </c>
      <c r="AN8" s="12" t="str">
        <f aca="false">IF(AND(AC8&lt;&gt;"",AC8&lt;=Critérios!$B$9),"Sim","Não")</f>
        <v>Sim</v>
      </c>
    </row>
    <row r="9" customFormat="false" ht="15" hidden="false" customHeight="false" outlineLevel="0" collapsed="false">
      <c r="A9" s="12" t="s">
        <v>1889</v>
      </c>
      <c r="B9" s="12" t="s">
        <v>1890</v>
      </c>
      <c r="C9" s="12" t="s">
        <v>1890</v>
      </c>
      <c r="D9" s="12" t="s">
        <v>90</v>
      </c>
      <c r="E9" s="12" t="s">
        <v>1885</v>
      </c>
      <c r="F9" s="12" t="s">
        <v>1891</v>
      </c>
      <c r="G9" s="13" t="n">
        <v>1070491</v>
      </c>
      <c r="H9" s="12" t="n">
        <v>9.3</v>
      </c>
      <c r="I9" s="17"/>
      <c r="K9" s="17"/>
      <c r="P9" s="14" t="n">
        <f aca="false">IF(G9="","",PERCENTRANK($G$2:$G$85,G9))</f>
        <v>0.94</v>
      </c>
      <c r="Q9" s="14" t="str">
        <f aca="false">IF(J9="","",1-(J9-1)/20)</f>
        <v/>
      </c>
      <c r="R9" s="14" t="str">
        <f aca="false">IF(M9="","",1-(M9-1)/(2*N9))</f>
        <v/>
      </c>
      <c r="S9" s="14" t="str">
        <f aca="false">IF(K9="","",0.5+0.5*PERCENTRANK($K$2:$K$85,K9))</f>
        <v/>
      </c>
      <c r="T9" s="14" t="str">
        <f aca="false">IF(COUNT(Q9:S9)=0,"",MAX(Q9:S9))</f>
        <v/>
      </c>
      <c r="U9" s="12" t="n">
        <f aca="false">COUNT(P9,T9)</f>
        <v>1</v>
      </c>
      <c r="Z9" s="12" t="n">
        <f aca="false">COUNTA(V9:Y9)</f>
        <v>0</v>
      </c>
      <c r="AA9" s="14" t="n">
        <f aca="false">IF(U9=0,"",MIN(1,AVERAGE(P9,T9)+Critérios!$B$5*Z9))</f>
        <v>0.94</v>
      </c>
      <c r="AB9" s="12" t="str">
        <f aca="false">IF(AA9="","",IF(AA9&gt;=Critérios!$B$7,"A",IF(AA9&gt;=Critérios!$B$8,"B","C")))</f>
        <v>A</v>
      </c>
      <c r="AC9" s="12" t="n">
        <f aca="false">IF(AA9="","",RANK(AA9,$AA$2:$AA$85))</f>
        <v>8</v>
      </c>
      <c r="AD9" s="12" t="str">
        <f aca="false">IF(AA9="","Sairia — sem métrica",IF(PERCENTRANK($AA$2:$AA$85,AA9)&lt;Critérios!$B$6,"Sairia — terço inferior","Fica"))</f>
        <v>Fica</v>
      </c>
      <c r="AE9" s="12" t="s">
        <v>105</v>
      </c>
      <c r="AF9" s="12" t="s">
        <v>1892</v>
      </c>
      <c r="AG9" s="12" t="s">
        <v>1893</v>
      </c>
      <c r="AH9" s="15" t="s">
        <v>95</v>
      </c>
      <c r="AI9" s="16"/>
      <c r="AK9" s="12" t="s">
        <v>1894</v>
      </c>
      <c r="AL9" s="12" t="n">
        <f aca="false">COUNT(G9)+IF(OR(I9&lt;&gt;"",K9&lt;&gt;""),1,0)+IF(M9&lt;&gt;"",1,0)+COUNTA(V9:Y9)</f>
        <v>1</v>
      </c>
      <c r="AM9" s="12" t="str">
        <f aca="false">IF(AL9&gt;=3,"Sim","Não")</f>
        <v>Não</v>
      </c>
      <c r="AN9" s="12" t="str">
        <f aca="false">IF(AND(AC9&lt;&gt;"",AC9&lt;=Critérios!$B$9),"Sim","Não")</f>
        <v>Sim</v>
      </c>
    </row>
    <row r="10" customFormat="false" ht="15" hidden="false" customHeight="false" outlineLevel="0" collapsed="false">
      <c r="A10" s="12" t="s">
        <v>1895</v>
      </c>
      <c r="B10" s="12" t="s">
        <v>1896</v>
      </c>
      <c r="C10" s="12" t="s">
        <v>1896</v>
      </c>
      <c r="D10" s="12" t="s">
        <v>175</v>
      </c>
      <c r="E10" s="12" t="s">
        <v>1885</v>
      </c>
      <c r="F10" s="12" t="s">
        <v>1834</v>
      </c>
      <c r="G10" s="13" t="n">
        <v>753398</v>
      </c>
      <c r="H10" s="12" t="n">
        <v>8.4</v>
      </c>
      <c r="I10" s="17"/>
      <c r="K10" s="13" t="n">
        <v>37000000</v>
      </c>
      <c r="P10" s="14" t="n">
        <f aca="false">IF(G10="","",PERCENTRANK($G$2:$G$85,G10))</f>
        <v>0.819</v>
      </c>
      <c r="Q10" s="14" t="str">
        <f aca="false">IF(J10="","",1-(J10-1)/20)</f>
        <v/>
      </c>
      <c r="R10" s="14" t="str">
        <f aca="false">IF(M10="","",1-(M10-1)/(2*N10))</f>
        <v/>
      </c>
      <c r="S10" s="14" t="n">
        <f aca="false">IF(K10="","",0.5+0.5*PERCENTRANK($K$2:$K$85,K10))</f>
        <v>1</v>
      </c>
      <c r="T10" s="14" t="n">
        <f aca="false">IF(COUNT(Q10:S10)=0,"",MAX(Q10:S10))</f>
        <v>1</v>
      </c>
      <c r="U10" s="12" t="n">
        <f aca="false">COUNT(P10,T10)</f>
        <v>2</v>
      </c>
      <c r="W10" s="12" t="s">
        <v>1897</v>
      </c>
      <c r="Z10" s="12" t="n">
        <f aca="false">COUNTA(V10:Y10)</f>
        <v>1</v>
      </c>
      <c r="AA10" s="14" t="n">
        <f aca="false">IF(U10=0,"",MIN(1,AVERAGE(P10,T10)+Critérios!$B$5*Z10))</f>
        <v>0.9395</v>
      </c>
      <c r="AB10" s="12" t="str">
        <f aca="false">IF(AA10="","",IF(AA10&gt;=Critérios!$B$7,"A",IF(AA10&gt;=Critérios!$B$8,"B","C")))</f>
        <v>A</v>
      </c>
      <c r="AC10" s="12" t="n">
        <f aca="false">IF(AA10="","",RANK(AA10,$AA$2:$AA$85))</f>
        <v>9</v>
      </c>
      <c r="AD10" s="12" t="str">
        <f aca="false">IF(AA10="","Sairia — sem métrica",IF(PERCENTRANK($AA$2:$AA$85,AA10)&lt;Critérios!$B$6,"Sairia — terço inferior","Fica"))</f>
        <v>Fica</v>
      </c>
      <c r="AE10" s="12" t="s">
        <v>1898</v>
      </c>
      <c r="AH10" s="15" t="s">
        <v>95</v>
      </c>
      <c r="AI10" s="16"/>
      <c r="AJ10" s="12" t="s">
        <v>1899</v>
      </c>
      <c r="AK10" s="12" t="s">
        <v>1900</v>
      </c>
      <c r="AL10" s="12" t="n">
        <f aca="false">COUNT(G10)+IF(OR(I10&lt;&gt;"",K10&lt;&gt;""),1,0)+IF(M10&lt;&gt;"",1,0)+COUNTA(V10:Y10)</f>
        <v>3</v>
      </c>
      <c r="AM10" s="12" t="str">
        <f aca="false">IF(AL10&gt;=3,"Sim","Não")</f>
        <v>Sim</v>
      </c>
      <c r="AN10" s="12" t="str">
        <f aca="false">IF(AND(AC10&lt;&gt;"",AC10&lt;=Critérios!$B$9),"Sim","Não")</f>
        <v>Sim</v>
      </c>
    </row>
    <row r="11" customFormat="false" ht="15" hidden="false" customHeight="false" outlineLevel="0" collapsed="false">
      <c r="A11" s="12" t="s">
        <v>1901</v>
      </c>
      <c r="B11" s="12" t="s">
        <v>1902</v>
      </c>
      <c r="C11" s="12" t="s">
        <v>1902</v>
      </c>
      <c r="D11" s="12" t="s">
        <v>90</v>
      </c>
      <c r="E11" s="12" t="s">
        <v>1903</v>
      </c>
      <c r="F11" s="12" t="s">
        <v>1834</v>
      </c>
      <c r="G11" s="13" t="n">
        <v>667949</v>
      </c>
      <c r="H11" s="12" t="n">
        <v>8.6</v>
      </c>
      <c r="I11" s="17"/>
      <c r="K11" s="17"/>
      <c r="M11" s="12" t="n">
        <v>5</v>
      </c>
      <c r="N11" s="12" t="n">
        <v>30</v>
      </c>
      <c r="O11" s="12" t="s">
        <v>1904</v>
      </c>
      <c r="P11" s="14" t="n">
        <f aca="false">IF(G11="","",PERCENTRANK($G$2:$G$85,G11))</f>
        <v>0.735</v>
      </c>
      <c r="Q11" s="14" t="str">
        <f aca="false">IF(J11="","",1-(J11-1)/20)</f>
        <v/>
      </c>
      <c r="R11" s="14" t="n">
        <f aca="false">IF(M11="","",1-(M11-1)/(2*N11))</f>
        <v>0.933333333333333</v>
      </c>
      <c r="S11" s="14" t="str">
        <f aca="false">IF(K11="","",0.5+0.5*PERCENTRANK($K$2:$K$85,K11))</f>
        <v/>
      </c>
      <c r="T11" s="14" t="n">
        <f aca="false">IF(COUNT(Q11:S11)=0,"",MAX(Q11:S11))</f>
        <v>0.933333333333333</v>
      </c>
      <c r="U11" s="12" t="n">
        <f aca="false">COUNT(P11,T11)</f>
        <v>2</v>
      </c>
      <c r="W11" s="12" t="s">
        <v>1905</v>
      </c>
      <c r="X11" s="12" t="s">
        <v>1906</v>
      </c>
      <c r="Z11" s="12" t="n">
        <f aca="false">COUNTA(V11:Y11)</f>
        <v>2</v>
      </c>
      <c r="AA11" s="14" t="n">
        <f aca="false">IF(U11=0,"",MIN(1,AVERAGE(P11,T11)+Critérios!$B$5*Z11))</f>
        <v>0.894166666666667</v>
      </c>
      <c r="AB11" s="12" t="str">
        <f aca="false">IF(AA11="","",IF(AA11&gt;=Critérios!$B$7,"A",IF(AA11&gt;=Critérios!$B$8,"B","C")))</f>
        <v>A</v>
      </c>
      <c r="AC11" s="12" t="n">
        <f aca="false">IF(AA11="","",RANK(AA11,$AA$2:$AA$85))</f>
        <v>10</v>
      </c>
      <c r="AD11" s="12" t="str">
        <f aca="false">IF(AA11="","Sairia — sem métrica",IF(PERCENTRANK($AA$2:$AA$85,AA11)&lt;Critérios!$B$6,"Sairia — terço inferior","Fica"))</f>
        <v>Fica</v>
      </c>
      <c r="AE11" s="12" t="s">
        <v>1873</v>
      </c>
      <c r="AH11" s="15" t="s">
        <v>95</v>
      </c>
      <c r="AI11" s="16"/>
      <c r="AJ11" s="12" t="s">
        <v>1907</v>
      </c>
      <c r="AK11" s="12" t="s">
        <v>1908</v>
      </c>
      <c r="AL11" s="12" t="n">
        <f aca="false">COUNT(G11)+IF(OR(I11&lt;&gt;"",K11&lt;&gt;""),1,0)+IF(M11&lt;&gt;"",1,0)+COUNTA(V11:Y11)</f>
        <v>4</v>
      </c>
      <c r="AM11" s="12" t="str">
        <f aca="false">IF(AL11&gt;=3,"Sim","Não")</f>
        <v>Sim</v>
      </c>
      <c r="AN11" s="12" t="str">
        <f aca="false">IF(AND(AC11&lt;&gt;"",AC11&lt;=Critérios!$B$9),"Sim","Não")</f>
        <v>Sim</v>
      </c>
    </row>
    <row r="12" customFormat="false" ht="15" hidden="false" customHeight="false" outlineLevel="0" collapsed="false">
      <c r="A12" s="12" t="s">
        <v>1909</v>
      </c>
      <c r="B12" s="12" t="s">
        <v>1910</v>
      </c>
      <c r="C12" s="12" t="s">
        <v>1910</v>
      </c>
      <c r="D12" s="12" t="s">
        <v>183</v>
      </c>
      <c r="E12" s="12" t="s">
        <v>1878</v>
      </c>
      <c r="F12" s="12" t="s">
        <v>1891</v>
      </c>
      <c r="G12" s="13" t="n">
        <v>870449</v>
      </c>
      <c r="H12" s="12" t="n">
        <v>9</v>
      </c>
      <c r="I12" s="17"/>
      <c r="K12" s="17"/>
      <c r="P12" s="14" t="n">
        <f aca="false">IF(G12="","",PERCENTRANK($G$2:$G$85,G12))</f>
        <v>0.892</v>
      </c>
      <c r="Q12" s="14" t="str">
        <f aca="false">IF(J12="","",1-(J12-1)/20)</f>
        <v/>
      </c>
      <c r="R12" s="14" t="str">
        <f aca="false">IF(M12="","",1-(M12-1)/(2*N12))</f>
        <v/>
      </c>
      <c r="S12" s="14" t="str">
        <f aca="false">IF(K12="","",0.5+0.5*PERCENTRANK($K$2:$K$85,K12))</f>
        <v/>
      </c>
      <c r="T12" s="14" t="str">
        <f aca="false">IF(COUNT(Q12:S12)=0,"",MAX(Q12:S12))</f>
        <v/>
      </c>
      <c r="U12" s="12" t="n">
        <f aca="false">COUNT(P12,T12)</f>
        <v>1</v>
      </c>
      <c r="Z12" s="12" t="n">
        <f aca="false">COUNTA(V12:Y12)</f>
        <v>0</v>
      </c>
      <c r="AA12" s="14" t="n">
        <f aca="false">IF(U12=0,"",MIN(1,AVERAGE(P12,T12)+Critérios!$B$5*Z12))</f>
        <v>0.892</v>
      </c>
      <c r="AB12" s="12" t="str">
        <f aca="false">IF(AA12="","",IF(AA12&gt;=Critérios!$B$7,"A",IF(AA12&gt;=Critérios!$B$8,"B","C")))</f>
        <v>A</v>
      </c>
      <c r="AC12" s="12" t="n">
        <f aca="false">IF(AA12="","",RANK(AA12,$AA$2:$AA$85))</f>
        <v>11</v>
      </c>
      <c r="AD12" s="12" t="str">
        <f aca="false">IF(AA12="","Sairia — sem métrica",IF(PERCENTRANK($AA$2:$AA$85,AA12)&lt;Critérios!$B$6,"Sairia — terço inferior","Fica"))</f>
        <v>Fica</v>
      </c>
      <c r="AE12" s="12" t="s">
        <v>1873</v>
      </c>
      <c r="AG12" s="12" t="s">
        <v>1893</v>
      </c>
      <c r="AH12" s="15" t="s">
        <v>95</v>
      </c>
      <c r="AI12" s="16"/>
      <c r="AK12" s="12" t="s">
        <v>1911</v>
      </c>
      <c r="AL12" s="12" t="n">
        <f aca="false">COUNT(G12)+IF(OR(I12&lt;&gt;"",K12&lt;&gt;""),1,0)+IF(M12&lt;&gt;"",1,0)+COUNTA(V12:Y12)</f>
        <v>1</v>
      </c>
      <c r="AM12" s="12" t="str">
        <f aca="false">IF(AL12&gt;=3,"Sim","Não")</f>
        <v>Não</v>
      </c>
      <c r="AN12" s="12" t="str">
        <f aca="false">IF(AND(AC12&lt;&gt;"",AC12&lt;=Critérios!$B$9),"Sim","Não")</f>
        <v>Sim</v>
      </c>
    </row>
    <row r="13" customFormat="false" ht="15" hidden="false" customHeight="false" outlineLevel="0" collapsed="false">
      <c r="A13" s="12" t="s">
        <v>1912</v>
      </c>
      <c r="B13" s="12" t="s">
        <v>1913</v>
      </c>
      <c r="C13" s="12" t="s">
        <v>1913</v>
      </c>
      <c r="D13" s="12" t="s">
        <v>358</v>
      </c>
      <c r="E13" s="12" t="s">
        <v>1914</v>
      </c>
      <c r="F13" s="12" t="s">
        <v>1834</v>
      </c>
      <c r="G13" s="13" t="n">
        <v>1102781</v>
      </c>
      <c r="H13" s="12" t="n">
        <v>9</v>
      </c>
      <c r="I13" s="17"/>
      <c r="K13" s="13" t="n">
        <v>11820000</v>
      </c>
      <c r="P13" s="14" t="n">
        <f aca="false">IF(G13="","",PERCENTRANK($G$2:$G$85,G13))</f>
        <v>0.952</v>
      </c>
      <c r="Q13" s="14" t="str">
        <f aca="false">IF(J13="","",1-(J13-1)/20)</f>
        <v/>
      </c>
      <c r="R13" s="14" t="str">
        <f aca="false">IF(M13="","",1-(M13-1)/(2*N13))</f>
        <v/>
      </c>
      <c r="S13" s="14" t="n">
        <f aca="false">IF(K13="","",0.5+0.5*PERCENTRANK($K$2:$K$85,K13))</f>
        <v>0.75</v>
      </c>
      <c r="T13" s="14" t="n">
        <f aca="false">IF(COUNT(Q13:S13)=0,"",MAX(Q13:S13))</f>
        <v>0.75</v>
      </c>
      <c r="U13" s="12" t="n">
        <f aca="false">COUNT(P13,T13)</f>
        <v>2</v>
      </c>
      <c r="Y13" s="12" t="s">
        <v>1915</v>
      </c>
      <c r="Z13" s="12" t="n">
        <f aca="false">COUNTA(V13:Y13)</f>
        <v>1</v>
      </c>
      <c r="AA13" s="14" t="n">
        <f aca="false">IF(U13=0,"",MIN(1,AVERAGE(P13,T13)+Critérios!$B$5*Z13))</f>
        <v>0.881</v>
      </c>
      <c r="AB13" s="12" t="str">
        <f aca="false">IF(AA13="","",IF(AA13&gt;=Critérios!$B$7,"A",IF(AA13&gt;=Critérios!$B$8,"B","C")))</f>
        <v>A</v>
      </c>
      <c r="AC13" s="12" t="n">
        <f aca="false">IF(AA13="","",RANK(AA13,$AA$2:$AA$85))</f>
        <v>12</v>
      </c>
      <c r="AD13" s="12" t="str">
        <f aca="false">IF(AA13="","Sairia — sem métrica",IF(PERCENTRANK($AA$2:$AA$85,AA13)&lt;Critérios!$B$6,"Sairia — terço inferior","Fica"))</f>
        <v>Fica</v>
      </c>
      <c r="AE13" s="12" t="s">
        <v>1873</v>
      </c>
      <c r="AH13" s="15" t="s">
        <v>95</v>
      </c>
      <c r="AI13" s="16"/>
      <c r="AJ13" s="12" t="s">
        <v>1916</v>
      </c>
      <c r="AK13" s="12" t="s">
        <v>1917</v>
      </c>
      <c r="AL13" s="12" t="n">
        <f aca="false">COUNT(G13)+IF(OR(I13&lt;&gt;"",K13&lt;&gt;""),1,0)+IF(M13&lt;&gt;"",1,0)+COUNTA(V13:Y13)</f>
        <v>3</v>
      </c>
      <c r="AM13" s="12" t="str">
        <f aca="false">IF(AL13&gt;=3,"Sim","Não")</f>
        <v>Sim</v>
      </c>
      <c r="AN13" s="12" t="str">
        <f aca="false">IF(AND(AC13&lt;&gt;"",AC13&lt;=Critérios!$B$9),"Sim","Não")</f>
        <v>Sim</v>
      </c>
    </row>
    <row r="14" customFormat="false" ht="15" hidden="false" customHeight="false" outlineLevel="0" collapsed="false">
      <c r="A14" s="12" t="s">
        <v>1918</v>
      </c>
      <c r="B14" s="12" t="s">
        <v>1919</v>
      </c>
      <c r="C14" s="12" t="s">
        <v>1919</v>
      </c>
      <c r="D14" s="12" t="s">
        <v>321</v>
      </c>
      <c r="E14" s="12" t="s">
        <v>1878</v>
      </c>
      <c r="F14" s="12" t="s">
        <v>1834</v>
      </c>
      <c r="G14" s="13" t="n">
        <v>2690329</v>
      </c>
      <c r="H14" s="12" t="n">
        <v>9.5</v>
      </c>
      <c r="I14" s="17"/>
      <c r="K14" s="13" t="n">
        <v>6040000</v>
      </c>
      <c r="P14" s="14" t="n">
        <f aca="false">IF(G14="","",PERCENTRANK($G$2:$G$85,G14))</f>
        <v>1</v>
      </c>
      <c r="Q14" s="14" t="str">
        <f aca="false">IF(J14="","",1-(J14-1)/20)</f>
        <v/>
      </c>
      <c r="R14" s="14" t="str">
        <f aca="false">IF(M14="","",1-(M14-1)/(2*N14))</f>
        <v/>
      </c>
      <c r="S14" s="14" t="n">
        <f aca="false">IF(K14="","",0.5+0.5*PERCENTRANK($K$2:$K$85,K14))</f>
        <v>0.6875</v>
      </c>
      <c r="T14" s="14" t="n">
        <f aca="false">IF(COUNT(Q14:S14)=0,"",MAX(Q14:S14))</f>
        <v>0.6875</v>
      </c>
      <c r="U14" s="12" t="n">
        <f aca="false">COUNT(P14,T14)</f>
        <v>2</v>
      </c>
      <c r="Y14" s="12" t="s">
        <v>1702</v>
      </c>
      <c r="Z14" s="12" t="n">
        <f aca="false">COUNTA(V14:Y14)</f>
        <v>1</v>
      </c>
      <c r="AA14" s="14" t="n">
        <f aca="false">IF(U14=0,"",MIN(1,AVERAGE(P14,T14)+Critérios!$B$5*Z14))</f>
        <v>0.87375</v>
      </c>
      <c r="AB14" s="12" t="str">
        <f aca="false">IF(AA14="","",IF(AA14&gt;=Critérios!$B$7,"A",IF(AA14&gt;=Critérios!$B$8,"B","C")))</f>
        <v>A</v>
      </c>
      <c r="AC14" s="12" t="n">
        <f aca="false">IF(AA14="","",RANK(AA14,$AA$2:$AA$85))</f>
        <v>13</v>
      </c>
      <c r="AD14" s="12" t="str">
        <f aca="false">IF(AA14="","Sairia — sem métrica",IF(PERCENTRANK($AA$2:$AA$85,AA14)&lt;Critérios!$B$6,"Sairia — terço inferior","Fica"))</f>
        <v>Fica</v>
      </c>
      <c r="AE14" s="12" t="s">
        <v>1873</v>
      </c>
      <c r="AF14" s="12" t="s">
        <v>1857</v>
      </c>
      <c r="AH14" s="15" t="s">
        <v>95</v>
      </c>
      <c r="AI14" s="16"/>
      <c r="AJ14" s="12" t="s">
        <v>1920</v>
      </c>
      <c r="AK14" s="12" t="s">
        <v>1921</v>
      </c>
      <c r="AL14" s="12" t="n">
        <f aca="false">COUNT(G14)+IF(OR(I14&lt;&gt;"",K14&lt;&gt;""),1,0)+IF(M14&lt;&gt;"",1,0)+COUNTA(V14:Y14)</f>
        <v>3</v>
      </c>
      <c r="AM14" s="12" t="str">
        <f aca="false">IF(AL14&gt;=3,"Sim","Não")</f>
        <v>Sim</v>
      </c>
      <c r="AN14" s="12" t="str">
        <f aca="false">IF(AND(AC14&lt;&gt;"",AC14&lt;=Critérios!$B$9),"Sim","Não")</f>
        <v>Sim</v>
      </c>
    </row>
    <row r="15" customFormat="false" ht="15" hidden="false" customHeight="false" outlineLevel="0" collapsed="false">
      <c r="A15" s="12" t="s">
        <v>1922</v>
      </c>
      <c r="B15" s="12" t="s">
        <v>1923</v>
      </c>
      <c r="C15" s="12" t="s">
        <v>1923</v>
      </c>
      <c r="D15" s="12" t="s">
        <v>202</v>
      </c>
      <c r="E15" s="12" t="s">
        <v>1924</v>
      </c>
      <c r="F15" s="12" t="s">
        <v>1891</v>
      </c>
      <c r="G15" s="13" t="n">
        <v>752978</v>
      </c>
      <c r="H15" s="12" t="n">
        <v>9.1</v>
      </c>
      <c r="I15" s="17"/>
      <c r="K15" s="17"/>
      <c r="P15" s="14" t="n">
        <f aca="false">IF(G15="","",PERCENTRANK($G$2:$G$85,G15))</f>
        <v>0.807</v>
      </c>
      <c r="Q15" s="14" t="str">
        <f aca="false">IF(J15="","",1-(J15-1)/20)</f>
        <v/>
      </c>
      <c r="R15" s="14" t="str">
        <f aca="false">IF(M15="","",1-(M15-1)/(2*N15))</f>
        <v/>
      </c>
      <c r="S15" s="14" t="str">
        <f aca="false">IF(K15="","",0.5+0.5*PERCENTRANK($K$2:$K$85,K15))</f>
        <v/>
      </c>
      <c r="T15" s="14" t="str">
        <f aca="false">IF(COUNT(Q15:S15)=0,"",MAX(Q15:S15))</f>
        <v/>
      </c>
      <c r="U15" s="12" t="n">
        <f aca="false">COUNT(P15,T15)</f>
        <v>1</v>
      </c>
      <c r="W15" s="12" t="s">
        <v>1925</v>
      </c>
      <c r="Y15" s="12" t="s">
        <v>1926</v>
      </c>
      <c r="Z15" s="12" t="n">
        <f aca="false">COUNTA(V15:Y15)</f>
        <v>2</v>
      </c>
      <c r="AA15" s="14" t="n">
        <f aca="false">IF(U15=0,"",MIN(1,AVERAGE(P15,T15)+Critérios!$B$5*Z15))</f>
        <v>0.867</v>
      </c>
      <c r="AB15" s="12" t="str">
        <f aca="false">IF(AA15="","",IF(AA15&gt;=Critérios!$B$7,"A",IF(AA15&gt;=Critérios!$B$8,"B","C")))</f>
        <v>A</v>
      </c>
      <c r="AC15" s="12" t="n">
        <f aca="false">IF(AA15="","",RANK(AA15,$AA$2:$AA$85))</f>
        <v>14</v>
      </c>
      <c r="AD15" s="12" t="str">
        <f aca="false">IF(AA15="","Sairia — sem métrica",IF(PERCENTRANK($AA$2:$AA$85,AA15)&lt;Critérios!$B$6,"Sairia — terço inferior","Fica"))</f>
        <v>Fica</v>
      </c>
      <c r="AE15" s="12" t="s">
        <v>1873</v>
      </c>
      <c r="AG15" s="12" t="s">
        <v>1927</v>
      </c>
      <c r="AH15" s="15" t="s">
        <v>95</v>
      </c>
      <c r="AI15" s="16"/>
      <c r="AK15" s="12" t="s">
        <v>1928</v>
      </c>
      <c r="AL15" s="12" t="n">
        <f aca="false">COUNT(G15)+IF(OR(I15&lt;&gt;"",K15&lt;&gt;""),1,0)+IF(M15&lt;&gt;"",1,0)+COUNTA(V15:Y15)</f>
        <v>3</v>
      </c>
      <c r="AM15" s="12" t="str">
        <f aca="false">IF(AL15&gt;=3,"Sim","Não")</f>
        <v>Sim</v>
      </c>
      <c r="AN15" s="12" t="str">
        <f aca="false">IF(AND(AC15&lt;&gt;"",AC15&lt;=Critérios!$B$9),"Sim","Não")</f>
        <v>Sim</v>
      </c>
    </row>
    <row r="16" customFormat="false" ht="15" hidden="false" customHeight="false" outlineLevel="0" collapsed="false">
      <c r="A16" s="12" t="s">
        <v>1929</v>
      </c>
      <c r="B16" s="12" t="s">
        <v>1930</v>
      </c>
      <c r="C16" s="12" t="s">
        <v>1930</v>
      </c>
      <c r="D16" s="12" t="s">
        <v>158</v>
      </c>
      <c r="E16" s="12" t="s">
        <v>1885</v>
      </c>
      <c r="F16" s="12" t="s">
        <v>1891</v>
      </c>
      <c r="G16" s="13" t="n">
        <v>774987</v>
      </c>
      <c r="H16" s="12" t="n">
        <v>8.8</v>
      </c>
      <c r="I16" s="17"/>
      <c r="K16" s="17"/>
      <c r="P16" s="14" t="n">
        <f aca="false">IF(G16="","",PERCENTRANK($G$2:$G$85,G16))</f>
        <v>0.831</v>
      </c>
      <c r="Q16" s="14" t="str">
        <f aca="false">IF(J16="","",1-(J16-1)/20)</f>
        <v/>
      </c>
      <c r="R16" s="14" t="str">
        <f aca="false">IF(M16="","",1-(M16-1)/(2*N16))</f>
        <v/>
      </c>
      <c r="S16" s="14" t="str">
        <f aca="false">IF(K16="","",0.5+0.5*PERCENTRANK($K$2:$K$85,K16))</f>
        <v/>
      </c>
      <c r="T16" s="14" t="str">
        <f aca="false">IF(COUNT(Q16:S16)=0,"",MAX(Q16:S16))</f>
        <v/>
      </c>
      <c r="U16" s="12" t="n">
        <f aca="false">COUNT(P16,T16)</f>
        <v>1</v>
      </c>
      <c r="Y16" s="12" t="s">
        <v>1931</v>
      </c>
      <c r="Z16" s="12" t="n">
        <f aca="false">COUNTA(V16:Y16)</f>
        <v>1</v>
      </c>
      <c r="AA16" s="14" t="n">
        <f aca="false">IF(U16=0,"",MIN(1,AVERAGE(P16,T16)+Critérios!$B$5*Z16))</f>
        <v>0.861</v>
      </c>
      <c r="AB16" s="12" t="str">
        <f aca="false">IF(AA16="","",IF(AA16&gt;=Critérios!$B$7,"A",IF(AA16&gt;=Critérios!$B$8,"B","C")))</f>
        <v>A</v>
      </c>
      <c r="AC16" s="12" t="n">
        <f aca="false">IF(AA16="","",RANK(AA16,$AA$2:$AA$85))</f>
        <v>15</v>
      </c>
      <c r="AD16" s="12" t="str">
        <f aca="false">IF(AA16="","Sairia — sem métrica",IF(PERCENTRANK($AA$2:$AA$85,AA16)&lt;Critérios!$B$6,"Sairia — terço inferior","Fica"))</f>
        <v>Fica</v>
      </c>
      <c r="AE16" s="12" t="s">
        <v>1898</v>
      </c>
      <c r="AG16" s="12" t="s">
        <v>1893</v>
      </c>
      <c r="AH16" s="15" t="s">
        <v>95</v>
      </c>
      <c r="AI16" s="16"/>
      <c r="AK16" s="12" t="s">
        <v>1932</v>
      </c>
      <c r="AL16" s="12" t="n">
        <f aca="false">COUNT(G16)+IF(OR(I16&lt;&gt;"",K16&lt;&gt;""),1,0)+IF(M16&lt;&gt;"",1,0)+COUNTA(V16:Y16)</f>
        <v>2</v>
      </c>
      <c r="AM16" s="12" t="str">
        <f aca="false">IF(AL16&gt;=3,"Sim","Não")</f>
        <v>Não</v>
      </c>
      <c r="AN16" s="12" t="str">
        <f aca="false">IF(AND(AC16&lt;&gt;"",AC16&lt;=Critérios!$B$9),"Sim","Não")</f>
        <v>Sim</v>
      </c>
    </row>
    <row r="17" customFormat="false" ht="15" hidden="false" customHeight="false" outlineLevel="0" collapsed="false">
      <c r="A17" s="12" t="s">
        <v>1933</v>
      </c>
      <c r="B17" s="12" t="s">
        <v>1934</v>
      </c>
      <c r="C17" s="12" t="s">
        <v>1935</v>
      </c>
      <c r="D17" s="12" t="s">
        <v>127</v>
      </c>
      <c r="E17" s="12" t="s">
        <v>1936</v>
      </c>
      <c r="F17" s="12" t="s">
        <v>1834</v>
      </c>
      <c r="G17" s="13" t="n">
        <v>550684</v>
      </c>
      <c r="H17" s="12" t="n">
        <v>8.4</v>
      </c>
      <c r="I17" s="17"/>
      <c r="K17" s="13" t="n">
        <v>3810000</v>
      </c>
      <c r="M17" s="12" t="n">
        <v>7</v>
      </c>
      <c r="N17" s="12" t="n">
        <v>30</v>
      </c>
      <c r="O17" s="12" t="s">
        <v>1937</v>
      </c>
      <c r="P17" s="14" t="n">
        <f aca="false">IF(G17="","",PERCENTRANK($G$2:$G$85,G17))</f>
        <v>0.639</v>
      </c>
      <c r="Q17" s="14" t="str">
        <f aca="false">IF(J17="","",1-(J17-1)/20)</f>
        <v/>
      </c>
      <c r="R17" s="14" t="n">
        <f aca="false">IF(M17="","",1-(M17-1)/(2*N17))</f>
        <v>0.9</v>
      </c>
      <c r="S17" s="14" t="n">
        <f aca="false">IF(K17="","",0.5+0.5*PERCENTRANK($K$2:$K$85,K17))</f>
        <v>0.625</v>
      </c>
      <c r="T17" s="14" t="n">
        <f aca="false">IF(COUNT(Q17:S17)=0,"",MAX(Q17:S17))</f>
        <v>0.9</v>
      </c>
      <c r="U17" s="12" t="n">
        <f aca="false">COUNT(P17,T17)</f>
        <v>2</v>
      </c>
      <c r="V17" s="12" t="s">
        <v>1938</v>
      </c>
      <c r="W17" s="12" t="s">
        <v>1939</v>
      </c>
      <c r="Y17" s="12" t="s">
        <v>1940</v>
      </c>
      <c r="Z17" s="12" t="n">
        <f aca="false">COUNTA(V17:Y17)</f>
        <v>3</v>
      </c>
      <c r="AA17" s="14" t="n">
        <f aca="false">IF(U17=0,"",MIN(1,AVERAGE(P17,T17)+Critérios!$B$5*Z17))</f>
        <v>0.8595</v>
      </c>
      <c r="AB17" s="12" t="str">
        <f aca="false">IF(AA17="","",IF(AA17&gt;=Critérios!$B$7,"A",IF(AA17&gt;=Critérios!$B$8,"B","C")))</f>
        <v>A</v>
      </c>
      <c r="AC17" s="12" t="n">
        <f aca="false">IF(AA17="","",RANK(AA17,$AA$2:$AA$85))</f>
        <v>16</v>
      </c>
      <c r="AD17" s="12" t="str">
        <f aca="false">IF(AA17="","Sairia — sem métrica",IF(PERCENTRANK($AA$2:$AA$85,AA17)&lt;Critérios!$B$6,"Sairia — terço inferior","Fica"))</f>
        <v>Fica</v>
      </c>
      <c r="AE17" s="12" t="s">
        <v>1898</v>
      </c>
      <c r="AH17" s="15" t="s">
        <v>95</v>
      </c>
      <c r="AI17" s="16"/>
      <c r="AJ17" s="12" t="s">
        <v>1941</v>
      </c>
      <c r="AK17" s="12" t="s">
        <v>1942</v>
      </c>
      <c r="AL17" s="12" t="n">
        <f aca="false">COUNT(G17)+IF(OR(I17&lt;&gt;"",K17&lt;&gt;""),1,0)+IF(M17&lt;&gt;"",1,0)+COUNTA(V17:Y17)</f>
        <v>6</v>
      </c>
      <c r="AM17" s="12" t="str">
        <f aca="false">IF(AL17&gt;=3,"Sim","Não")</f>
        <v>Sim</v>
      </c>
      <c r="AN17" s="12" t="str">
        <f aca="false">IF(AND(AC17&lt;&gt;"",AC17&lt;=Critérios!$B$9),"Sim","Não")</f>
        <v>Sim</v>
      </c>
    </row>
    <row r="18" customFormat="false" ht="15" hidden="false" customHeight="false" outlineLevel="0" collapsed="false">
      <c r="A18" s="12" t="s">
        <v>1943</v>
      </c>
      <c r="B18" s="12" t="s">
        <v>1944</v>
      </c>
      <c r="C18" s="12" t="s">
        <v>1944</v>
      </c>
      <c r="D18" s="12" t="s">
        <v>214</v>
      </c>
      <c r="E18" s="12"/>
      <c r="F18" s="12" t="s">
        <v>292</v>
      </c>
      <c r="G18" s="13" t="n">
        <v>551397</v>
      </c>
      <c r="H18" s="12" t="n">
        <v>8.4</v>
      </c>
      <c r="I18" s="17"/>
      <c r="K18" s="17"/>
      <c r="M18" s="12" t="n">
        <v>1</v>
      </c>
      <c r="N18" s="12" t="n">
        <v>30</v>
      </c>
      <c r="O18" s="12" t="s">
        <v>1945</v>
      </c>
      <c r="P18" s="14" t="n">
        <f aca="false">IF(G18="","",PERCENTRANK($G$2:$G$85,G18))</f>
        <v>0.651</v>
      </c>
      <c r="Q18" s="14" t="str">
        <f aca="false">IF(J18="","",1-(J18-1)/20)</f>
        <v/>
      </c>
      <c r="R18" s="14" t="n">
        <f aca="false">IF(M18="","",1-(M18-1)/(2*N18))</f>
        <v>1</v>
      </c>
      <c r="S18" s="14" t="str">
        <f aca="false">IF(K18="","",0.5+0.5*PERCENTRANK($K$2:$K$85,K18))</f>
        <v/>
      </c>
      <c r="T18" s="14" t="n">
        <f aca="false">IF(COUNT(Q18:S18)=0,"",MAX(Q18:S18))</f>
        <v>1</v>
      </c>
      <c r="U18" s="12" t="n">
        <f aca="false">COUNT(P18,T18)</f>
        <v>2</v>
      </c>
      <c r="Y18" s="12" t="s">
        <v>1946</v>
      </c>
      <c r="Z18" s="12" t="n">
        <f aca="false">COUNTA(V18:Y18)</f>
        <v>1</v>
      </c>
      <c r="AA18" s="14" t="n">
        <f aca="false">IF(U18=0,"",MIN(1,AVERAGE(P18,T18)+Critérios!$B$5*Z18))</f>
        <v>0.8555</v>
      </c>
      <c r="AB18" s="12" t="str">
        <f aca="false">IF(AA18="","",IF(AA18&gt;=Critérios!$B$7,"A",IF(AA18&gt;=Critérios!$B$8,"B","C")))</f>
        <v>A</v>
      </c>
      <c r="AC18" s="12" t="n">
        <f aca="false">IF(AA18="","",RANK(AA18,$AA$2:$AA$85))</f>
        <v>17</v>
      </c>
      <c r="AD18" s="12" t="str">
        <f aca="false">IF(AA18="","Sairia — sem métrica",IF(PERCENTRANK($AA$2:$AA$85,AA18)&lt;Critérios!$B$6,"Sairia — terço inferior","Fica"))</f>
        <v>Fica</v>
      </c>
      <c r="AE18" s="12" t="s">
        <v>105</v>
      </c>
      <c r="AH18" s="15" t="s">
        <v>95</v>
      </c>
      <c r="AI18" s="16"/>
      <c r="AK18" s="12" t="s">
        <v>1947</v>
      </c>
      <c r="AL18" s="12" t="n">
        <f aca="false">COUNT(G18)+IF(OR(I18&lt;&gt;"",K18&lt;&gt;""),1,0)+IF(M18&lt;&gt;"",1,0)+COUNTA(V18:Y18)</f>
        <v>3</v>
      </c>
      <c r="AM18" s="12" t="str">
        <f aca="false">IF(AL18&gt;=3,"Sim","Não")</f>
        <v>Sim</v>
      </c>
      <c r="AN18" s="12" t="str">
        <f aca="false">IF(AND(AC18&lt;&gt;"",AC18&lt;=Critérios!$B$9),"Sim","Não")</f>
        <v>Sim</v>
      </c>
    </row>
    <row r="19" customFormat="false" ht="15" hidden="false" customHeight="false" outlineLevel="0" collapsed="false">
      <c r="A19" s="12" t="s">
        <v>1948</v>
      </c>
      <c r="B19" s="12" t="s">
        <v>1949</v>
      </c>
      <c r="C19" s="12" t="s">
        <v>1949</v>
      </c>
      <c r="D19" s="12" t="s">
        <v>214</v>
      </c>
      <c r="E19" s="12" t="s">
        <v>1950</v>
      </c>
      <c r="F19" s="12" t="s">
        <v>1891</v>
      </c>
      <c r="G19" s="13" t="n">
        <v>751499</v>
      </c>
      <c r="H19" s="12" t="n">
        <v>8.7</v>
      </c>
      <c r="I19" s="17"/>
      <c r="K19" s="17"/>
      <c r="P19" s="14" t="n">
        <f aca="false">IF(G19="","",PERCENTRANK($G$2:$G$85,G19))</f>
        <v>0.795</v>
      </c>
      <c r="Q19" s="14" t="str">
        <f aca="false">IF(J19="","",1-(J19-1)/20)</f>
        <v/>
      </c>
      <c r="R19" s="14" t="str">
        <f aca="false">IF(M19="","",1-(M19-1)/(2*N19))</f>
        <v/>
      </c>
      <c r="S19" s="14" t="str">
        <f aca="false">IF(K19="","",0.5+0.5*PERCENTRANK($K$2:$K$85,K19))</f>
        <v/>
      </c>
      <c r="T19" s="14" t="str">
        <f aca="false">IF(COUNT(Q19:S19)=0,"",MAX(Q19:S19))</f>
        <v/>
      </c>
      <c r="U19" s="12" t="n">
        <f aca="false">COUNT(P19,T19)</f>
        <v>1</v>
      </c>
      <c r="X19" s="12" t="s">
        <v>1951</v>
      </c>
      <c r="Y19" s="12" t="s">
        <v>1307</v>
      </c>
      <c r="Z19" s="12" t="n">
        <f aca="false">COUNTA(V19:Y19)</f>
        <v>2</v>
      </c>
      <c r="AA19" s="14" t="n">
        <f aca="false">IF(U19=0,"",MIN(1,AVERAGE(P19,T19)+Critérios!$B$5*Z19))</f>
        <v>0.855</v>
      </c>
      <c r="AB19" s="12" t="str">
        <f aca="false">IF(AA19="","",IF(AA19&gt;=Critérios!$B$7,"A",IF(AA19&gt;=Critérios!$B$8,"B","C")))</f>
        <v>A</v>
      </c>
      <c r="AC19" s="12" t="n">
        <f aca="false">IF(AA19="","",RANK(AA19,$AA$2:$AA$85))</f>
        <v>18</v>
      </c>
      <c r="AD19" s="12" t="str">
        <f aca="false">IF(AA19="","Sairia — sem métrica",IF(PERCENTRANK($AA$2:$AA$85,AA19)&lt;Critérios!$B$6,"Sairia — terço inferior","Fica"))</f>
        <v>Fica</v>
      </c>
      <c r="AE19" s="12" t="s">
        <v>1839</v>
      </c>
      <c r="AG19" s="12" t="s">
        <v>1927</v>
      </c>
      <c r="AH19" s="15" t="s">
        <v>95</v>
      </c>
      <c r="AI19" s="16"/>
      <c r="AK19" s="12" t="s">
        <v>1952</v>
      </c>
      <c r="AL19" s="12" t="n">
        <f aca="false">COUNT(G19)+IF(OR(I19&lt;&gt;"",K19&lt;&gt;""),1,0)+IF(M19&lt;&gt;"",1,0)+COUNTA(V19:Y19)</f>
        <v>3</v>
      </c>
      <c r="AM19" s="12" t="str">
        <f aca="false">IF(AL19&gt;=3,"Sim","Não")</f>
        <v>Sim</v>
      </c>
      <c r="AN19" s="12" t="str">
        <f aca="false">IF(AND(AC19&lt;&gt;"",AC19&lt;=Critérios!$B$9),"Sim","Não")</f>
        <v>Sim</v>
      </c>
    </row>
    <row r="20" customFormat="false" ht="15" hidden="false" customHeight="false" outlineLevel="0" collapsed="false">
      <c r="A20" s="12" t="s">
        <v>1953</v>
      </c>
      <c r="B20" s="12" t="s">
        <v>1954</v>
      </c>
      <c r="C20" s="12" t="s">
        <v>1955</v>
      </c>
      <c r="D20" s="12" t="s">
        <v>118</v>
      </c>
      <c r="E20" s="12" t="s">
        <v>1833</v>
      </c>
      <c r="F20" s="12" t="s">
        <v>1834</v>
      </c>
      <c r="G20" s="13" t="n">
        <v>511554</v>
      </c>
      <c r="H20" s="12" t="n">
        <v>8</v>
      </c>
      <c r="I20" s="13" t="n">
        <v>252100000</v>
      </c>
      <c r="J20" s="12" t="n">
        <v>1</v>
      </c>
      <c r="K20" s="17"/>
      <c r="M20" s="12" t="n">
        <v>3</v>
      </c>
      <c r="N20" s="12" t="n">
        <v>30</v>
      </c>
      <c r="O20" s="12" t="s">
        <v>1956</v>
      </c>
      <c r="P20" s="14" t="n">
        <f aca="false">IF(G20="","",PERCENTRANK($G$2:$G$85,G20))</f>
        <v>0.627</v>
      </c>
      <c r="Q20" s="14" t="n">
        <f aca="false">IF(J20="","",1-(J20-1)/20)</f>
        <v>1</v>
      </c>
      <c r="R20" s="14" t="n">
        <f aca="false">IF(M20="","",1-(M20-1)/(2*N20))</f>
        <v>0.966666666666667</v>
      </c>
      <c r="S20" s="14" t="str">
        <f aca="false">IF(K20="","",0.5+0.5*PERCENTRANK($K$2:$K$85,K20))</f>
        <v/>
      </c>
      <c r="T20" s="14" t="n">
        <f aca="false">IF(COUNT(Q20:S20)=0,"",MAX(Q20:S20))</f>
        <v>1</v>
      </c>
      <c r="U20" s="12" t="n">
        <f aca="false">COUNT(P20,T20)</f>
        <v>2</v>
      </c>
      <c r="V20" s="12" t="s">
        <v>1957</v>
      </c>
      <c r="Z20" s="12" t="n">
        <f aca="false">COUNTA(V20:Y20)</f>
        <v>1</v>
      </c>
      <c r="AA20" s="14" t="n">
        <f aca="false">IF(U20=0,"",MIN(1,AVERAGE(P20,T20)+Critérios!$B$5*Z20))</f>
        <v>0.8435</v>
      </c>
      <c r="AB20" s="12" t="str">
        <f aca="false">IF(AA20="","",IF(AA20&gt;=Critérios!$B$7,"A",IF(AA20&gt;=Critérios!$B$8,"B","C")))</f>
        <v>A</v>
      </c>
      <c r="AC20" s="12" t="n">
        <f aca="false">IF(AA20="","",RANK(AA20,$AA$2:$AA$85))</f>
        <v>19</v>
      </c>
      <c r="AD20" s="12" t="str">
        <f aca="false">IF(AA20="","Sairia — sem métrica",IF(PERCENTRANK($AA$2:$AA$85,AA20)&lt;Critérios!$B$6,"Sairia — terço inferior","Fica"))</f>
        <v>Fica</v>
      </c>
      <c r="AE20" s="12" t="s">
        <v>1873</v>
      </c>
      <c r="AH20" s="15" t="s">
        <v>95</v>
      </c>
      <c r="AI20" s="16"/>
      <c r="AJ20" s="12" t="s">
        <v>1840</v>
      </c>
      <c r="AK20" s="12" t="s">
        <v>1958</v>
      </c>
      <c r="AL20" s="12" t="n">
        <f aca="false">COUNT(G20)+IF(OR(I20&lt;&gt;"",K20&lt;&gt;""),1,0)+IF(M20&lt;&gt;"",1,0)+COUNTA(V20:Y20)</f>
        <v>4</v>
      </c>
      <c r="AM20" s="12" t="str">
        <f aca="false">IF(AL20&gt;=3,"Sim","Não")</f>
        <v>Sim</v>
      </c>
      <c r="AN20" s="12" t="str">
        <f aca="false">IF(AND(AC20&lt;&gt;"",AC20&lt;=Critérios!$B$9),"Sim","Não")</f>
        <v>Sim</v>
      </c>
    </row>
    <row r="21" customFormat="false" ht="15" hidden="false" customHeight="false" outlineLevel="0" collapsed="false">
      <c r="A21" s="12" t="s">
        <v>1959</v>
      </c>
      <c r="B21" s="12" t="s">
        <v>1960</v>
      </c>
      <c r="C21" s="12" t="s">
        <v>1961</v>
      </c>
      <c r="D21" s="12" t="s">
        <v>202</v>
      </c>
      <c r="E21" s="12"/>
      <c r="F21" s="12" t="s">
        <v>1962</v>
      </c>
      <c r="G21" s="13" t="n">
        <v>715759</v>
      </c>
      <c r="H21" s="12" t="n">
        <v>9</v>
      </c>
      <c r="I21" s="17"/>
      <c r="K21" s="17"/>
      <c r="P21" s="14" t="n">
        <f aca="false">IF(G21="","",PERCENTRANK($G$2:$G$85,G21))</f>
        <v>0.783</v>
      </c>
      <c r="Q21" s="14" t="str">
        <f aca="false">IF(J21="","",1-(J21-1)/20)</f>
        <v/>
      </c>
      <c r="R21" s="14" t="str">
        <f aca="false">IF(M21="","",1-(M21-1)/(2*N21))</f>
        <v/>
      </c>
      <c r="S21" s="14" t="str">
        <f aca="false">IF(K21="","",0.5+0.5*PERCENTRANK($K$2:$K$85,K21))</f>
        <v/>
      </c>
      <c r="T21" s="14" t="str">
        <f aca="false">IF(COUNT(Q21:S21)=0,"",MAX(Q21:S21))</f>
        <v/>
      </c>
      <c r="U21" s="12" t="n">
        <f aca="false">COUNT(P21,T21)</f>
        <v>1</v>
      </c>
      <c r="V21" s="12" t="s">
        <v>1963</v>
      </c>
      <c r="Y21" s="12" t="s">
        <v>1964</v>
      </c>
      <c r="Z21" s="12" t="n">
        <f aca="false">COUNTA(V21:Y21)</f>
        <v>2</v>
      </c>
      <c r="AA21" s="14" t="n">
        <f aca="false">IF(U21=0,"",MIN(1,AVERAGE(P21,T21)+Critérios!$B$5*Z21))</f>
        <v>0.843</v>
      </c>
      <c r="AB21" s="12" t="str">
        <f aca="false">IF(AA21="","",IF(AA21&gt;=Critérios!$B$7,"A",IF(AA21&gt;=Critérios!$B$8,"B","C")))</f>
        <v>A</v>
      </c>
      <c r="AC21" s="12" t="n">
        <f aca="false">IF(AA21="","",RANK(AA21,$AA$2:$AA$85))</f>
        <v>20</v>
      </c>
      <c r="AD21" s="12" t="str">
        <f aca="false">IF(AA21="","Sairia — sem métrica",IF(PERCENTRANK($AA$2:$AA$85,AA21)&lt;Critérios!$B$6,"Sairia — terço inferior","Fica"))</f>
        <v>Fica</v>
      </c>
      <c r="AE21" s="12" t="s">
        <v>105</v>
      </c>
      <c r="AH21" s="15" t="s">
        <v>95</v>
      </c>
      <c r="AI21" s="16"/>
      <c r="AK21" s="12" t="s">
        <v>1965</v>
      </c>
      <c r="AL21" s="12" t="n">
        <f aca="false">COUNT(G21)+IF(OR(I21&lt;&gt;"",K21&lt;&gt;""),1,0)+IF(M21&lt;&gt;"",1,0)+COUNTA(V21:Y21)</f>
        <v>3</v>
      </c>
      <c r="AM21" s="12" t="str">
        <f aca="false">IF(AL21&gt;=3,"Sim","Não")</f>
        <v>Sim</v>
      </c>
      <c r="AN21" s="12" t="str">
        <f aca="false">IF(AND(AC21&lt;&gt;"",AC21&lt;=Critérios!$B$9),"Sim","Não")</f>
        <v>Sim</v>
      </c>
    </row>
    <row r="22" customFormat="false" ht="15" hidden="false" customHeight="false" outlineLevel="0" collapsed="false">
      <c r="A22" s="12" t="s">
        <v>1966</v>
      </c>
      <c r="B22" s="12" t="s">
        <v>1967</v>
      </c>
      <c r="C22" s="12" t="s">
        <v>1967</v>
      </c>
      <c r="D22" s="12" t="s">
        <v>127</v>
      </c>
      <c r="E22" s="12" t="s">
        <v>1968</v>
      </c>
      <c r="F22" s="12" t="s">
        <v>1834</v>
      </c>
      <c r="G22" s="13" t="n">
        <v>378772</v>
      </c>
      <c r="H22" s="12" t="n">
        <v>7.6</v>
      </c>
      <c r="I22" s="17"/>
      <c r="K22" s="13" t="n">
        <v>21070000</v>
      </c>
      <c r="M22" s="12" t="n">
        <v>2</v>
      </c>
      <c r="N22" s="12" t="n">
        <v>30</v>
      </c>
      <c r="O22" s="12" t="s">
        <v>1969</v>
      </c>
      <c r="P22" s="14" t="n">
        <f aca="false">IF(G22="","",PERCENTRANK($G$2:$G$85,G22))</f>
        <v>0.518</v>
      </c>
      <c r="Q22" s="14" t="str">
        <f aca="false">IF(J22="","",1-(J22-1)/20)</f>
        <v/>
      </c>
      <c r="R22" s="14" t="n">
        <f aca="false">IF(M22="","",1-(M22-1)/(2*N22))</f>
        <v>0.983333333333333</v>
      </c>
      <c r="S22" s="14" t="n">
        <f aca="false">IF(K22="","",0.5+0.5*PERCENTRANK($K$2:$K$85,K22))</f>
        <v>0.969</v>
      </c>
      <c r="T22" s="14" t="n">
        <f aca="false">IF(COUNT(Q22:S22)=0,"",MAX(Q22:S22))</f>
        <v>0.983333333333333</v>
      </c>
      <c r="U22" s="12" t="n">
        <f aca="false">COUNT(P22,T22)</f>
        <v>2</v>
      </c>
      <c r="V22" s="12" t="s">
        <v>1970</v>
      </c>
      <c r="W22" s="12" t="s">
        <v>1971</v>
      </c>
      <c r="Y22" s="12" t="s">
        <v>1465</v>
      </c>
      <c r="Z22" s="12" t="n">
        <f aca="false">COUNTA(V22:Y22)</f>
        <v>3</v>
      </c>
      <c r="AA22" s="14" t="n">
        <f aca="false">IF(U22=0,"",MIN(1,AVERAGE(P22,T22)+Critérios!$B$5*Z22))</f>
        <v>0.840666666666667</v>
      </c>
      <c r="AB22" s="12" t="str">
        <f aca="false">IF(AA22="","",IF(AA22&gt;=Critérios!$B$7,"A",IF(AA22&gt;=Critérios!$B$8,"B","C")))</f>
        <v>A</v>
      </c>
      <c r="AC22" s="12" t="n">
        <f aca="false">IF(AA22="","",RANK(AA22,$AA$2:$AA$85))</f>
        <v>21</v>
      </c>
      <c r="AD22" s="12" t="str">
        <f aca="false">IF(AA22="","Sairia — sem métrica",IF(PERCENTRANK($AA$2:$AA$85,AA22)&lt;Critérios!$B$6,"Sairia — terço inferior","Fica"))</f>
        <v>Fica</v>
      </c>
      <c r="AE22" s="12" t="s">
        <v>1873</v>
      </c>
      <c r="AH22" s="15" t="s">
        <v>95</v>
      </c>
      <c r="AI22" s="16"/>
      <c r="AJ22" s="12" t="s">
        <v>1972</v>
      </c>
      <c r="AK22" s="12" t="s">
        <v>1973</v>
      </c>
      <c r="AL22" s="12" t="n">
        <f aca="false">COUNT(G22)+IF(OR(I22&lt;&gt;"",K22&lt;&gt;""),1,0)+IF(M22&lt;&gt;"",1,0)+COUNTA(V22:Y22)</f>
        <v>6</v>
      </c>
      <c r="AM22" s="12" t="str">
        <f aca="false">IF(AL22&gt;=3,"Sim","Não")</f>
        <v>Sim</v>
      </c>
      <c r="AN22" s="12" t="str">
        <f aca="false">IF(AND(AC22&lt;&gt;"",AC22&lt;=Critérios!$B$9),"Sim","Não")</f>
        <v>Sim</v>
      </c>
    </row>
    <row r="23" customFormat="false" ht="15" hidden="false" customHeight="false" outlineLevel="0" collapsed="false">
      <c r="A23" s="12" t="s">
        <v>1974</v>
      </c>
      <c r="B23" s="12" t="s">
        <v>1975</v>
      </c>
      <c r="C23" s="12" t="s">
        <v>1975</v>
      </c>
      <c r="D23" s="12" t="s">
        <v>189</v>
      </c>
      <c r="E23" s="12" t="s">
        <v>1976</v>
      </c>
      <c r="F23" s="12" t="s">
        <v>1891</v>
      </c>
      <c r="G23" s="13" t="n">
        <v>398892</v>
      </c>
      <c r="H23" s="12" t="n">
        <v>8</v>
      </c>
      <c r="I23" s="17"/>
      <c r="K23" s="17"/>
      <c r="M23" s="12" t="n">
        <v>1</v>
      </c>
      <c r="N23" s="12" t="n">
        <v>30</v>
      </c>
      <c r="O23" s="12" t="s">
        <v>1977</v>
      </c>
      <c r="P23" s="14" t="n">
        <f aca="false">IF(G23="","",PERCENTRANK($G$2:$G$85,G23))</f>
        <v>0.554</v>
      </c>
      <c r="Q23" s="14" t="str">
        <f aca="false">IF(J23="","",1-(J23-1)/20)</f>
        <v/>
      </c>
      <c r="R23" s="14" t="n">
        <f aca="false">IF(M23="","",1-(M23-1)/(2*N23))</f>
        <v>1</v>
      </c>
      <c r="S23" s="14" t="str">
        <f aca="false">IF(K23="","",0.5+0.5*PERCENTRANK($K$2:$K$85,K23))</f>
        <v/>
      </c>
      <c r="T23" s="14" t="n">
        <f aca="false">IF(COUNT(Q23:S23)=0,"",MAX(Q23:S23))</f>
        <v>1</v>
      </c>
      <c r="U23" s="12" t="n">
        <f aca="false">COUNT(P23,T23)</f>
        <v>2</v>
      </c>
      <c r="W23" s="12" t="s">
        <v>1978</v>
      </c>
      <c r="X23" s="12" t="s">
        <v>1979</v>
      </c>
      <c r="Z23" s="12" t="n">
        <f aca="false">COUNTA(V23:Y23)</f>
        <v>2</v>
      </c>
      <c r="AA23" s="14" t="n">
        <f aca="false">IF(U23=0,"",MIN(1,AVERAGE(P23,T23)+Critérios!$B$5*Z23))</f>
        <v>0.837</v>
      </c>
      <c r="AB23" s="12" t="str">
        <f aca="false">IF(AA23="","",IF(AA23&gt;=Critérios!$B$7,"A",IF(AA23&gt;=Critérios!$B$8,"B","C")))</f>
        <v>A</v>
      </c>
      <c r="AC23" s="12" t="n">
        <f aca="false">IF(AA23="","",RANK(AA23,$AA$2:$AA$85))</f>
        <v>22</v>
      </c>
      <c r="AD23" s="12" t="str">
        <f aca="false">IF(AA23="","Sairia — sem métrica",IF(PERCENTRANK($AA$2:$AA$85,AA23)&lt;Critérios!$B$6,"Sairia — terço inferior","Fica"))</f>
        <v>Fica</v>
      </c>
      <c r="AE23" s="12" t="s">
        <v>1873</v>
      </c>
      <c r="AG23" s="12" t="s">
        <v>1927</v>
      </c>
      <c r="AH23" s="15" t="s">
        <v>95</v>
      </c>
      <c r="AI23" s="16"/>
      <c r="AK23" s="12" t="s">
        <v>1980</v>
      </c>
      <c r="AL23" s="12" t="n">
        <f aca="false">COUNT(G23)+IF(OR(I23&lt;&gt;"",K23&lt;&gt;""),1,0)+IF(M23&lt;&gt;"",1,0)+COUNTA(V23:Y23)</f>
        <v>4</v>
      </c>
      <c r="AM23" s="12" t="str">
        <f aca="false">IF(AL23&gt;=3,"Sim","Não")</f>
        <v>Sim</v>
      </c>
      <c r="AN23" s="12" t="str">
        <f aca="false">IF(AND(AC23&lt;&gt;"",AC23&lt;=Critérios!$B$9),"Sim","Não")</f>
        <v>Sim</v>
      </c>
    </row>
    <row r="24" customFormat="false" ht="15" hidden="false" customHeight="false" outlineLevel="0" collapsed="false">
      <c r="A24" s="12" t="s">
        <v>1981</v>
      </c>
      <c r="B24" s="12" t="s">
        <v>1982</v>
      </c>
      <c r="C24" s="12" t="s">
        <v>1983</v>
      </c>
      <c r="D24" s="12" t="s">
        <v>207</v>
      </c>
      <c r="E24" s="12" t="s">
        <v>1833</v>
      </c>
      <c r="F24" s="12" t="s">
        <v>1834</v>
      </c>
      <c r="G24" s="13" t="n">
        <v>621465</v>
      </c>
      <c r="H24" s="12" t="n">
        <v>8.2</v>
      </c>
      <c r="I24" s="13" t="n">
        <v>106000000</v>
      </c>
      <c r="J24" s="12" t="n">
        <v>4</v>
      </c>
      <c r="K24" s="17"/>
      <c r="P24" s="14" t="n">
        <f aca="false">IF(G24="","",PERCENTRANK($G$2:$G$85,G24))</f>
        <v>0.699</v>
      </c>
      <c r="Q24" s="14" t="n">
        <f aca="false">IF(J24="","",1-(J24-1)/20)</f>
        <v>0.85</v>
      </c>
      <c r="R24" s="14" t="str">
        <f aca="false">IF(M24="","",1-(M24-1)/(2*N24))</f>
        <v/>
      </c>
      <c r="S24" s="14" t="str">
        <f aca="false">IF(K24="","",0.5+0.5*PERCENTRANK($K$2:$K$85,K24))</f>
        <v/>
      </c>
      <c r="T24" s="14" t="n">
        <f aca="false">IF(COUNT(Q24:S24)=0,"",MAX(Q24:S24))</f>
        <v>0.85</v>
      </c>
      <c r="U24" s="12" t="n">
        <f aca="false">COUNT(P24,T24)</f>
        <v>2</v>
      </c>
      <c r="W24" s="12" t="s">
        <v>1984</v>
      </c>
      <c r="X24" s="12" t="s">
        <v>1985</v>
      </c>
      <c r="Z24" s="12" t="n">
        <f aca="false">COUNTA(V24:Y24)</f>
        <v>2</v>
      </c>
      <c r="AA24" s="14" t="n">
        <f aca="false">IF(U24=0,"",MIN(1,AVERAGE(P24,T24)+Critérios!$B$5*Z24))</f>
        <v>0.8345</v>
      </c>
      <c r="AB24" s="12" t="str">
        <f aca="false">IF(AA24="","",IF(AA24&gt;=Critérios!$B$7,"A",IF(AA24&gt;=Critérios!$B$8,"B","C")))</f>
        <v>A</v>
      </c>
      <c r="AC24" s="12" t="n">
        <f aca="false">IF(AA24="","",RANK(AA24,$AA$2:$AA$85))</f>
        <v>23</v>
      </c>
      <c r="AD24" s="12" t="str">
        <f aca="false">IF(AA24="","Sairia — sem métrica",IF(PERCENTRANK($AA$2:$AA$85,AA24)&lt;Critérios!$B$6,"Sairia — terço inferior","Fica"))</f>
        <v>Fica</v>
      </c>
      <c r="AE24" s="12" t="s">
        <v>1839</v>
      </c>
      <c r="AH24" s="15" t="s">
        <v>95</v>
      </c>
      <c r="AI24" s="16"/>
      <c r="AJ24" s="12" t="s">
        <v>1874</v>
      </c>
      <c r="AK24" s="12" t="s">
        <v>1986</v>
      </c>
      <c r="AL24" s="12" t="n">
        <f aca="false">COUNT(G24)+IF(OR(I24&lt;&gt;"",K24&lt;&gt;""),1,0)+IF(M24&lt;&gt;"",1,0)+COUNTA(V24:Y24)</f>
        <v>4</v>
      </c>
      <c r="AM24" s="12" t="str">
        <f aca="false">IF(AL24&gt;=3,"Sim","Não")</f>
        <v>Sim</v>
      </c>
      <c r="AN24" s="12" t="str">
        <f aca="false">IF(AND(AC24&lt;&gt;"",AC24&lt;=Critérios!$B$9),"Sim","Não")</f>
        <v>Sim</v>
      </c>
    </row>
    <row r="25" customFormat="false" ht="15" hidden="false" customHeight="false" outlineLevel="0" collapsed="false">
      <c r="A25" s="12" t="s">
        <v>1987</v>
      </c>
      <c r="B25" s="12" t="s">
        <v>1988</v>
      </c>
      <c r="C25" s="12" t="s">
        <v>1989</v>
      </c>
      <c r="D25" s="12" t="s">
        <v>152</v>
      </c>
      <c r="E25" s="12" t="s">
        <v>1990</v>
      </c>
      <c r="F25" s="12" t="s">
        <v>1834</v>
      </c>
      <c r="G25" s="13" t="n">
        <v>602297</v>
      </c>
      <c r="H25" s="12" t="n">
        <v>8.7</v>
      </c>
      <c r="I25" s="17"/>
      <c r="K25" s="13" t="n">
        <v>19400000</v>
      </c>
      <c r="M25" s="12" t="n">
        <v>8</v>
      </c>
      <c r="N25" s="12" t="n">
        <v>40</v>
      </c>
      <c r="O25" s="12" t="s">
        <v>1991</v>
      </c>
      <c r="P25" s="14" t="n">
        <f aca="false">IF(G25="","",PERCENTRANK($G$2:$G$85,G25))</f>
        <v>0.687</v>
      </c>
      <c r="Q25" s="14" t="str">
        <f aca="false">IF(J25="","",1-(J25-1)/20)</f>
        <v/>
      </c>
      <c r="R25" s="14" t="n">
        <f aca="false">IF(M25="","",1-(M25-1)/(2*N25))</f>
        <v>0.9125</v>
      </c>
      <c r="S25" s="14" t="n">
        <f aca="false">IF(K25="","",0.5+0.5*PERCENTRANK($K$2:$K$85,K25))</f>
        <v>0.9065</v>
      </c>
      <c r="T25" s="14" t="n">
        <f aca="false">IF(COUNT(Q25:S25)=0,"",MAX(Q25:S25))</f>
        <v>0.9125</v>
      </c>
      <c r="U25" s="12" t="n">
        <f aca="false">COUNT(P25,T25)</f>
        <v>2</v>
      </c>
      <c r="Y25" s="12" t="s">
        <v>1992</v>
      </c>
      <c r="Z25" s="12" t="n">
        <f aca="false">COUNTA(V25:Y25)</f>
        <v>1</v>
      </c>
      <c r="AA25" s="14" t="n">
        <f aca="false">IF(U25=0,"",MIN(1,AVERAGE(P25,T25)+Critérios!$B$5*Z25))</f>
        <v>0.82975</v>
      </c>
      <c r="AB25" s="12" t="str">
        <f aca="false">IF(AA25="","",IF(AA25&gt;=Critérios!$B$7,"A",IF(AA25&gt;=Critérios!$B$8,"B","C")))</f>
        <v>A</v>
      </c>
      <c r="AC25" s="12" t="n">
        <f aca="false">IF(AA25="","",RANK(AA25,$AA$2:$AA$85))</f>
        <v>24</v>
      </c>
      <c r="AD25" s="12" t="str">
        <f aca="false">IF(AA25="","Sairia — sem métrica",IF(PERCENTRANK($AA$2:$AA$85,AA25)&lt;Critérios!$B$6,"Sairia — terço inferior","Fica"))</f>
        <v>Fica</v>
      </c>
      <c r="AE25" s="12" t="s">
        <v>1873</v>
      </c>
      <c r="AH25" s="15" t="s">
        <v>95</v>
      </c>
      <c r="AI25" s="16"/>
      <c r="AJ25" s="12" t="s">
        <v>1993</v>
      </c>
      <c r="AK25" s="12" t="s">
        <v>1994</v>
      </c>
      <c r="AL25" s="12" t="n">
        <f aca="false">COUNT(G25)+IF(OR(I25&lt;&gt;"",K25&lt;&gt;""),1,0)+IF(M25&lt;&gt;"",1,0)+COUNTA(V25:Y25)</f>
        <v>4</v>
      </c>
      <c r="AM25" s="12" t="str">
        <f aca="false">IF(AL25&gt;=3,"Sim","Não")</f>
        <v>Sim</v>
      </c>
      <c r="AN25" s="12" t="str">
        <f aca="false">IF(AND(AC25&lt;&gt;"",AC25&lt;=Critérios!$B$9),"Sim","Não")</f>
        <v>Sim</v>
      </c>
    </row>
    <row r="26" customFormat="false" ht="15" hidden="false" customHeight="false" outlineLevel="0" collapsed="false">
      <c r="A26" s="12" t="s">
        <v>1995</v>
      </c>
      <c r="B26" s="12" t="s">
        <v>1996</v>
      </c>
      <c r="C26" s="12" t="s">
        <v>1996</v>
      </c>
      <c r="D26" s="12" t="s">
        <v>152</v>
      </c>
      <c r="E26" s="12" t="s">
        <v>1968</v>
      </c>
      <c r="F26" s="12" t="s">
        <v>1834</v>
      </c>
      <c r="G26" s="13" t="n">
        <v>684188</v>
      </c>
      <c r="H26" s="12" t="n">
        <v>8.3</v>
      </c>
      <c r="I26" s="17"/>
      <c r="K26" s="13" t="n">
        <v>17840000</v>
      </c>
      <c r="M26" s="12" t="n">
        <v>13</v>
      </c>
      <c r="N26" s="12" t="n">
        <v>40</v>
      </c>
      <c r="O26" s="12" t="s">
        <v>1997</v>
      </c>
      <c r="P26" s="14" t="n">
        <f aca="false">IF(G26="","",PERCENTRANK($G$2:$G$85,G26))</f>
        <v>0.771</v>
      </c>
      <c r="Q26" s="14" t="str">
        <f aca="false">IF(J26="","",1-(J26-1)/20)</f>
        <v/>
      </c>
      <c r="R26" s="14" t="n">
        <f aca="false">IF(M26="","",1-(M26-1)/(2*N26))</f>
        <v>0.85</v>
      </c>
      <c r="S26" s="14" t="n">
        <f aca="false">IF(K26="","",0.5+0.5*PERCENTRANK($K$2:$K$85,K26))</f>
        <v>0.875</v>
      </c>
      <c r="T26" s="14" t="n">
        <f aca="false">IF(COUNT(Q26:S26)=0,"",MAX(Q26:S26))</f>
        <v>0.875</v>
      </c>
      <c r="U26" s="12" t="n">
        <f aca="false">COUNT(P26,T26)</f>
        <v>2</v>
      </c>
      <c r="Z26" s="12" t="n">
        <f aca="false">COUNTA(V26:Y26)</f>
        <v>0</v>
      </c>
      <c r="AA26" s="14" t="n">
        <f aca="false">IF(U26=0,"",MIN(1,AVERAGE(P26,T26)+Critérios!$B$5*Z26))</f>
        <v>0.823</v>
      </c>
      <c r="AB26" s="12" t="str">
        <f aca="false">IF(AA26="","",IF(AA26&gt;=Critérios!$B$7,"A",IF(AA26&gt;=Critérios!$B$8,"B","C")))</f>
        <v>A</v>
      </c>
      <c r="AC26" s="12" t="n">
        <f aca="false">IF(AA26="","",RANK(AA26,$AA$2:$AA$85))</f>
        <v>25</v>
      </c>
      <c r="AD26" s="12" t="str">
        <f aca="false">IF(AA26="","Sairia — sem métrica",IF(PERCENTRANK($AA$2:$AA$85,AA26)&lt;Critérios!$B$6,"Sairia — terço inferior","Fica"))</f>
        <v>Fica</v>
      </c>
      <c r="AE26" s="12" t="s">
        <v>1839</v>
      </c>
      <c r="AH26" s="15" t="s">
        <v>95</v>
      </c>
      <c r="AI26" s="16"/>
      <c r="AJ26" s="12" t="s">
        <v>1998</v>
      </c>
      <c r="AK26" s="12" t="s">
        <v>1999</v>
      </c>
      <c r="AL26" s="12" t="n">
        <f aca="false">COUNT(G26)+IF(OR(I26&lt;&gt;"",K26&lt;&gt;""),1,0)+IF(M26&lt;&gt;"",1,0)+COUNTA(V26:Y26)</f>
        <v>3</v>
      </c>
      <c r="AM26" s="12" t="str">
        <f aca="false">IF(AL26&gt;=3,"Sim","Não")</f>
        <v>Sim</v>
      </c>
      <c r="AN26" s="12" t="str">
        <f aca="false">IF(AND(AC26&lt;&gt;"",AC26&lt;=Critérios!$B$9),"Sim","Não")</f>
        <v>Sim</v>
      </c>
    </row>
    <row r="27" customFormat="false" ht="15" hidden="false" customHeight="false" outlineLevel="0" collapsed="false">
      <c r="A27" s="12" t="s">
        <v>2000</v>
      </c>
      <c r="B27" s="12" t="s">
        <v>2001</v>
      </c>
      <c r="C27" s="12" t="s">
        <v>2001</v>
      </c>
      <c r="D27" s="12" t="s">
        <v>207</v>
      </c>
      <c r="E27" s="12" t="s">
        <v>1833</v>
      </c>
      <c r="F27" s="12" t="s">
        <v>1891</v>
      </c>
      <c r="G27" s="13" t="n">
        <v>400954</v>
      </c>
      <c r="H27" s="12" t="n">
        <v>8.4</v>
      </c>
      <c r="I27" s="17"/>
      <c r="K27" s="17"/>
      <c r="M27" s="12" t="n">
        <v>1</v>
      </c>
      <c r="N27" s="12" t="n">
        <v>30</v>
      </c>
      <c r="O27" s="12" t="s">
        <v>2002</v>
      </c>
      <c r="P27" s="14" t="n">
        <f aca="false">IF(G27="","",PERCENTRANK($G$2:$G$85,G27))</f>
        <v>0.566</v>
      </c>
      <c r="Q27" s="14" t="str">
        <f aca="false">IF(J27="","",1-(J27-1)/20)</f>
        <v/>
      </c>
      <c r="R27" s="14" t="n">
        <f aca="false">IF(M27="","",1-(M27-1)/(2*N27))</f>
        <v>1</v>
      </c>
      <c r="S27" s="14" t="str">
        <f aca="false">IF(K27="","",0.5+0.5*PERCENTRANK($K$2:$K$85,K27))</f>
        <v/>
      </c>
      <c r="T27" s="14" t="n">
        <f aca="false">IF(COUNT(Q27:S27)=0,"",MAX(Q27:S27))</f>
        <v>1</v>
      </c>
      <c r="U27" s="12" t="n">
        <f aca="false">COUNT(P27,T27)</f>
        <v>2</v>
      </c>
      <c r="X27" s="12" t="s">
        <v>2003</v>
      </c>
      <c r="Z27" s="12" t="n">
        <f aca="false">COUNTA(V27:Y27)</f>
        <v>1</v>
      </c>
      <c r="AA27" s="14" t="n">
        <f aca="false">IF(U27=0,"",MIN(1,AVERAGE(P27,T27)+Critérios!$B$5*Z27))</f>
        <v>0.813</v>
      </c>
      <c r="AB27" s="12" t="str">
        <f aca="false">IF(AA27="","",IF(AA27&gt;=Critérios!$B$7,"A",IF(AA27&gt;=Critérios!$B$8,"B","C")))</f>
        <v>A</v>
      </c>
      <c r="AC27" s="12" t="n">
        <f aca="false">IF(AA27="","",RANK(AA27,$AA$2:$AA$85))</f>
        <v>26</v>
      </c>
      <c r="AD27" s="12" t="str">
        <f aca="false">IF(AA27="","Sairia — sem métrica",IF(PERCENTRANK($AA$2:$AA$85,AA27)&lt;Critérios!$B$6,"Sairia — terço inferior","Fica"))</f>
        <v>Fica</v>
      </c>
      <c r="AE27" s="12" t="s">
        <v>1873</v>
      </c>
      <c r="AG27" s="12" t="s">
        <v>1927</v>
      </c>
      <c r="AH27" s="15" t="s">
        <v>95</v>
      </c>
      <c r="AI27" s="16"/>
      <c r="AK27" s="12" t="s">
        <v>2004</v>
      </c>
      <c r="AL27" s="12" t="n">
        <f aca="false">COUNT(G27)+IF(OR(I27&lt;&gt;"",K27&lt;&gt;""),1,0)+IF(M27&lt;&gt;"",1,0)+COUNTA(V27:Y27)</f>
        <v>3</v>
      </c>
      <c r="AM27" s="12" t="str">
        <f aca="false">IF(AL27&gt;=3,"Sim","Não")</f>
        <v>Sim</v>
      </c>
      <c r="AN27" s="12" t="str">
        <f aca="false">IF(AND(AC27&lt;&gt;"",AC27&lt;=Critérios!$B$9),"Sim","Não")</f>
        <v>Sim</v>
      </c>
    </row>
    <row r="28" customFormat="false" ht="15" hidden="false" customHeight="false" outlineLevel="0" collapsed="false">
      <c r="A28" s="12" t="s">
        <v>2005</v>
      </c>
      <c r="B28" s="12" t="s">
        <v>2006</v>
      </c>
      <c r="C28" s="12" t="s">
        <v>2006</v>
      </c>
      <c r="D28" s="12" t="s">
        <v>90</v>
      </c>
      <c r="E28" s="12" t="s">
        <v>1833</v>
      </c>
      <c r="F28" s="12" t="s">
        <v>1891</v>
      </c>
      <c r="G28" s="13" t="n">
        <v>626335</v>
      </c>
      <c r="H28" s="12" t="n">
        <v>7.8</v>
      </c>
      <c r="I28" s="17"/>
      <c r="K28" s="17"/>
      <c r="M28" s="12" t="n">
        <v>15</v>
      </c>
      <c r="N28" s="12" t="n">
        <v>30</v>
      </c>
      <c r="O28" s="12" t="s">
        <v>2007</v>
      </c>
      <c r="P28" s="14" t="n">
        <f aca="false">IF(G28="","",PERCENTRANK($G$2:$G$85,G28))</f>
        <v>0.711</v>
      </c>
      <c r="Q28" s="14" t="str">
        <f aca="false">IF(J28="","",1-(J28-1)/20)</f>
        <v/>
      </c>
      <c r="R28" s="14" t="n">
        <f aca="false">IF(M28="","",1-(M28-1)/(2*N28))</f>
        <v>0.766666666666667</v>
      </c>
      <c r="S28" s="14" t="str">
        <f aca="false">IF(K28="","",0.5+0.5*PERCENTRANK($K$2:$K$85,K28))</f>
        <v/>
      </c>
      <c r="T28" s="14" t="n">
        <f aca="false">IF(COUNT(Q28:S28)=0,"",MAX(Q28:S28))</f>
        <v>0.766666666666667</v>
      </c>
      <c r="U28" s="12" t="n">
        <f aca="false">COUNT(P28,T28)</f>
        <v>2</v>
      </c>
      <c r="W28" s="12" t="s">
        <v>2008</v>
      </c>
      <c r="X28" s="12" t="s">
        <v>2009</v>
      </c>
      <c r="Z28" s="12" t="n">
        <f aca="false">COUNTA(V28:Y28)</f>
        <v>2</v>
      </c>
      <c r="AA28" s="14" t="n">
        <f aca="false">IF(U28=0,"",MIN(1,AVERAGE(P28,T28)+Critérios!$B$5*Z28))</f>
        <v>0.798833333333333</v>
      </c>
      <c r="AB28" s="12" t="str">
        <f aca="false">IF(AA28="","",IF(AA28&gt;=Critérios!$B$7,"A",IF(AA28&gt;=Critérios!$B$8,"B","C")))</f>
        <v>A</v>
      </c>
      <c r="AC28" s="12" t="n">
        <f aca="false">IF(AA28="","",RANK(AA28,$AA$2:$AA$85))</f>
        <v>27</v>
      </c>
      <c r="AD28" s="12" t="str">
        <f aca="false">IF(AA28="","Sairia — sem métrica",IF(PERCENTRANK($AA$2:$AA$85,AA28)&lt;Critérios!$B$6,"Sairia — terço inferior","Fica"))</f>
        <v>Fica</v>
      </c>
      <c r="AE28" s="12" t="s">
        <v>1873</v>
      </c>
      <c r="AG28" s="12" t="s">
        <v>1927</v>
      </c>
      <c r="AH28" s="15" t="s">
        <v>95</v>
      </c>
      <c r="AI28" s="16"/>
      <c r="AK28" s="12" t="s">
        <v>2010</v>
      </c>
      <c r="AL28" s="12" t="n">
        <f aca="false">COUNT(G28)+IF(OR(I28&lt;&gt;"",K28&lt;&gt;""),1,0)+IF(M28&lt;&gt;"",1,0)+COUNTA(V28:Y28)</f>
        <v>4</v>
      </c>
      <c r="AM28" s="12" t="str">
        <f aca="false">IF(AL28&gt;=3,"Sim","Não")</f>
        <v>Sim</v>
      </c>
      <c r="AN28" s="12" t="str">
        <f aca="false">IF(AND(AC28&lt;&gt;"",AC28&lt;=Critérios!$B$9),"Sim","Não")</f>
        <v>Sim</v>
      </c>
    </row>
    <row r="29" customFormat="false" ht="15" hidden="false" customHeight="false" outlineLevel="0" collapsed="false">
      <c r="A29" s="12" t="s">
        <v>2011</v>
      </c>
      <c r="B29" s="12" t="s">
        <v>2012</v>
      </c>
      <c r="C29" s="12" t="s">
        <v>2012</v>
      </c>
      <c r="D29" s="12" t="s">
        <v>251</v>
      </c>
      <c r="E29" s="12" t="s">
        <v>1852</v>
      </c>
      <c r="F29" s="12" t="s">
        <v>1891</v>
      </c>
      <c r="G29" s="13" t="n">
        <v>405527</v>
      </c>
      <c r="H29" s="12" t="n">
        <v>8.3</v>
      </c>
      <c r="I29" s="17"/>
      <c r="K29" s="17"/>
      <c r="M29" s="12" t="n">
        <v>5</v>
      </c>
      <c r="N29" s="12" t="n">
        <v>30</v>
      </c>
      <c r="O29" s="12" t="s">
        <v>2013</v>
      </c>
      <c r="P29" s="14" t="n">
        <f aca="false">IF(G29="","",PERCENTRANK($G$2:$G$85,G29))</f>
        <v>0.578</v>
      </c>
      <c r="Q29" s="14" t="str">
        <f aca="false">IF(J29="","",1-(J29-1)/20)</f>
        <v/>
      </c>
      <c r="R29" s="14" t="n">
        <f aca="false">IF(M29="","",1-(M29-1)/(2*N29))</f>
        <v>0.933333333333333</v>
      </c>
      <c r="S29" s="14" t="str">
        <f aca="false">IF(K29="","",0.5+0.5*PERCENTRANK($K$2:$K$85,K29))</f>
        <v/>
      </c>
      <c r="T29" s="14" t="n">
        <f aca="false">IF(COUNT(Q29:S29)=0,"",MAX(Q29:S29))</f>
        <v>0.933333333333333</v>
      </c>
      <c r="U29" s="12" t="n">
        <f aca="false">COUNT(P29,T29)</f>
        <v>2</v>
      </c>
      <c r="X29" s="12" t="s">
        <v>2014</v>
      </c>
      <c r="Z29" s="12" t="n">
        <f aca="false">COUNTA(V29:Y29)</f>
        <v>1</v>
      </c>
      <c r="AA29" s="14" t="n">
        <f aca="false">IF(U29=0,"",MIN(1,AVERAGE(P29,T29)+Critérios!$B$5*Z29))</f>
        <v>0.785666666666667</v>
      </c>
      <c r="AB29" s="12" t="str">
        <f aca="false">IF(AA29="","",IF(AA29&gt;=Critérios!$B$7,"A",IF(AA29&gt;=Critérios!$B$8,"B","C")))</f>
        <v>A</v>
      </c>
      <c r="AC29" s="12" t="n">
        <f aca="false">IF(AA29="","",RANK(AA29,$AA$2:$AA$85))</f>
        <v>28</v>
      </c>
      <c r="AD29" s="12" t="str">
        <f aca="false">IF(AA29="","Sairia — sem métrica",IF(PERCENTRANK($AA$2:$AA$85,AA29)&lt;Critérios!$B$6,"Sairia — terço inferior","Fica"))</f>
        <v>Fica</v>
      </c>
      <c r="AE29" s="12" t="s">
        <v>105</v>
      </c>
      <c r="AG29" s="12" t="s">
        <v>1927</v>
      </c>
      <c r="AH29" s="15" t="s">
        <v>95</v>
      </c>
      <c r="AI29" s="16"/>
      <c r="AK29" s="12" t="s">
        <v>2015</v>
      </c>
      <c r="AL29" s="12" t="n">
        <f aca="false">COUNT(G29)+IF(OR(I29&lt;&gt;"",K29&lt;&gt;""),1,0)+IF(M29&lt;&gt;"",1,0)+COUNTA(V29:Y29)</f>
        <v>3</v>
      </c>
      <c r="AM29" s="12" t="str">
        <f aca="false">IF(AL29&gt;=3,"Sim","Não")</f>
        <v>Sim</v>
      </c>
      <c r="AN29" s="12" t="str">
        <f aca="false">IF(AND(AC29&lt;&gt;"",AC29&lt;=Critérios!$B$9),"Sim","Não")</f>
        <v>Sim</v>
      </c>
    </row>
    <row r="30" customFormat="false" ht="15" hidden="false" customHeight="false" outlineLevel="0" collapsed="false">
      <c r="A30" s="12" t="s">
        <v>2016</v>
      </c>
      <c r="B30" s="12" t="s">
        <v>2017</v>
      </c>
      <c r="C30" s="12" t="s">
        <v>2017</v>
      </c>
      <c r="D30" s="12" t="s">
        <v>500</v>
      </c>
      <c r="E30" s="12" t="s">
        <v>2018</v>
      </c>
      <c r="F30" s="12" t="s">
        <v>1834</v>
      </c>
      <c r="G30" s="13" t="n">
        <v>959262</v>
      </c>
      <c r="H30" s="12" t="n">
        <v>8.6</v>
      </c>
      <c r="I30" s="17"/>
      <c r="K30" s="13" t="n">
        <v>2360000</v>
      </c>
      <c r="P30" s="14" t="n">
        <f aca="false">IF(G30="","",PERCENTRANK($G$2:$G$85,G30))</f>
        <v>0.916</v>
      </c>
      <c r="Q30" s="14" t="str">
        <f aca="false">IF(J30="","",1-(J30-1)/20)</f>
        <v/>
      </c>
      <c r="R30" s="14" t="str">
        <f aca="false">IF(M30="","",1-(M30-1)/(2*N30))</f>
        <v/>
      </c>
      <c r="S30" s="14" t="n">
        <f aca="false">IF(K30="","",0.5+0.5*PERCENTRANK($K$2:$K$85,K30))</f>
        <v>0.53125</v>
      </c>
      <c r="T30" s="14" t="n">
        <f aca="false">IF(COUNT(Q30:S30)=0,"",MAX(Q30:S30))</f>
        <v>0.53125</v>
      </c>
      <c r="U30" s="12" t="n">
        <f aca="false">COUNT(P30,T30)</f>
        <v>2</v>
      </c>
      <c r="V30" s="12" t="s">
        <v>1627</v>
      </c>
      <c r="Y30" s="12" t="s">
        <v>259</v>
      </c>
      <c r="Z30" s="12" t="n">
        <f aca="false">COUNTA(V30:Y30)</f>
        <v>2</v>
      </c>
      <c r="AA30" s="14" t="n">
        <f aca="false">IF(U30=0,"",MIN(1,AVERAGE(P30,T30)+Critérios!$B$5*Z30))</f>
        <v>0.783625</v>
      </c>
      <c r="AB30" s="12" t="str">
        <f aca="false">IF(AA30="","",IF(AA30&gt;=Critérios!$B$7,"A",IF(AA30&gt;=Critérios!$B$8,"B","C")))</f>
        <v>A</v>
      </c>
      <c r="AC30" s="12" t="n">
        <f aca="false">IF(AA30="","",RANK(AA30,$AA$2:$AA$85))</f>
        <v>29</v>
      </c>
      <c r="AD30" s="12" t="str">
        <f aca="false">IF(AA30="","Sairia — sem métrica",IF(PERCENTRANK($AA$2:$AA$85,AA30)&lt;Critérios!$B$6,"Sairia — terço inferior","Fica"))</f>
        <v>Fica</v>
      </c>
      <c r="AE30" s="12" t="s">
        <v>1873</v>
      </c>
      <c r="AF30" s="12" t="s">
        <v>1857</v>
      </c>
      <c r="AH30" s="15" t="s">
        <v>95</v>
      </c>
      <c r="AI30" s="16"/>
      <c r="AJ30" s="12" t="s">
        <v>2019</v>
      </c>
      <c r="AK30" s="12" t="s">
        <v>2020</v>
      </c>
      <c r="AL30" s="12" t="n">
        <f aca="false">COUNT(G30)+IF(OR(I30&lt;&gt;"",K30&lt;&gt;""),1,0)+IF(M30&lt;&gt;"",1,0)+COUNTA(V30:Y30)</f>
        <v>4</v>
      </c>
      <c r="AM30" s="12" t="str">
        <f aca="false">IF(AL30&gt;=3,"Sim","Não")</f>
        <v>Sim</v>
      </c>
      <c r="AN30" s="12" t="str">
        <f aca="false">IF(AND(AC30&lt;&gt;"",AC30&lt;=Critérios!$B$9),"Sim","Não")</f>
        <v>Sim</v>
      </c>
    </row>
    <row r="31" customFormat="false" ht="15" hidden="false" customHeight="false" outlineLevel="0" collapsed="false">
      <c r="A31" s="12" t="s">
        <v>2021</v>
      </c>
      <c r="B31" s="12" t="s">
        <v>2022</v>
      </c>
      <c r="C31" s="12" t="s">
        <v>2022</v>
      </c>
      <c r="D31" s="12" t="s">
        <v>118</v>
      </c>
      <c r="E31" s="12" t="s">
        <v>1852</v>
      </c>
      <c r="F31" s="12" t="s">
        <v>1891</v>
      </c>
      <c r="G31" s="13" t="n">
        <v>323748</v>
      </c>
      <c r="H31" s="12" t="n">
        <v>8</v>
      </c>
      <c r="I31" s="17"/>
      <c r="K31" s="17"/>
      <c r="M31" s="12" t="n">
        <v>5</v>
      </c>
      <c r="N31" s="12" t="n">
        <v>30</v>
      </c>
      <c r="O31" s="12" t="s">
        <v>2023</v>
      </c>
      <c r="P31" s="14" t="n">
        <f aca="false">IF(G31="","",PERCENTRANK($G$2:$G$85,G31))</f>
        <v>0.446</v>
      </c>
      <c r="Q31" s="14" t="str">
        <f aca="false">IF(J31="","",1-(J31-1)/20)</f>
        <v/>
      </c>
      <c r="R31" s="14" t="n">
        <f aca="false">IF(M31="","",1-(M31-1)/(2*N31))</f>
        <v>0.933333333333333</v>
      </c>
      <c r="S31" s="14" t="str">
        <f aca="false">IF(K31="","",0.5+0.5*PERCENTRANK($K$2:$K$85,K31))</f>
        <v/>
      </c>
      <c r="T31" s="14" t="n">
        <f aca="false">IF(COUNT(Q31:S31)=0,"",MAX(Q31:S31))</f>
        <v>0.933333333333333</v>
      </c>
      <c r="U31" s="12" t="n">
        <f aca="false">COUNT(P31,T31)</f>
        <v>2</v>
      </c>
      <c r="V31" s="12" t="s">
        <v>2024</v>
      </c>
      <c r="X31" s="12" t="s">
        <v>2025</v>
      </c>
      <c r="Y31" s="12" t="s">
        <v>1086</v>
      </c>
      <c r="Z31" s="12" t="n">
        <f aca="false">COUNTA(V31:Y31)</f>
        <v>3</v>
      </c>
      <c r="AA31" s="14" t="n">
        <f aca="false">IF(U31=0,"",MIN(1,AVERAGE(P31,T31)+Critérios!$B$5*Z31))</f>
        <v>0.779666666666667</v>
      </c>
      <c r="AB31" s="12" t="str">
        <f aca="false">IF(AA31="","",IF(AA31&gt;=Critérios!$B$7,"A",IF(AA31&gt;=Critérios!$B$8,"B","C")))</f>
        <v>A</v>
      </c>
      <c r="AC31" s="12" t="n">
        <f aca="false">IF(AA31="","",RANK(AA31,$AA$2:$AA$85))</f>
        <v>30</v>
      </c>
      <c r="AD31" s="12" t="str">
        <f aca="false">IF(AA31="","Sairia — sem métrica",IF(PERCENTRANK($AA$2:$AA$85,AA31)&lt;Critérios!$B$6,"Sairia — terço inferior","Fica"))</f>
        <v>Fica</v>
      </c>
      <c r="AE31" s="12" t="s">
        <v>1873</v>
      </c>
      <c r="AG31" s="12" t="s">
        <v>1927</v>
      </c>
      <c r="AH31" s="15" t="s">
        <v>95</v>
      </c>
      <c r="AI31" s="16"/>
      <c r="AK31" s="12" t="s">
        <v>2026</v>
      </c>
      <c r="AL31" s="12" t="n">
        <f aca="false">COUNT(G31)+IF(OR(I31&lt;&gt;"",K31&lt;&gt;""),1,0)+IF(M31&lt;&gt;"",1,0)+COUNTA(V31:Y31)</f>
        <v>5</v>
      </c>
      <c r="AM31" s="12" t="str">
        <f aca="false">IF(AL31&gt;=3,"Sim","Não")</f>
        <v>Sim</v>
      </c>
      <c r="AN31" s="12" t="str">
        <f aca="false">IF(AND(AC31&lt;&gt;"",AC31&lt;=Critérios!$B$9),"Sim","Não")</f>
        <v>Sim</v>
      </c>
    </row>
    <row r="32" customFormat="false" ht="15" hidden="false" customHeight="false" outlineLevel="0" collapsed="false">
      <c r="A32" s="12" t="s">
        <v>2027</v>
      </c>
      <c r="B32" s="12" t="s">
        <v>2028</v>
      </c>
      <c r="C32" s="12" t="s">
        <v>2029</v>
      </c>
      <c r="D32" s="12" t="s">
        <v>202</v>
      </c>
      <c r="E32" s="12" t="s">
        <v>2030</v>
      </c>
      <c r="F32" s="12" t="s">
        <v>1834</v>
      </c>
      <c r="G32" s="13" t="n">
        <v>796047</v>
      </c>
      <c r="H32" s="12" t="n">
        <v>8.7</v>
      </c>
      <c r="I32" s="17"/>
      <c r="K32" s="13" t="n">
        <v>5870000</v>
      </c>
      <c r="P32" s="14" t="n">
        <f aca="false">IF(G32="","",PERCENTRANK($G$2:$G$85,G32))</f>
        <v>0.867</v>
      </c>
      <c r="Q32" s="14" t="str">
        <f aca="false">IF(J32="","",1-(J32-1)/20)</f>
        <v/>
      </c>
      <c r="R32" s="14" t="str">
        <f aca="false">IF(M32="","",1-(M32-1)/(2*N32))</f>
        <v/>
      </c>
      <c r="S32" s="14" t="n">
        <f aca="false">IF(K32="","",0.5+0.5*PERCENTRANK($K$2:$K$85,K32))</f>
        <v>0.6565</v>
      </c>
      <c r="T32" s="14" t="n">
        <f aca="false">IF(COUNT(Q32:S32)=0,"",MAX(Q32:S32))</f>
        <v>0.6565</v>
      </c>
      <c r="U32" s="12" t="n">
        <f aca="false">COUNT(P32,T32)</f>
        <v>2</v>
      </c>
      <c r="Z32" s="12" t="n">
        <f aca="false">COUNTA(V32:Y32)</f>
        <v>0</v>
      </c>
      <c r="AA32" s="14" t="n">
        <f aca="false">IF(U32=0,"",MIN(1,AVERAGE(P32,T32)+Critérios!$B$5*Z32))</f>
        <v>0.76175</v>
      </c>
      <c r="AB32" s="12" t="str">
        <f aca="false">IF(AA32="","",IF(AA32&gt;=Critérios!$B$7,"A",IF(AA32&gt;=Critérios!$B$8,"B","C")))</f>
        <v>A</v>
      </c>
      <c r="AC32" s="12" t="n">
        <f aca="false">IF(AA32="","",RANK(AA32,$AA$2:$AA$85))</f>
        <v>31</v>
      </c>
      <c r="AD32" s="12" t="str">
        <f aca="false">IF(AA32="","Sairia — sem métrica",IF(PERCENTRANK($AA$2:$AA$85,AA32)&lt;Critérios!$B$6,"Sairia — terço inferior","Fica"))</f>
        <v>Fica</v>
      </c>
      <c r="AE32" s="12" t="s">
        <v>1873</v>
      </c>
      <c r="AF32" s="12" t="s">
        <v>1857</v>
      </c>
      <c r="AG32" s="12" t="s">
        <v>2031</v>
      </c>
      <c r="AH32" s="15" t="s">
        <v>95</v>
      </c>
      <c r="AI32" s="16"/>
      <c r="AJ32" s="12" t="s">
        <v>2032</v>
      </c>
      <c r="AK32" s="12" t="s">
        <v>2033</v>
      </c>
      <c r="AL32" s="12" t="n">
        <f aca="false">COUNT(G32)+IF(OR(I32&lt;&gt;"",K32&lt;&gt;""),1,0)+IF(M32&lt;&gt;"",1,0)+COUNTA(V32:Y32)</f>
        <v>2</v>
      </c>
      <c r="AM32" s="12" t="str">
        <f aca="false">IF(AL32&gt;=3,"Sim","Não")</f>
        <v>Não</v>
      </c>
      <c r="AN32" s="12" t="str">
        <f aca="false">IF(AND(AC32&lt;&gt;"",AC32&lt;=Critérios!$B$9),"Sim","Não")</f>
        <v>Sim</v>
      </c>
    </row>
    <row r="33" customFormat="false" ht="15" hidden="false" customHeight="false" outlineLevel="0" collapsed="false">
      <c r="A33" s="12" t="s">
        <v>2034</v>
      </c>
      <c r="B33" s="12" t="s">
        <v>2035</v>
      </c>
      <c r="C33" s="12" t="s">
        <v>2035</v>
      </c>
      <c r="D33" s="12" t="s">
        <v>127</v>
      </c>
      <c r="E33" s="12" t="s">
        <v>1990</v>
      </c>
      <c r="F33" s="12" t="s">
        <v>1891</v>
      </c>
      <c r="G33" s="13" t="n">
        <v>682499</v>
      </c>
      <c r="H33" s="12" t="n">
        <v>8.3</v>
      </c>
      <c r="I33" s="17"/>
      <c r="K33" s="17"/>
      <c r="P33" s="14" t="n">
        <f aca="false">IF(G33="","",PERCENTRANK($G$2:$G$85,G33))</f>
        <v>0.759</v>
      </c>
      <c r="Q33" s="14" t="str">
        <f aca="false">IF(J33="","",1-(J33-1)/20)</f>
        <v/>
      </c>
      <c r="R33" s="14" t="str">
        <f aca="false">IF(M33="","",1-(M33-1)/(2*N33))</f>
        <v/>
      </c>
      <c r="S33" s="14" t="str">
        <f aca="false">IF(K33="","",0.5+0.5*PERCENTRANK($K$2:$K$85,K33))</f>
        <v/>
      </c>
      <c r="T33" s="14" t="str">
        <f aca="false">IF(COUNT(Q33:S33)=0,"",MAX(Q33:S33))</f>
        <v/>
      </c>
      <c r="U33" s="12" t="n">
        <f aca="false">COUNT(P33,T33)</f>
        <v>1</v>
      </c>
      <c r="Z33" s="12" t="n">
        <f aca="false">COUNTA(V33:Y33)</f>
        <v>0</v>
      </c>
      <c r="AA33" s="14" t="n">
        <f aca="false">IF(U33=0,"",MIN(1,AVERAGE(P33,T33)+Critérios!$B$5*Z33))</f>
        <v>0.759</v>
      </c>
      <c r="AB33" s="12" t="str">
        <f aca="false">IF(AA33="","",IF(AA33&gt;=Critérios!$B$7,"A",IF(AA33&gt;=Critérios!$B$8,"B","C")))</f>
        <v>A</v>
      </c>
      <c r="AC33" s="12" t="n">
        <f aca="false">IF(AA33="","",RANK(AA33,$AA$2:$AA$85))</f>
        <v>32</v>
      </c>
      <c r="AD33" s="12" t="str">
        <f aca="false">IF(AA33="","Sairia — sem métrica",IF(PERCENTRANK($AA$2:$AA$85,AA33)&lt;Critérios!$B$6,"Sairia — terço inferior","Fica"))</f>
        <v>Fica</v>
      </c>
      <c r="AE33" s="12" t="s">
        <v>105</v>
      </c>
      <c r="AG33" s="12" t="s">
        <v>1893</v>
      </c>
      <c r="AH33" s="15" t="s">
        <v>95</v>
      </c>
      <c r="AI33" s="16"/>
      <c r="AK33" s="12" t="s">
        <v>2036</v>
      </c>
      <c r="AL33" s="12" t="n">
        <f aca="false">COUNT(G33)+IF(OR(I33&lt;&gt;"",K33&lt;&gt;""),1,0)+IF(M33&lt;&gt;"",1,0)+COUNTA(V33:Y33)</f>
        <v>1</v>
      </c>
      <c r="AM33" s="12" t="str">
        <f aca="false">IF(AL33&gt;=3,"Sim","Não")</f>
        <v>Não</v>
      </c>
      <c r="AN33" s="12" t="str">
        <f aca="false">IF(AND(AC33&lt;&gt;"",AC33&lt;=Critérios!$B$9),"Sim","Não")</f>
        <v>Sim</v>
      </c>
    </row>
    <row r="34" customFormat="false" ht="15" hidden="false" customHeight="false" outlineLevel="0" collapsed="false">
      <c r="A34" s="12" t="s">
        <v>2037</v>
      </c>
      <c r="B34" s="12" t="s">
        <v>2038</v>
      </c>
      <c r="C34" s="12" t="s">
        <v>2038</v>
      </c>
      <c r="D34" s="12" t="s">
        <v>127</v>
      </c>
      <c r="E34" s="12" t="s">
        <v>1844</v>
      </c>
      <c r="F34" s="12" t="s">
        <v>1891</v>
      </c>
      <c r="G34" s="13" t="n">
        <v>791279</v>
      </c>
      <c r="H34" s="12" t="n">
        <v>8.3</v>
      </c>
      <c r="I34" s="17"/>
      <c r="K34" s="17"/>
      <c r="M34" s="12" t="n">
        <v>28</v>
      </c>
      <c r="N34" s="12" t="n">
        <v>40</v>
      </c>
      <c r="O34" s="12" t="s">
        <v>2039</v>
      </c>
      <c r="P34" s="14" t="n">
        <f aca="false">IF(G34="","",PERCENTRANK($G$2:$G$85,G34))</f>
        <v>0.855</v>
      </c>
      <c r="Q34" s="14" t="str">
        <f aca="false">IF(J34="","",1-(J34-1)/20)</f>
        <v/>
      </c>
      <c r="R34" s="14" t="n">
        <f aca="false">IF(M34="","",1-(M34-1)/(2*N34))</f>
        <v>0.6625</v>
      </c>
      <c r="S34" s="14" t="str">
        <f aca="false">IF(K34="","",0.5+0.5*PERCENTRANK($K$2:$K$85,K34))</f>
        <v/>
      </c>
      <c r="T34" s="14" t="n">
        <f aca="false">IF(COUNT(Q34:S34)=0,"",MAX(Q34:S34))</f>
        <v>0.6625</v>
      </c>
      <c r="U34" s="12" t="n">
        <f aca="false">COUNT(P34,T34)</f>
        <v>2</v>
      </c>
      <c r="Z34" s="12" t="n">
        <f aca="false">COUNTA(V34:Y34)</f>
        <v>0</v>
      </c>
      <c r="AA34" s="14" t="n">
        <f aca="false">IF(U34=0,"",MIN(1,AVERAGE(P34,T34)+Critérios!$B$5*Z34))</f>
        <v>0.75875</v>
      </c>
      <c r="AB34" s="12" t="str">
        <f aca="false">IF(AA34="","",IF(AA34&gt;=Critérios!$B$7,"A",IF(AA34&gt;=Critérios!$B$8,"B","C")))</f>
        <v>A</v>
      </c>
      <c r="AC34" s="12" t="n">
        <f aca="false">IF(AA34="","",RANK(AA34,$AA$2:$AA$85))</f>
        <v>33</v>
      </c>
      <c r="AD34" s="12" t="str">
        <f aca="false">IF(AA34="","Sairia — sem métrica",IF(PERCENTRANK($AA$2:$AA$85,AA34)&lt;Critérios!$B$6,"Sairia — terço inferior","Fica"))</f>
        <v>Fica</v>
      </c>
      <c r="AE34" s="12" t="s">
        <v>1873</v>
      </c>
      <c r="AG34" s="12" t="s">
        <v>1893</v>
      </c>
      <c r="AH34" s="15" t="s">
        <v>95</v>
      </c>
      <c r="AI34" s="16"/>
      <c r="AK34" s="12" t="s">
        <v>2040</v>
      </c>
      <c r="AL34" s="12" t="n">
        <f aca="false">COUNT(G34)+IF(OR(I34&lt;&gt;"",K34&lt;&gt;""),1,0)+IF(M34&lt;&gt;"",1,0)+COUNTA(V34:Y34)</f>
        <v>2</v>
      </c>
      <c r="AM34" s="12" t="str">
        <f aca="false">IF(AL34&gt;=3,"Sim","Não")</f>
        <v>Não</v>
      </c>
      <c r="AN34" s="12" t="str">
        <f aca="false">IF(AND(AC34&lt;&gt;"",AC34&lt;=Critérios!$B$9),"Sim","Não")</f>
        <v>Sim</v>
      </c>
    </row>
    <row r="35" customFormat="false" ht="15" hidden="false" customHeight="false" outlineLevel="0" collapsed="false">
      <c r="A35" s="12" t="s">
        <v>2041</v>
      </c>
      <c r="B35" s="12" t="s">
        <v>2042</v>
      </c>
      <c r="C35" s="12" t="s">
        <v>2042</v>
      </c>
      <c r="D35" s="12" t="s">
        <v>101</v>
      </c>
      <c r="E35" s="12" t="s">
        <v>1903</v>
      </c>
      <c r="F35" s="12" t="s">
        <v>1891</v>
      </c>
      <c r="G35" s="13" t="n">
        <v>426953</v>
      </c>
      <c r="H35" s="12" t="n">
        <v>7.9</v>
      </c>
      <c r="I35" s="17"/>
      <c r="K35" s="17"/>
      <c r="M35" s="12" t="n">
        <v>14</v>
      </c>
      <c r="N35" s="12" t="n">
        <v>30</v>
      </c>
      <c r="O35" s="12" t="s">
        <v>2043</v>
      </c>
      <c r="P35" s="14" t="n">
        <f aca="false">IF(G35="","",PERCENTRANK($G$2:$G$85,G35))</f>
        <v>0.59</v>
      </c>
      <c r="Q35" s="14" t="str">
        <f aca="false">IF(J35="","",1-(J35-1)/20)</f>
        <v/>
      </c>
      <c r="R35" s="14" t="n">
        <f aca="false">IF(M35="","",1-(M35-1)/(2*N35))</f>
        <v>0.783333333333333</v>
      </c>
      <c r="S35" s="14" t="str">
        <f aca="false">IF(K35="","",0.5+0.5*PERCENTRANK($K$2:$K$85,K35))</f>
        <v/>
      </c>
      <c r="T35" s="14" t="n">
        <f aca="false">IF(COUNT(Q35:S35)=0,"",MAX(Q35:S35))</f>
        <v>0.783333333333333</v>
      </c>
      <c r="U35" s="12" t="n">
        <f aca="false">COUNT(P35,T35)</f>
        <v>2</v>
      </c>
      <c r="W35" s="12" t="s">
        <v>2044</v>
      </c>
      <c r="X35" s="12" t="s">
        <v>2045</v>
      </c>
      <c r="Z35" s="12" t="n">
        <f aca="false">COUNTA(V35:Y35)</f>
        <v>2</v>
      </c>
      <c r="AA35" s="14" t="n">
        <f aca="false">IF(U35=0,"",MIN(1,AVERAGE(P35,T35)+Critérios!$B$5*Z35))</f>
        <v>0.746666666666667</v>
      </c>
      <c r="AB35" s="12" t="str">
        <f aca="false">IF(AA35="","",IF(AA35&gt;=Critérios!$B$7,"A",IF(AA35&gt;=Critérios!$B$8,"B","C")))</f>
        <v>A</v>
      </c>
      <c r="AC35" s="12" t="n">
        <f aca="false">IF(AA35="","",RANK(AA35,$AA$2:$AA$85))</f>
        <v>34</v>
      </c>
      <c r="AD35" s="12" t="str">
        <f aca="false">IF(AA35="","Sairia — sem métrica",IF(PERCENTRANK($AA$2:$AA$85,AA35)&lt;Critérios!$B$6,"Sairia — terço inferior","Fica"))</f>
        <v>Fica</v>
      </c>
      <c r="AE35" s="12" t="s">
        <v>1898</v>
      </c>
      <c r="AG35" s="12" t="s">
        <v>1927</v>
      </c>
      <c r="AH35" s="15" t="s">
        <v>95</v>
      </c>
      <c r="AI35" s="16"/>
      <c r="AK35" s="12" t="s">
        <v>2046</v>
      </c>
      <c r="AL35" s="12" t="n">
        <f aca="false">COUNT(G35)+IF(OR(I35&lt;&gt;"",K35&lt;&gt;""),1,0)+IF(M35&lt;&gt;"",1,0)+COUNTA(V35:Y35)</f>
        <v>4</v>
      </c>
      <c r="AM35" s="12" t="str">
        <f aca="false">IF(AL35&gt;=3,"Sim","Não")</f>
        <v>Sim</v>
      </c>
      <c r="AN35" s="12" t="str">
        <f aca="false">IF(AND(AC35&lt;&gt;"",AC35&lt;=Critérios!$B$9),"Sim","Não")</f>
        <v>Sim</v>
      </c>
    </row>
    <row r="36" customFormat="false" ht="15" hidden="false" customHeight="false" outlineLevel="0" collapsed="false">
      <c r="A36" s="12" t="s">
        <v>2047</v>
      </c>
      <c r="B36" s="12" t="s">
        <v>2048</v>
      </c>
      <c r="C36" s="12" t="s">
        <v>2049</v>
      </c>
      <c r="D36" s="12" t="s">
        <v>111</v>
      </c>
      <c r="E36" s="12" t="s">
        <v>2050</v>
      </c>
      <c r="F36" s="12" t="s">
        <v>1891</v>
      </c>
      <c r="G36" s="13" t="n">
        <v>377230</v>
      </c>
      <c r="H36" s="12" t="n">
        <v>7.6</v>
      </c>
      <c r="I36" s="17"/>
      <c r="K36" s="17"/>
      <c r="M36" s="12" t="n">
        <v>6</v>
      </c>
      <c r="N36" s="12" t="n">
        <v>30</v>
      </c>
      <c r="O36" s="12" t="s">
        <v>2051</v>
      </c>
      <c r="P36" s="14" t="n">
        <f aca="false">IF(G36="","",PERCENTRANK($G$2:$G$85,G36))</f>
        <v>0.506</v>
      </c>
      <c r="Q36" s="14" t="str">
        <f aca="false">IF(J36="","",1-(J36-1)/20)</f>
        <v/>
      </c>
      <c r="R36" s="14" t="n">
        <f aca="false">IF(M36="","",1-(M36-1)/(2*N36))</f>
        <v>0.916666666666667</v>
      </c>
      <c r="S36" s="14" t="str">
        <f aca="false">IF(K36="","",0.5+0.5*PERCENTRANK($K$2:$K$85,K36))</f>
        <v/>
      </c>
      <c r="T36" s="14" t="n">
        <f aca="false">IF(COUNT(Q36:S36)=0,"",MAX(Q36:S36))</f>
        <v>0.916666666666667</v>
      </c>
      <c r="U36" s="12" t="n">
        <f aca="false">COUNT(P36,T36)</f>
        <v>2</v>
      </c>
      <c r="X36" s="12" t="s">
        <v>2052</v>
      </c>
      <c r="Z36" s="12" t="n">
        <f aca="false">COUNTA(V36:Y36)</f>
        <v>1</v>
      </c>
      <c r="AA36" s="14" t="n">
        <f aca="false">IF(U36=0,"",MIN(1,AVERAGE(P36,T36)+Critérios!$B$5*Z36))</f>
        <v>0.741333333333333</v>
      </c>
      <c r="AB36" s="12" t="str">
        <f aca="false">IF(AA36="","",IF(AA36&gt;=Critérios!$B$7,"A",IF(AA36&gt;=Critérios!$B$8,"B","C")))</f>
        <v>A</v>
      </c>
      <c r="AC36" s="12" t="n">
        <f aca="false">IF(AA36="","",RANK(AA36,$AA$2:$AA$85))</f>
        <v>35</v>
      </c>
      <c r="AD36" s="12" t="str">
        <f aca="false">IF(AA36="","Sairia — sem métrica",IF(PERCENTRANK($AA$2:$AA$85,AA36)&lt;Critérios!$B$6,"Sairia — terço inferior","Fica"))</f>
        <v>Fica</v>
      </c>
      <c r="AE36" s="12" t="s">
        <v>1873</v>
      </c>
      <c r="AF36" s="12" t="s">
        <v>1857</v>
      </c>
      <c r="AG36" s="12" t="s">
        <v>1927</v>
      </c>
      <c r="AH36" s="15" t="s">
        <v>95</v>
      </c>
      <c r="AI36" s="16"/>
      <c r="AK36" s="12" t="s">
        <v>2053</v>
      </c>
      <c r="AL36" s="12" t="n">
        <f aca="false">COUNT(G36)+IF(OR(I36&lt;&gt;"",K36&lt;&gt;""),1,0)+IF(M36&lt;&gt;"",1,0)+COUNTA(V36:Y36)</f>
        <v>3</v>
      </c>
      <c r="AM36" s="12" t="str">
        <f aca="false">IF(AL36&gt;=3,"Sim","Não")</f>
        <v>Sim</v>
      </c>
      <c r="AN36" s="12" t="str">
        <f aca="false">IF(AND(AC36&lt;&gt;"",AC36&lt;=Critérios!$B$9),"Sim","Não")</f>
        <v>Sim</v>
      </c>
    </row>
    <row r="37" customFormat="false" ht="15" hidden="false" customHeight="false" outlineLevel="0" collapsed="false">
      <c r="A37" s="12" t="s">
        <v>2054</v>
      </c>
      <c r="B37" s="12" t="s">
        <v>2055</v>
      </c>
      <c r="C37" s="12" t="s">
        <v>2055</v>
      </c>
      <c r="D37" s="12" t="s">
        <v>202</v>
      </c>
      <c r="E37" s="12" t="s">
        <v>2056</v>
      </c>
      <c r="F37" s="12" t="s">
        <v>1891</v>
      </c>
      <c r="G37" s="13" t="n">
        <v>651727</v>
      </c>
      <c r="H37" s="12" t="n">
        <v>8.5</v>
      </c>
      <c r="I37" s="17"/>
      <c r="K37" s="17"/>
      <c r="P37" s="14" t="n">
        <f aca="false">IF(G37="","",PERCENTRANK($G$2:$G$85,G37))</f>
        <v>0.723</v>
      </c>
      <c r="Q37" s="14" t="str">
        <f aca="false">IF(J37="","",1-(J37-1)/20)</f>
        <v/>
      </c>
      <c r="R37" s="14" t="str">
        <f aca="false">IF(M37="","",1-(M37-1)/(2*N37))</f>
        <v/>
      </c>
      <c r="S37" s="14" t="str">
        <f aca="false">IF(K37="","",0.5+0.5*PERCENTRANK($K$2:$K$85,K37))</f>
        <v/>
      </c>
      <c r="T37" s="14" t="str">
        <f aca="false">IF(COUNT(Q37:S37)=0,"",MAX(Q37:S37))</f>
        <v/>
      </c>
      <c r="U37" s="12" t="n">
        <f aca="false">COUNT(P37,T37)</f>
        <v>1</v>
      </c>
      <c r="Z37" s="12" t="n">
        <f aca="false">COUNTA(V37:Y37)</f>
        <v>0</v>
      </c>
      <c r="AA37" s="14" t="n">
        <f aca="false">IF(U37=0,"",MIN(1,AVERAGE(P37,T37)+Critérios!$B$5*Z37))</f>
        <v>0.723</v>
      </c>
      <c r="AB37" s="12" t="str">
        <f aca="false">IF(AA37="","",IF(AA37&gt;=Critérios!$B$7,"A",IF(AA37&gt;=Critérios!$B$8,"B","C")))</f>
        <v>A</v>
      </c>
      <c r="AC37" s="12" t="n">
        <f aca="false">IF(AA37="","",RANK(AA37,$AA$2:$AA$85))</f>
        <v>36</v>
      </c>
      <c r="AD37" s="12" t="str">
        <f aca="false">IF(AA37="","Sairia — sem métrica",IF(PERCENTRANK($AA$2:$AA$85,AA37)&lt;Critérios!$B$6,"Sairia — terço inferior","Fica"))</f>
        <v>Fica</v>
      </c>
      <c r="AE37" s="12" t="s">
        <v>1873</v>
      </c>
      <c r="AG37" s="12" t="s">
        <v>1893</v>
      </c>
      <c r="AH37" s="15" t="s">
        <v>95</v>
      </c>
      <c r="AI37" s="16"/>
      <c r="AK37" s="12" t="s">
        <v>2057</v>
      </c>
      <c r="AL37" s="12" t="n">
        <f aca="false">COUNT(G37)+IF(OR(I37&lt;&gt;"",K37&lt;&gt;""),1,0)+IF(M37&lt;&gt;"",1,0)+COUNTA(V37:Y37)</f>
        <v>1</v>
      </c>
      <c r="AM37" s="12" t="str">
        <f aca="false">IF(AL37&gt;=3,"Sim","Não")</f>
        <v>Não</v>
      </c>
      <c r="AN37" s="12" t="str">
        <f aca="false">IF(AND(AC37&lt;&gt;"",AC37&lt;=Critérios!$B$9),"Sim","Não")</f>
        <v>Sim</v>
      </c>
    </row>
    <row r="38" customFormat="false" ht="15" hidden="false" customHeight="false" outlineLevel="0" collapsed="false">
      <c r="A38" s="12" t="s">
        <v>2058</v>
      </c>
      <c r="B38" s="12" t="s">
        <v>2059</v>
      </c>
      <c r="C38" s="12" t="s">
        <v>2059</v>
      </c>
      <c r="D38" s="12" t="s">
        <v>111</v>
      </c>
      <c r="E38" s="12" t="s">
        <v>2060</v>
      </c>
      <c r="F38" s="12" t="s">
        <v>1891</v>
      </c>
      <c r="G38" s="13" t="n">
        <v>247445</v>
      </c>
      <c r="H38" s="12" t="n">
        <v>8.4</v>
      </c>
      <c r="I38" s="17"/>
      <c r="K38" s="17"/>
      <c r="M38" s="12" t="n">
        <v>4</v>
      </c>
      <c r="N38" s="12" t="n">
        <v>30</v>
      </c>
      <c r="O38" s="12" t="s">
        <v>2061</v>
      </c>
      <c r="P38" s="14" t="n">
        <f aca="false">IF(G38="","",PERCENTRANK($G$2:$G$85,G38))</f>
        <v>0.361</v>
      </c>
      <c r="Q38" s="14" t="str">
        <f aca="false">IF(J38="","",1-(J38-1)/20)</f>
        <v/>
      </c>
      <c r="R38" s="14" t="n">
        <f aca="false">IF(M38="","",1-(M38-1)/(2*N38))</f>
        <v>0.95</v>
      </c>
      <c r="S38" s="14" t="str">
        <f aca="false">IF(K38="","",0.5+0.5*PERCENTRANK($K$2:$K$85,K38))</f>
        <v/>
      </c>
      <c r="T38" s="14" t="n">
        <f aca="false">IF(COUNT(Q38:S38)=0,"",MAX(Q38:S38))</f>
        <v>0.95</v>
      </c>
      <c r="U38" s="12" t="n">
        <f aca="false">COUNT(P38,T38)</f>
        <v>2</v>
      </c>
      <c r="V38" s="12" t="s">
        <v>2062</v>
      </c>
      <c r="X38" s="12" t="s">
        <v>2063</v>
      </c>
      <c r="Z38" s="12" t="n">
        <f aca="false">COUNTA(V38:Y38)</f>
        <v>2</v>
      </c>
      <c r="AA38" s="14" t="n">
        <f aca="false">IF(U38=0,"",MIN(1,AVERAGE(P38,T38)+Critérios!$B$5*Z38))</f>
        <v>0.7155</v>
      </c>
      <c r="AB38" s="12" t="str">
        <f aca="false">IF(AA38="","",IF(AA38&gt;=Critérios!$B$7,"A",IF(AA38&gt;=Critérios!$B$8,"B","C")))</f>
        <v>A</v>
      </c>
      <c r="AC38" s="12" t="n">
        <f aca="false">IF(AA38="","",RANK(AA38,$AA$2:$AA$85))</f>
        <v>37</v>
      </c>
      <c r="AD38" s="12" t="str">
        <f aca="false">IF(AA38="","Sairia — sem métrica",IF(PERCENTRANK($AA$2:$AA$85,AA38)&lt;Critérios!$B$6,"Sairia — terço inferior","Fica"))</f>
        <v>Fica</v>
      </c>
      <c r="AE38" s="12" t="s">
        <v>1898</v>
      </c>
      <c r="AG38" s="12" t="s">
        <v>1927</v>
      </c>
      <c r="AH38" s="15" t="s">
        <v>95</v>
      </c>
      <c r="AI38" s="16"/>
      <c r="AK38" s="12" t="s">
        <v>2064</v>
      </c>
      <c r="AL38" s="12" t="n">
        <f aca="false">COUNT(G38)+IF(OR(I38&lt;&gt;"",K38&lt;&gt;""),1,0)+IF(M38&lt;&gt;"",1,0)+COUNTA(V38:Y38)</f>
        <v>4</v>
      </c>
      <c r="AM38" s="12" t="str">
        <f aca="false">IF(AL38&gt;=3,"Sim","Não")</f>
        <v>Sim</v>
      </c>
      <c r="AN38" s="12" t="str">
        <f aca="false">IF(AND(AC38&lt;&gt;"",AC38&lt;=Critérios!$B$9),"Sim","Não")</f>
        <v>Sim</v>
      </c>
    </row>
    <row r="39" customFormat="false" ht="15" hidden="false" customHeight="false" outlineLevel="0" collapsed="false">
      <c r="A39" s="12" t="s">
        <v>2065</v>
      </c>
      <c r="B39" s="12" t="s">
        <v>2066</v>
      </c>
      <c r="C39" s="12" t="s">
        <v>2067</v>
      </c>
      <c r="D39" s="12" t="s">
        <v>118</v>
      </c>
      <c r="E39" s="12" t="s">
        <v>1885</v>
      </c>
      <c r="F39" s="12" t="s">
        <v>1834</v>
      </c>
      <c r="G39" s="13" t="n">
        <v>574470</v>
      </c>
      <c r="H39" s="12" t="n">
        <v>8.2</v>
      </c>
      <c r="I39" s="17"/>
      <c r="K39" s="17"/>
      <c r="P39" s="14" t="n">
        <f aca="false">IF(G39="","",PERCENTRANK($G$2:$G$85,G39))</f>
        <v>0.675</v>
      </c>
      <c r="Q39" s="14" t="str">
        <f aca="false">IF(J39="","",1-(J39-1)/20)</f>
        <v/>
      </c>
      <c r="R39" s="14" t="str">
        <f aca="false">IF(M39="","",1-(M39-1)/(2*N39))</f>
        <v/>
      </c>
      <c r="S39" s="14" t="str">
        <f aca="false">IF(K39="","",0.5+0.5*PERCENTRANK($K$2:$K$85,K39))</f>
        <v/>
      </c>
      <c r="T39" s="14" t="str">
        <f aca="false">IF(COUNT(Q39:S39)=0,"",MAX(Q39:S39))</f>
        <v/>
      </c>
      <c r="U39" s="12" t="n">
        <f aca="false">COUNT(P39,T39)</f>
        <v>1</v>
      </c>
      <c r="Y39" s="12" t="s">
        <v>2068</v>
      </c>
      <c r="Z39" s="12" t="n">
        <f aca="false">COUNTA(V39:Y39)</f>
        <v>1</v>
      </c>
      <c r="AA39" s="14" t="n">
        <f aca="false">IF(U39=0,"",MIN(1,AVERAGE(P39,T39)+Critérios!$B$5*Z39))</f>
        <v>0.705</v>
      </c>
      <c r="AB39" s="12" t="str">
        <f aca="false">IF(AA39="","",IF(AA39&gt;=Critérios!$B$7,"A",IF(AA39&gt;=Critérios!$B$8,"B","C")))</f>
        <v>A</v>
      </c>
      <c r="AC39" s="12" t="n">
        <f aca="false">IF(AA39="","",RANK(AA39,$AA$2:$AA$85))</f>
        <v>38</v>
      </c>
      <c r="AD39" s="12" t="str">
        <f aca="false">IF(AA39="","Sairia — sem métrica",IF(PERCENTRANK($AA$2:$AA$85,AA39)&lt;Critérios!$B$6,"Sairia — terço inferior","Fica"))</f>
        <v>Fica</v>
      </c>
      <c r="AE39" s="12" t="s">
        <v>105</v>
      </c>
      <c r="AF39" s="12" t="s">
        <v>1857</v>
      </c>
      <c r="AG39" s="12" t="s">
        <v>2031</v>
      </c>
      <c r="AH39" s="15" t="s">
        <v>95</v>
      </c>
      <c r="AI39" s="16"/>
      <c r="AJ39" s="12" t="s">
        <v>2069</v>
      </c>
      <c r="AK39" s="12" t="s">
        <v>2070</v>
      </c>
      <c r="AL39" s="12" t="n">
        <f aca="false">COUNT(G39)+IF(OR(I39&lt;&gt;"",K39&lt;&gt;""),1,0)+IF(M39&lt;&gt;"",1,0)+COUNTA(V39:Y39)</f>
        <v>2</v>
      </c>
      <c r="AM39" s="12" t="str">
        <f aca="false">IF(AL39&gt;=3,"Sim","Não")</f>
        <v>Não</v>
      </c>
      <c r="AN39" s="12" t="str">
        <f aca="false">IF(AND(AC39&lt;&gt;"",AC39&lt;=Critérios!$B$9),"Sim","Não")</f>
        <v>Sim</v>
      </c>
    </row>
    <row r="40" customFormat="false" ht="15" hidden="false" customHeight="false" outlineLevel="0" collapsed="false">
      <c r="A40" s="12" t="s">
        <v>2071</v>
      </c>
      <c r="B40" s="12" t="s">
        <v>2072</v>
      </c>
      <c r="C40" s="12" t="s">
        <v>2072</v>
      </c>
      <c r="D40" s="12" t="s">
        <v>127</v>
      </c>
      <c r="E40" s="12" t="s">
        <v>1844</v>
      </c>
      <c r="F40" s="12" t="s">
        <v>1891</v>
      </c>
      <c r="G40" s="13" t="n">
        <v>243934</v>
      </c>
      <c r="H40" s="12" t="n">
        <v>8.1</v>
      </c>
      <c r="I40" s="17"/>
      <c r="K40" s="17"/>
      <c r="M40" s="12" t="n">
        <v>1</v>
      </c>
      <c r="N40" s="12" t="n">
        <v>30</v>
      </c>
      <c r="O40" s="12" t="s">
        <v>2073</v>
      </c>
      <c r="P40" s="14" t="n">
        <f aca="false">IF(G40="","",PERCENTRANK($G$2:$G$85,G40))</f>
        <v>0.349</v>
      </c>
      <c r="Q40" s="14" t="str">
        <f aca="false">IF(J40="","",1-(J40-1)/20)</f>
        <v/>
      </c>
      <c r="R40" s="14" t="n">
        <f aca="false">IF(M40="","",1-(M40-1)/(2*N40))</f>
        <v>1</v>
      </c>
      <c r="S40" s="14" t="str">
        <f aca="false">IF(K40="","",0.5+0.5*PERCENTRANK($K$2:$K$85,K40))</f>
        <v/>
      </c>
      <c r="T40" s="14" t="n">
        <f aca="false">IF(COUNT(Q40:S40)=0,"",MAX(Q40:S40))</f>
        <v>1</v>
      </c>
      <c r="U40" s="12" t="n">
        <f aca="false">COUNT(P40,T40)</f>
        <v>2</v>
      </c>
      <c r="Y40" s="12" t="s">
        <v>2074</v>
      </c>
      <c r="Z40" s="12" t="n">
        <f aca="false">COUNTA(V40:Y40)</f>
        <v>1</v>
      </c>
      <c r="AA40" s="14" t="n">
        <f aca="false">IF(U40=0,"",MIN(1,AVERAGE(P40,T40)+Critérios!$B$5*Z40))</f>
        <v>0.7045</v>
      </c>
      <c r="AB40" s="12" t="str">
        <f aca="false">IF(AA40="","",IF(AA40&gt;=Critérios!$B$7,"A",IF(AA40&gt;=Critérios!$B$8,"B","C")))</f>
        <v>A</v>
      </c>
      <c r="AC40" s="12" t="n">
        <f aca="false">IF(AA40="","",RANK(AA40,$AA$2:$AA$85))</f>
        <v>39</v>
      </c>
      <c r="AD40" s="12" t="str">
        <f aca="false">IF(AA40="","Sairia — sem métrica",IF(PERCENTRANK($AA$2:$AA$85,AA40)&lt;Critérios!$B$6,"Sairia — terço inferior","Fica"))</f>
        <v>Fica</v>
      </c>
      <c r="AE40" s="12" t="s">
        <v>1839</v>
      </c>
      <c r="AG40" s="12" t="s">
        <v>1927</v>
      </c>
      <c r="AH40" s="15" t="s">
        <v>95</v>
      </c>
      <c r="AI40" s="16"/>
      <c r="AK40" s="12" t="s">
        <v>2075</v>
      </c>
      <c r="AL40" s="12" t="n">
        <f aca="false">COUNT(G40)+IF(OR(I40&lt;&gt;"",K40&lt;&gt;""),1,0)+IF(M40&lt;&gt;"",1,0)+COUNTA(V40:Y40)</f>
        <v>3</v>
      </c>
      <c r="AM40" s="12" t="str">
        <f aca="false">IF(AL40&gt;=3,"Sim","Não")</f>
        <v>Sim</v>
      </c>
      <c r="AN40" s="12" t="str">
        <f aca="false">IF(AND(AC40&lt;&gt;"",AC40&lt;=Critérios!$B$9),"Sim","Não")</f>
        <v>Sim</v>
      </c>
    </row>
    <row r="41" customFormat="false" ht="15" hidden="false" customHeight="false" outlineLevel="0" collapsed="false">
      <c r="A41" s="12" t="s">
        <v>2076</v>
      </c>
      <c r="B41" s="12" t="s">
        <v>2077</v>
      </c>
      <c r="C41" s="12" t="s">
        <v>2077</v>
      </c>
      <c r="D41" s="12" t="s">
        <v>1103</v>
      </c>
      <c r="E41" s="12" t="s">
        <v>1833</v>
      </c>
      <c r="F41" s="12" t="s">
        <v>1834</v>
      </c>
      <c r="G41" s="13" t="n">
        <v>234013</v>
      </c>
      <c r="H41" s="12" t="n">
        <v>7.5</v>
      </c>
      <c r="I41" s="13" t="n">
        <v>113300000</v>
      </c>
      <c r="J41" s="12" t="n">
        <v>8</v>
      </c>
      <c r="K41" s="17"/>
      <c r="M41" s="12" t="n">
        <v>1</v>
      </c>
      <c r="N41" s="12" t="n">
        <v>30</v>
      </c>
      <c r="O41" s="12" t="s">
        <v>2078</v>
      </c>
      <c r="P41" s="14" t="n">
        <f aca="false">IF(G41="","",PERCENTRANK($G$2:$G$85,G41))</f>
        <v>0.337</v>
      </c>
      <c r="Q41" s="14" t="n">
        <f aca="false">IF(J41="","",1-(J41-1)/20)</f>
        <v>0.65</v>
      </c>
      <c r="R41" s="14" t="n">
        <f aca="false">IF(M41="","",1-(M41-1)/(2*N41))</f>
        <v>1</v>
      </c>
      <c r="S41" s="14" t="str">
        <f aca="false">IF(K41="","",0.5+0.5*PERCENTRANK($K$2:$K$85,K41))</f>
        <v/>
      </c>
      <c r="T41" s="14" t="n">
        <f aca="false">IF(COUNT(Q41:S41)=0,"",MAX(Q41:S41))</f>
        <v>1</v>
      </c>
      <c r="U41" s="12" t="n">
        <f aca="false">COUNT(P41,T41)</f>
        <v>2</v>
      </c>
      <c r="W41" s="12" t="s">
        <v>2079</v>
      </c>
      <c r="Z41" s="12" t="n">
        <f aca="false">COUNTA(V41:Y41)</f>
        <v>1</v>
      </c>
      <c r="AA41" s="14" t="n">
        <f aca="false">IF(U41=0,"",MIN(1,AVERAGE(P41,T41)+Critérios!$B$5*Z41))</f>
        <v>0.6985</v>
      </c>
      <c r="AB41" s="12" t="str">
        <f aca="false">IF(AA41="","",IF(AA41&gt;=Critérios!$B$7,"A",IF(AA41&gt;=Critérios!$B$8,"B","C")))</f>
        <v>B</v>
      </c>
      <c r="AC41" s="12" t="n">
        <f aca="false">IF(AA41="","",RANK(AA41,$AA$2:$AA$85))</f>
        <v>40</v>
      </c>
      <c r="AD41" s="12" t="str">
        <f aca="false">IF(AA41="","Sairia — sem métrica",IF(PERCENTRANK($AA$2:$AA$85,AA41)&lt;Critérios!$B$6,"Sairia — terço inferior","Fica"))</f>
        <v>Fica</v>
      </c>
      <c r="AE41" s="12" t="s">
        <v>1839</v>
      </c>
      <c r="AH41" s="15" t="s">
        <v>95</v>
      </c>
      <c r="AI41" s="16"/>
      <c r="AJ41" s="12" t="s">
        <v>1840</v>
      </c>
      <c r="AK41" s="12" t="s">
        <v>2080</v>
      </c>
      <c r="AL41" s="12" t="n">
        <f aca="false">COUNT(G41)+IF(OR(I41&lt;&gt;"",K41&lt;&gt;""),1,0)+IF(M41&lt;&gt;"",1,0)+COUNTA(V41:Y41)</f>
        <v>4</v>
      </c>
      <c r="AM41" s="12" t="str">
        <f aca="false">IF(AL41&gt;=3,"Sim","Não")</f>
        <v>Sim</v>
      </c>
      <c r="AN41" s="12" t="str">
        <f aca="false">IF(AND(AC41&lt;&gt;"",AC41&lt;=Critérios!$B$9),"Sim","Não")</f>
        <v>Sim</v>
      </c>
    </row>
    <row r="42" customFormat="false" ht="15" hidden="false" customHeight="false" outlineLevel="0" collapsed="false">
      <c r="A42" s="12" t="s">
        <v>2081</v>
      </c>
      <c r="B42" s="12" t="s">
        <v>2082</v>
      </c>
      <c r="C42" s="12" t="s">
        <v>2083</v>
      </c>
      <c r="D42" s="12" t="s">
        <v>321</v>
      </c>
      <c r="E42" s="12"/>
      <c r="F42" s="12" t="s">
        <v>292</v>
      </c>
      <c r="G42" s="13" t="n">
        <v>256303</v>
      </c>
      <c r="H42" s="12" t="n">
        <v>8.2</v>
      </c>
      <c r="I42" s="17"/>
      <c r="K42" s="17"/>
      <c r="M42" s="12" t="n">
        <v>6</v>
      </c>
      <c r="N42" s="12" t="n">
        <v>40</v>
      </c>
      <c r="O42" s="12" t="s">
        <v>2084</v>
      </c>
      <c r="P42" s="14" t="n">
        <f aca="false">IF(G42="","",PERCENTRANK($G$2:$G$85,G42))</f>
        <v>0.398</v>
      </c>
      <c r="Q42" s="14" t="str">
        <f aca="false">IF(J42="","",1-(J42-1)/20)</f>
        <v/>
      </c>
      <c r="R42" s="14" t="n">
        <f aca="false">IF(M42="","",1-(M42-1)/(2*N42))</f>
        <v>0.9375</v>
      </c>
      <c r="S42" s="14" t="str">
        <f aca="false">IF(K42="","",0.5+0.5*PERCENTRANK($K$2:$K$85,K42))</f>
        <v/>
      </c>
      <c r="T42" s="14" t="n">
        <f aca="false">IF(COUNT(Q42:S42)=0,"",MAX(Q42:S42))</f>
        <v>0.9375</v>
      </c>
      <c r="U42" s="12" t="n">
        <f aca="false">COUNT(P42,T42)</f>
        <v>2</v>
      </c>
      <c r="Y42" s="12" t="s">
        <v>951</v>
      </c>
      <c r="Z42" s="12" t="n">
        <f aca="false">COUNTA(V42:Y42)</f>
        <v>1</v>
      </c>
      <c r="AA42" s="14" t="n">
        <f aca="false">IF(U42=0,"",MIN(1,AVERAGE(P42,T42)+Critérios!$B$5*Z42))</f>
        <v>0.69775</v>
      </c>
      <c r="AB42" s="12" t="str">
        <f aca="false">IF(AA42="","",IF(AA42&gt;=Critérios!$B$7,"A",IF(AA42&gt;=Critérios!$B$8,"B","C")))</f>
        <v>B</v>
      </c>
      <c r="AC42" s="12" t="n">
        <f aca="false">IF(AA42="","",RANK(AA42,$AA$2:$AA$85))</f>
        <v>41</v>
      </c>
      <c r="AD42" s="12" t="str">
        <f aca="false">IF(AA42="","Sairia — sem métrica",IF(PERCENTRANK($AA$2:$AA$85,AA42)&lt;Critérios!$B$6,"Sairia — terço inferior","Fica"))</f>
        <v>Fica</v>
      </c>
      <c r="AE42" s="12" t="s">
        <v>105</v>
      </c>
      <c r="AH42" s="15" t="s">
        <v>95</v>
      </c>
      <c r="AI42" s="16"/>
      <c r="AK42" s="12" t="s">
        <v>2085</v>
      </c>
      <c r="AL42" s="12" t="n">
        <f aca="false">COUNT(G42)+IF(OR(I42&lt;&gt;"",K42&lt;&gt;""),1,0)+IF(M42&lt;&gt;"",1,0)+COUNTA(V42:Y42)</f>
        <v>3</v>
      </c>
      <c r="AM42" s="12" t="str">
        <f aca="false">IF(AL42&gt;=3,"Sim","Não")</f>
        <v>Sim</v>
      </c>
      <c r="AN42" s="12" t="str">
        <f aca="false">IF(AND(AC42&lt;&gt;"",AC42&lt;=Critérios!$B$9),"Sim","Não")</f>
        <v>Sim</v>
      </c>
    </row>
    <row r="43" customFormat="false" ht="15" hidden="false" customHeight="false" outlineLevel="0" collapsed="false">
      <c r="A43" s="12" t="s">
        <v>2086</v>
      </c>
      <c r="B43" s="12" t="s">
        <v>2087</v>
      </c>
      <c r="C43" s="12" t="s">
        <v>2088</v>
      </c>
      <c r="D43" s="12" t="s">
        <v>207</v>
      </c>
      <c r="E43" s="12"/>
      <c r="F43" s="12" t="s">
        <v>292</v>
      </c>
      <c r="G43" s="13" t="n">
        <v>305999</v>
      </c>
      <c r="H43" s="12" t="n">
        <v>8.3</v>
      </c>
      <c r="I43" s="17"/>
      <c r="K43" s="17"/>
      <c r="M43" s="12" t="n">
        <v>10</v>
      </c>
      <c r="N43" s="12" t="n">
        <v>30</v>
      </c>
      <c r="O43" s="12" t="s">
        <v>2089</v>
      </c>
      <c r="P43" s="14" t="n">
        <f aca="false">IF(G43="","",PERCENTRANK($G$2:$G$85,G43))</f>
        <v>0.422</v>
      </c>
      <c r="Q43" s="14" t="str">
        <f aca="false">IF(J43="","",1-(J43-1)/20)</f>
        <v/>
      </c>
      <c r="R43" s="14" t="n">
        <f aca="false">IF(M43="","",1-(M43-1)/(2*N43))</f>
        <v>0.85</v>
      </c>
      <c r="S43" s="14" t="str">
        <f aca="false">IF(K43="","",0.5+0.5*PERCENTRANK($K$2:$K$85,K43))</f>
        <v/>
      </c>
      <c r="T43" s="14" t="n">
        <f aca="false">IF(COUNT(Q43:S43)=0,"",MAX(Q43:S43))</f>
        <v>0.85</v>
      </c>
      <c r="U43" s="12" t="n">
        <f aca="false">COUNT(P43,T43)</f>
        <v>2</v>
      </c>
      <c r="X43" s="12" t="s">
        <v>2090</v>
      </c>
      <c r="Y43" s="12" t="s">
        <v>2091</v>
      </c>
      <c r="Z43" s="12" t="n">
        <f aca="false">COUNTA(V43:Y43)</f>
        <v>2</v>
      </c>
      <c r="AA43" s="14" t="n">
        <f aca="false">IF(U43=0,"",MIN(1,AVERAGE(P43,T43)+Critérios!$B$5*Z43))</f>
        <v>0.696</v>
      </c>
      <c r="AB43" s="12" t="str">
        <f aca="false">IF(AA43="","",IF(AA43&gt;=Critérios!$B$7,"A",IF(AA43&gt;=Critérios!$B$8,"B","C")))</f>
        <v>B</v>
      </c>
      <c r="AC43" s="12" t="n">
        <f aca="false">IF(AA43="","",RANK(AA43,$AA$2:$AA$85))</f>
        <v>42</v>
      </c>
      <c r="AD43" s="12" t="str">
        <f aca="false">IF(AA43="","Sairia — sem métrica",IF(PERCENTRANK($AA$2:$AA$85,AA43)&lt;Critérios!$B$6,"Sairia — terço inferior","Fica"))</f>
        <v>Fica</v>
      </c>
      <c r="AE43" s="12" t="s">
        <v>105</v>
      </c>
      <c r="AH43" s="15" t="s">
        <v>95</v>
      </c>
      <c r="AI43" s="16"/>
      <c r="AK43" s="12" t="s">
        <v>2092</v>
      </c>
      <c r="AL43" s="12" t="n">
        <f aca="false">COUNT(G43)+IF(OR(I43&lt;&gt;"",K43&lt;&gt;""),1,0)+IF(M43&lt;&gt;"",1,0)+COUNTA(V43:Y43)</f>
        <v>4</v>
      </c>
      <c r="AM43" s="12" t="str">
        <f aca="false">IF(AL43&gt;=3,"Sim","Não")</f>
        <v>Sim</v>
      </c>
      <c r="AN43" s="12" t="str">
        <f aca="false">IF(AND(AC43&lt;&gt;"",AC43&lt;=Critérios!$B$9),"Sim","Não")</f>
        <v>Sim</v>
      </c>
    </row>
    <row r="44" customFormat="false" ht="15" hidden="false" customHeight="false" outlineLevel="0" collapsed="false">
      <c r="A44" s="12" t="s">
        <v>2093</v>
      </c>
      <c r="B44" s="12" t="s">
        <v>2094</v>
      </c>
      <c r="C44" s="12" t="s">
        <v>2094</v>
      </c>
      <c r="D44" s="12" t="s">
        <v>207</v>
      </c>
      <c r="E44" s="12" t="s">
        <v>2095</v>
      </c>
      <c r="F44" s="12" t="s">
        <v>1891</v>
      </c>
      <c r="G44" s="13" t="n">
        <v>565004</v>
      </c>
      <c r="H44" s="12" t="n">
        <v>8.7</v>
      </c>
      <c r="I44" s="17"/>
      <c r="K44" s="17"/>
      <c r="P44" s="14" t="n">
        <f aca="false">IF(G44="","",PERCENTRANK($G$2:$G$85,G44))</f>
        <v>0.663</v>
      </c>
      <c r="Q44" s="14" t="str">
        <f aca="false">IF(J44="","",1-(J44-1)/20)</f>
        <v/>
      </c>
      <c r="R44" s="14" t="str">
        <f aca="false">IF(M44="","",1-(M44-1)/(2*N44))</f>
        <v/>
      </c>
      <c r="S44" s="14" t="str">
        <f aca="false">IF(K44="","",0.5+0.5*PERCENTRANK($K$2:$K$85,K44))</f>
        <v/>
      </c>
      <c r="T44" s="14" t="str">
        <f aca="false">IF(COUNT(Q44:S44)=0,"",MAX(Q44:S44))</f>
        <v/>
      </c>
      <c r="U44" s="12" t="n">
        <f aca="false">COUNT(P44,T44)</f>
        <v>1</v>
      </c>
      <c r="W44" s="12" t="s">
        <v>2096</v>
      </c>
      <c r="Z44" s="12" t="n">
        <f aca="false">COUNTA(V44:Y44)</f>
        <v>1</v>
      </c>
      <c r="AA44" s="14" t="n">
        <f aca="false">IF(U44=0,"",MIN(1,AVERAGE(P44,T44)+Critérios!$B$5*Z44))</f>
        <v>0.693</v>
      </c>
      <c r="AB44" s="12" t="str">
        <f aca="false">IF(AA44="","",IF(AA44&gt;=Critérios!$B$7,"A",IF(AA44&gt;=Critérios!$B$8,"B","C")))</f>
        <v>B</v>
      </c>
      <c r="AC44" s="12" t="n">
        <f aca="false">IF(AA44="","",RANK(AA44,$AA$2:$AA$85))</f>
        <v>43</v>
      </c>
      <c r="AD44" s="12" t="str">
        <f aca="false">IF(AA44="","Sairia — sem métrica",IF(PERCENTRANK($AA$2:$AA$85,AA44)&lt;Critérios!$B$6,"Sairia — terço inferior","Fica"))</f>
        <v>Fica</v>
      </c>
      <c r="AE44" s="12" t="s">
        <v>1873</v>
      </c>
      <c r="AG44" s="12" t="s">
        <v>1893</v>
      </c>
      <c r="AH44" s="15" t="s">
        <v>95</v>
      </c>
      <c r="AI44" s="16"/>
      <c r="AK44" s="12" t="s">
        <v>2097</v>
      </c>
      <c r="AL44" s="12" t="n">
        <f aca="false">COUNT(G44)+IF(OR(I44&lt;&gt;"",K44&lt;&gt;""),1,0)+IF(M44&lt;&gt;"",1,0)+COUNTA(V44:Y44)</f>
        <v>2</v>
      </c>
      <c r="AM44" s="12" t="str">
        <f aca="false">IF(AL44&gt;=3,"Sim","Não")</f>
        <v>Não</v>
      </c>
      <c r="AN44" s="12" t="str">
        <f aca="false">IF(AND(AC44&lt;&gt;"",AC44&lt;=Critérios!$B$9),"Sim","Não")</f>
        <v>Sim</v>
      </c>
    </row>
    <row r="45" customFormat="false" ht="15" hidden="false" customHeight="false" outlineLevel="0" collapsed="false">
      <c r="A45" s="12" t="s">
        <v>2098</v>
      </c>
      <c r="B45" s="12" t="s">
        <v>2099</v>
      </c>
      <c r="C45" s="12" t="s">
        <v>2099</v>
      </c>
      <c r="D45" s="12" t="s">
        <v>90</v>
      </c>
      <c r="E45" s="12" t="s">
        <v>1885</v>
      </c>
      <c r="F45" s="12" t="s">
        <v>1834</v>
      </c>
      <c r="G45" s="13" t="n">
        <v>326495</v>
      </c>
      <c r="H45" s="12" t="n">
        <v>8.1</v>
      </c>
      <c r="I45" s="17"/>
      <c r="K45" s="13" t="n">
        <v>16300000</v>
      </c>
      <c r="P45" s="14" t="n">
        <f aca="false">IF(G45="","",PERCENTRANK($G$2:$G$85,G45))</f>
        <v>0.458</v>
      </c>
      <c r="Q45" s="14" t="str">
        <f aca="false">IF(J45="","",1-(J45-1)/20)</f>
        <v/>
      </c>
      <c r="R45" s="14" t="str">
        <f aca="false">IF(M45="","",1-(M45-1)/(2*N45))</f>
        <v/>
      </c>
      <c r="S45" s="14" t="n">
        <f aca="false">IF(K45="","",0.5+0.5*PERCENTRANK($K$2:$K$85,K45))</f>
        <v>0.844</v>
      </c>
      <c r="T45" s="14" t="n">
        <f aca="false">IF(COUNT(Q45:S45)=0,"",MAX(Q45:S45))</f>
        <v>0.844</v>
      </c>
      <c r="U45" s="12" t="n">
        <f aca="false">COUNT(P45,T45)</f>
        <v>2</v>
      </c>
      <c r="V45" s="12" t="s">
        <v>2100</v>
      </c>
      <c r="Z45" s="12" t="n">
        <f aca="false">COUNTA(V45:Y45)</f>
        <v>1</v>
      </c>
      <c r="AA45" s="14" t="n">
        <f aca="false">IF(U45=0,"",MIN(1,AVERAGE(P45,T45)+Critérios!$B$5*Z45))</f>
        <v>0.681</v>
      </c>
      <c r="AB45" s="12" t="str">
        <f aca="false">IF(AA45="","",IF(AA45&gt;=Critérios!$B$7,"A",IF(AA45&gt;=Critérios!$B$8,"B","C")))</f>
        <v>B</v>
      </c>
      <c r="AC45" s="12" t="n">
        <f aca="false">IF(AA45="","",RANK(AA45,$AA$2:$AA$85))</f>
        <v>44</v>
      </c>
      <c r="AD45" s="12" t="str">
        <f aca="false">IF(AA45="","Sairia — sem métrica",IF(PERCENTRANK($AA$2:$AA$85,AA45)&lt;Critérios!$B$6,"Sairia — terço inferior","Fica"))</f>
        <v>Fica</v>
      </c>
      <c r="AE45" s="12" t="s">
        <v>1873</v>
      </c>
      <c r="AF45" s="12" t="s">
        <v>1857</v>
      </c>
      <c r="AH45" s="15" t="s">
        <v>95</v>
      </c>
      <c r="AI45" s="16"/>
      <c r="AJ45" s="12" t="s">
        <v>2101</v>
      </c>
      <c r="AK45" s="12" t="s">
        <v>2102</v>
      </c>
      <c r="AL45" s="12" t="n">
        <f aca="false">COUNT(G45)+IF(OR(I45&lt;&gt;"",K45&lt;&gt;""),1,0)+IF(M45&lt;&gt;"",1,0)+COUNTA(V45:Y45)</f>
        <v>3</v>
      </c>
      <c r="AM45" s="12" t="str">
        <f aca="false">IF(AL45&gt;=3,"Sim","Não")</f>
        <v>Sim</v>
      </c>
      <c r="AN45" s="12" t="str">
        <f aca="false">IF(AND(AC45&lt;&gt;"",AC45&lt;=Critérios!$B$9),"Sim","Não")</f>
        <v>Sim</v>
      </c>
    </row>
    <row r="46" customFormat="false" ht="15" hidden="false" customHeight="false" outlineLevel="0" collapsed="false">
      <c r="A46" s="12" t="s">
        <v>2103</v>
      </c>
      <c r="B46" s="12" t="s">
        <v>2104</v>
      </c>
      <c r="C46" s="12" t="s">
        <v>2104</v>
      </c>
      <c r="D46" s="12" t="s">
        <v>90</v>
      </c>
      <c r="E46" s="12" t="s">
        <v>1833</v>
      </c>
      <c r="F46" s="12" t="s">
        <v>1891</v>
      </c>
      <c r="G46" s="13" t="n">
        <v>318857</v>
      </c>
      <c r="H46" s="12" t="n">
        <v>7.8</v>
      </c>
      <c r="I46" s="17"/>
      <c r="K46" s="17"/>
      <c r="M46" s="12" t="n">
        <v>13</v>
      </c>
      <c r="N46" s="12" t="n">
        <v>30</v>
      </c>
      <c r="O46" s="12" t="s">
        <v>2105</v>
      </c>
      <c r="P46" s="14" t="n">
        <f aca="false">IF(G46="","",PERCENTRANK($G$2:$G$85,G46))</f>
        <v>0.434</v>
      </c>
      <c r="Q46" s="14" t="str">
        <f aca="false">IF(J46="","",1-(J46-1)/20)</f>
        <v/>
      </c>
      <c r="R46" s="14" t="n">
        <f aca="false">IF(M46="","",1-(M46-1)/(2*N46))</f>
        <v>0.8</v>
      </c>
      <c r="S46" s="14" t="str">
        <f aca="false">IF(K46="","",0.5+0.5*PERCENTRANK($K$2:$K$85,K46))</f>
        <v/>
      </c>
      <c r="T46" s="14" t="n">
        <f aca="false">IF(COUNT(Q46:S46)=0,"",MAX(Q46:S46))</f>
        <v>0.8</v>
      </c>
      <c r="U46" s="12" t="n">
        <f aca="false">COUNT(P46,T46)</f>
        <v>2</v>
      </c>
      <c r="W46" s="12" t="s">
        <v>2106</v>
      </c>
      <c r="X46" s="12" t="s">
        <v>2107</v>
      </c>
      <c r="Z46" s="12" t="n">
        <f aca="false">COUNTA(V46:Y46)</f>
        <v>2</v>
      </c>
      <c r="AA46" s="14" t="n">
        <f aca="false">IF(U46=0,"",MIN(1,AVERAGE(P46,T46)+Critérios!$B$5*Z46))</f>
        <v>0.677</v>
      </c>
      <c r="AB46" s="12" t="str">
        <f aca="false">IF(AA46="","",IF(AA46&gt;=Critérios!$B$7,"A",IF(AA46&gt;=Critérios!$B$8,"B","C")))</f>
        <v>B</v>
      </c>
      <c r="AC46" s="12" t="n">
        <f aca="false">IF(AA46="","",RANK(AA46,$AA$2:$AA$85))</f>
        <v>45</v>
      </c>
      <c r="AD46" s="12" t="str">
        <f aca="false">IF(AA46="","Sairia — sem métrica",IF(PERCENTRANK($AA$2:$AA$85,AA46)&lt;Critérios!$B$6,"Sairia — terço inferior","Fica"))</f>
        <v>Fica</v>
      </c>
      <c r="AE46" s="12" t="s">
        <v>1839</v>
      </c>
      <c r="AG46" s="12" t="s">
        <v>1927</v>
      </c>
      <c r="AH46" s="15" t="s">
        <v>95</v>
      </c>
      <c r="AI46" s="16"/>
      <c r="AK46" s="12" t="s">
        <v>2108</v>
      </c>
      <c r="AL46" s="12" t="n">
        <f aca="false">COUNT(G46)+IF(OR(I46&lt;&gt;"",K46&lt;&gt;""),1,0)+IF(M46&lt;&gt;"",1,0)+COUNTA(V46:Y46)</f>
        <v>4</v>
      </c>
      <c r="AM46" s="12" t="str">
        <f aca="false">IF(AL46&gt;=3,"Sim","Não")</f>
        <v>Sim</v>
      </c>
      <c r="AN46" s="12" t="str">
        <f aca="false">IF(AND(AC46&lt;&gt;"",AC46&lt;=Critérios!$B$9),"Sim","Não")</f>
        <v>Sim</v>
      </c>
    </row>
    <row r="47" customFormat="false" ht="15" hidden="false" customHeight="false" outlineLevel="0" collapsed="false">
      <c r="A47" s="12" t="s">
        <v>2109</v>
      </c>
      <c r="B47" s="12" t="s">
        <v>2110</v>
      </c>
      <c r="C47" s="12" t="s">
        <v>2110</v>
      </c>
      <c r="D47" s="12" t="s">
        <v>101</v>
      </c>
      <c r="E47" s="12" t="s">
        <v>1903</v>
      </c>
      <c r="F47" s="12" t="s">
        <v>1891</v>
      </c>
      <c r="G47" s="13" t="n">
        <v>491219</v>
      </c>
      <c r="H47" s="12" t="n">
        <v>8.2</v>
      </c>
      <c r="I47" s="17"/>
      <c r="K47" s="17"/>
      <c r="P47" s="14" t="n">
        <f aca="false">IF(G47="","",PERCENTRANK($G$2:$G$85,G47))</f>
        <v>0.614</v>
      </c>
      <c r="Q47" s="14" t="str">
        <f aca="false">IF(J47="","",1-(J47-1)/20)</f>
        <v/>
      </c>
      <c r="R47" s="14" t="str">
        <f aca="false">IF(M47="","",1-(M47-1)/(2*N47))</f>
        <v/>
      </c>
      <c r="S47" s="14" t="str">
        <f aca="false">IF(K47="","",0.5+0.5*PERCENTRANK($K$2:$K$85,K47))</f>
        <v/>
      </c>
      <c r="T47" s="14" t="str">
        <f aca="false">IF(COUNT(Q47:S47)=0,"",MAX(Q47:S47))</f>
        <v/>
      </c>
      <c r="U47" s="12" t="n">
        <f aca="false">COUNT(P47,T47)</f>
        <v>1</v>
      </c>
      <c r="W47" s="12" t="s">
        <v>2111</v>
      </c>
      <c r="X47" s="12" t="s">
        <v>2112</v>
      </c>
      <c r="Z47" s="12" t="n">
        <f aca="false">COUNTA(V47:Y47)</f>
        <v>2</v>
      </c>
      <c r="AA47" s="14" t="n">
        <f aca="false">IF(U47=0,"",MIN(1,AVERAGE(P47,T47)+Critérios!$B$5*Z47))</f>
        <v>0.674</v>
      </c>
      <c r="AB47" s="12" t="str">
        <f aca="false">IF(AA47="","",IF(AA47&gt;=Critérios!$B$7,"A",IF(AA47&gt;=Critérios!$B$8,"B","C")))</f>
        <v>B</v>
      </c>
      <c r="AC47" s="12" t="n">
        <f aca="false">IF(AA47="","",RANK(AA47,$AA$2:$AA$85))</f>
        <v>46</v>
      </c>
      <c r="AD47" s="12" t="str">
        <f aca="false">IF(AA47="","Sairia — sem métrica",IF(PERCENTRANK($AA$2:$AA$85,AA47)&lt;Critérios!$B$6,"Sairia — terço inferior","Fica"))</f>
        <v>Fica</v>
      </c>
      <c r="AE47" s="12" t="s">
        <v>1873</v>
      </c>
      <c r="AG47" s="12" t="s">
        <v>1927</v>
      </c>
      <c r="AH47" s="15" t="s">
        <v>95</v>
      </c>
      <c r="AI47" s="16"/>
      <c r="AK47" s="12" t="s">
        <v>2113</v>
      </c>
      <c r="AL47" s="12" t="n">
        <f aca="false">COUNT(G47)+IF(OR(I47&lt;&gt;"",K47&lt;&gt;""),1,0)+IF(M47&lt;&gt;"",1,0)+COUNTA(V47:Y47)</f>
        <v>3</v>
      </c>
      <c r="AM47" s="12" t="str">
        <f aca="false">IF(AL47&gt;=3,"Sim","Não")</f>
        <v>Sim</v>
      </c>
      <c r="AN47" s="12" t="str">
        <f aca="false">IF(AND(AC47&lt;&gt;"",AC47&lt;=Critérios!$B$9),"Sim","Não")</f>
        <v>Sim</v>
      </c>
    </row>
    <row r="48" customFormat="false" ht="15" hidden="false" customHeight="false" outlineLevel="0" collapsed="false">
      <c r="A48" s="12" t="s">
        <v>2114</v>
      </c>
      <c r="B48" s="12" t="s">
        <v>2115</v>
      </c>
      <c r="C48" s="12" t="s">
        <v>2116</v>
      </c>
      <c r="D48" s="12" t="s">
        <v>1103</v>
      </c>
      <c r="E48" s="12" t="s">
        <v>1833</v>
      </c>
      <c r="F48" s="12" t="s">
        <v>1834</v>
      </c>
      <c r="G48" s="13" t="n">
        <v>681356</v>
      </c>
      <c r="H48" s="12" t="n">
        <v>8.5</v>
      </c>
      <c r="I48" s="13" t="n">
        <v>112800000</v>
      </c>
      <c r="J48" s="12" t="n">
        <v>9</v>
      </c>
      <c r="K48" s="17"/>
      <c r="P48" s="14" t="n">
        <f aca="false">IF(G48="","",PERCENTRANK($G$2:$G$85,G48))</f>
        <v>0.747</v>
      </c>
      <c r="Q48" s="14" t="n">
        <f aca="false">IF(J48="","",1-(J48-1)/20)</f>
        <v>0.6</v>
      </c>
      <c r="R48" s="14" t="str">
        <f aca="false">IF(M48="","",1-(M48-1)/(2*N48))</f>
        <v/>
      </c>
      <c r="S48" s="14" t="str">
        <f aca="false">IF(K48="","",0.5+0.5*PERCENTRANK($K$2:$K$85,K48))</f>
        <v/>
      </c>
      <c r="T48" s="14" t="n">
        <f aca="false">IF(COUNT(Q48:S48)=0,"",MAX(Q48:S48))</f>
        <v>0.6</v>
      </c>
      <c r="U48" s="12" t="n">
        <f aca="false">COUNT(P48,T48)</f>
        <v>2</v>
      </c>
      <c r="Z48" s="12" t="n">
        <f aca="false">COUNTA(V48:Y48)</f>
        <v>0</v>
      </c>
      <c r="AA48" s="14" t="n">
        <f aca="false">IF(U48=0,"",MIN(1,AVERAGE(P48,T48)+Critérios!$B$5*Z48))</f>
        <v>0.6735</v>
      </c>
      <c r="AB48" s="12" t="str">
        <f aca="false">IF(AA48="","",IF(AA48&gt;=Critérios!$B$7,"A",IF(AA48&gt;=Critérios!$B$8,"B","C")))</f>
        <v>B</v>
      </c>
      <c r="AC48" s="12" t="n">
        <f aca="false">IF(AA48="","",RANK(AA48,$AA$2:$AA$85))</f>
        <v>47</v>
      </c>
      <c r="AD48" s="12" t="str">
        <f aca="false">IF(AA48="","Sairia — sem métrica",IF(PERCENTRANK($AA$2:$AA$85,AA48)&lt;Critérios!$B$6,"Sairia — terço inferior","Fica"))</f>
        <v>Fica</v>
      </c>
      <c r="AE48" s="12" t="s">
        <v>1873</v>
      </c>
      <c r="AG48" s="12" t="s">
        <v>2031</v>
      </c>
      <c r="AH48" s="15" t="s">
        <v>95</v>
      </c>
      <c r="AI48" s="16"/>
      <c r="AJ48" s="12" t="s">
        <v>1840</v>
      </c>
      <c r="AK48" s="12" t="s">
        <v>2117</v>
      </c>
      <c r="AL48" s="12" t="n">
        <f aca="false">COUNT(G48)+IF(OR(I48&lt;&gt;"",K48&lt;&gt;""),1,0)+IF(M48&lt;&gt;"",1,0)+COUNTA(V48:Y48)</f>
        <v>2</v>
      </c>
      <c r="AM48" s="12" t="str">
        <f aca="false">IF(AL48&gt;=3,"Sim","Não")</f>
        <v>Não</v>
      </c>
      <c r="AN48" s="12" t="str">
        <f aca="false">IF(AND(AC48&lt;&gt;"",AC48&lt;=Critérios!$B$9),"Sim","Não")</f>
        <v>Sim</v>
      </c>
    </row>
    <row r="49" customFormat="false" ht="15" hidden="false" customHeight="false" outlineLevel="0" collapsed="false">
      <c r="A49" s="12" t="s">
        <v>2118</v>
      </c>
      <c r="B49" s="12" t="s">
        <v>2119</v>
      </c>
      <c r="C49" s="12" t="s">
        <v>2120</v>
      </c>
      <c r="D49" s="12" t="s">
        <v>214</v>
      </c>
      <c r="E49" s="12"/>
      <c r="F49" s="12" t="s">
        <v>292</v>
      </c>
      <c r="G49" s="13" t="n">
        <v>217379</v>
      </c>
      <c r="H49" s="12" t="n">
        <v>8.5</v>
      </c>
      <c r="I49" s="17"/>
      <c r="K49" s="17"/>
      <c r="M49" s="12" t="n">
        <v>5</v>
      </c>
      <c r="N49" s="12" t="n">
        <v>40</v>
      </c>
      <c r="O49" s="12" t="s">
        <v>2121</v>
      </c>
      <c r="P49" s="14" t="n">
        <f aca="false">IF(G49="","",PERCENTRANK($G$2:$G$85,G49))</f>
        <v>0.313</v>
      </c>
      <c r="Q49" s="14" t="str">
        <f aca="false">IF(J49="","",1-(J49-1)/20)</f>
        <v/>
      </c>
      <c r="R49" s="14" t="n">
        <f aca="false">IF(M49="","",1-(M49-1)/(2*N49))</f>
        <v>0.95</v>
      </c>
      <c r="S49" s="14" t="str">
        <f aca="false">IF(K49="","",0.5+0.5*PERCENTRANK($K$2:$K$85,K49))</f>
        <v/>
      </c>
      <c r="T49" s="14" t="n">
        <f aca="false">IF(COUNT(Q49:S49)=0,"",MAX(Q49:S49))</f>
        <v>0.95</v>
      </c>
      <c r="U49" s="12" t="n">
        <f aca="false">COUNT(P49,T49)</f>
        <v>2</v>
      </c>
      <c r="Y49" s="12" t="s">
        <v>2122</v>
      </c>
      <c r="Z49" s="12" t="n">
        <f aca="false">COUNTA(V49:Y49)</f>
        <v>1</v>
      </c>
      <c r="AA49" s="14" t="n">
        <f aca="false">IF(U49=0,"",MIN(1,AVERAGE(P49,T49)+Critérios!$B$5*Z49))</f>
        <v>0.6615</v>
      </c>
      <c r="AB49" s="12" t="str">
        <f aca="false">IF(AA49="","",IF(AA49&gt;=Critérios!$B$7,"A",IF(AA49&gt;=Critérios!$B$8,"B","C")))</f>
        <v>B</v>
      </c>
      <c r="AC49" s="12" t="n">
        <f aca="false">IF(AA49="","",RANK(AA49,$AA$2:$AA$85))</f>
        <v>48</v>
      </c>
      <c r="AD49" s="12" t="str">
        <f aca="false">IF(AA49="","Sairia — sem métrica",IF(PERCENTRANK($AA$2:$AA$85,AA49)&lt;Critérios!$B$6,"Sairia — terço inferior","Fica"))</f>
        <v>Fica</v>
      </c>
      <c r="AE49" s="12" t="s">
        <v>105</v>
      </c>
      <c r="AH49" s="15" t="s">
        <v>95</v>
      </c>
      <c r="AI49" s="16"/>
      <c r="AK49" s="12" t="s">
        <v>2123</v>
      </c>
      <c r="AL49" s="12" t="n">
        <f aca="false">COUNT(G49)+IF(OR(I49&lt;&gt;"",K49&lt;&gt;""),1,0)+IF(M49&lt;&gt;"",1,0)+COUNTA(V49:Y49)</f>
        <v>3</v>
      </c>
      <c r="AM49" s="12" t="str">
        <f aca="false">IF(AL49&gt;=3,"Sim","Não")</f>
        <v>Sim</v>
      </c>
      <c r="AN49" s="12" t="str">
        <f aca="false">IF(AND(AC49&lt;&gt;"",AC49&lt;=Critérios!$B$9),"Sim","Não")</f>
        <v>Sim</v>
      </c>
    </row>
    <row r="50" customFormat="false" ht="15" hidden="false" customHeight="false" outlineLevel="0" collapsed="false">
      <c r="A50" s="12" t="s">
        <v>2124</v>
      </c>
      <c r="B50" s="12" t="s">
        <v>2125</v>
      </c>
      <c r="C50" s="12" t="s">
        <v>2125</v>
      </c>
      <c r="D50" s="12" t="s">
        <v>134</v>
      </c>
      <c r="E50" s="12" t="s">
        <v>2126</v>
      </c>
      <c r="F50" s="12" t="s">
        <v>1834</v>
      </c>
      <c r="G50" s="13" t="n">
        <v>390307</v>
      </c>
      <c r="H50" s="12" t="n">
        <v>7.7</v>
      </c>
      <c r="I50" s="17"/>
      <c r="K50" s="13" t="n">
        <v>3660000</v>
      </c>
      <c r="M50" s="12" t="n">
        <v>15</v>
      </c>
      <c r="N50" s="12" t="n">
        <v>30</v>
      </c>
      <c r="O50" s="12" t="s">
        <v>2127</v>
      </c>
      <c r="P50" s="14" t="n">
        <f aca="false">IF(G50="","",PERCENTRANK($G$2:$G$85,G50))</f>
        <v>0.542</v>
      </c>
      <c r="Q50" s="14" t="str">
        <f aca="false">IF(J50="","",1-(J50-1)/20)</f>
        <v/>
      </c>
      <c r="R50" s="14" t="n">
        <f aca="false">IF(M50="","",1-(M50-1)/(2*N50))</f>
        <v>0.766666666666667</v>
      </c>
      <c r="S50" s="14" t="n">
        <f aca="false">IF(K50="","",0.5+0.5*PERCENTRANK($K$2:$K$85,K50))</f>
        <v>0.594</v>
      </c>
      <c r="T50" s="14" t="n">
        <f aca="false">IF(COUNT(Q50:S50)=0,"",MAX(Q50:S50))</f>
        <v>0.766666666666667</v>
      </c>
      <c r="U50" s="12" t="n">
        <f aca="false">COUNT(P50,T50)</f>
        <v>2</v>
      </c>
      <c r="Z50" s="12" t="n">
        <f aca="false">COUNTA(V50:Y50)</f>
        <v>0</v>
      </c>
      <c r="AA50" s="14" t="n">
        <f aca="false">IF(U50=0,"",MIN(1,AVERAGE(P50,T50)+Critérios!$B$5*Z50))</f>
        <v>0.654333333333333</v>
      </c>
      <c r="AB50" s="12" t="str">
        <f aca="false">IF(AA50="","",IF(AA50&gt;=Critérios!$B$7,"A",IF(AA50&gt;=Critérios!$B$8,"B","C")))</f>
        <v>B</v>
      </c>
      <c r="AC50" s="12" t="n">
        <f aca="false">IF(AA50="","",RANK(AA50,$AA$2:$AA$85))</f>
        <v>49</v>
      </c>
      <c r="AD50" s="12" t="str">
        <f aca="false">IF(AA50="","Sairia — sem métrica",IF(PERCENTRANK($AA$2:$AA$85,AA50)&lt;Critérios!$B$6,"Sairia — terço inferior","Fica"))</f>
        <v>Fica</v>
      </c>
      <c r="AE50" s="12" t="s">
        <v>1873</v>
      </c>
      <c r="AH50" s="15" t="s">
        <v>95</v>
      </c>
      <c r="AI50" s="16"/>
      <c r="AJ50" s="12" t="s">
        <v>2128</v>
      </c>
      <c r="AK50" s="12" t="s">
        <v>2129</v>
      </c>
      <c r="AL50" s="12" t="n">
        <f aca="false">COUNT(G50)+IF(OR(I50&lt;&gt;"",K50&lt;&gt;""),1,0)+IF(M50&lt;&gt;"",1,0)+COUNTA(V50:Y50)</f>
        <v>3</v>
      </c>
      <c r="AM50" s="12" t="str">
        <f aca="false">IF(AL50&gt;=3,"Sim","Não")</f>
        <v>Sim</v>
      </c>
      <c r="AN50" s="12" t="str">
        <f aca="false">IF(AND(AC50&lt;&gt;"",AC50&lt;=Critérios!$B$9),"Sim","Não")</f>
        <v>Sim</v>
      </c>
    </row>
    <row r="51" customFormat="false" ht="15" hidden="false" customHeight="false" outlineLevel="0" collapsed="false">
      <c r="A51" s="12" t="s">
        <v>2130</v>
      </c>
      <c r="B51" s="12" t="s">
        <v>2131</v>
      </c>
      <c r="C51" s="12" t="s">
        <v>2131</v>
      </c>
      <c r="D51" s="12" t="s">
        <v>101</v>
      </c>
      <c r="E51" s="12" t="s">
        <v>1833</v>
      </c>
      <c r="F51" s="12" t="s">
        <v>1891</v>
      </c>
      <c r="G51" s="13" t="n">
        <v>111423</v>
      </c>
      <c r="H51" s="12" t="n">
        <v>7.5</v>
      </c>
      <c r="I51" s="17"/>
      <c r="K51" s="17"/>
      <c r="M51" s="12" t="n">
        <v>3</v>
      </c>
      <c r="N51" s="12" t="n">
        <v>30</v>
      </c>
      <c r="O51" s="12" t="s">
        <v>2132</v>
      </c>
      <c r="P51" s="14" t="n">
        <f aca="false">IF(G51="","",PERCENTRANK($G$2:$G$85,G51))</f>
        <v>0.181</v>
      </c>
      <c r="Q51" s="14" t="str">
        <f aca="false">IF(J51="","",1-(J51-1)/20)</f>
        <v/>
      </c>
      <c r="R51" s="14" t="n">
        <f aca="false">IF(M51="","",1-(M51-1)/(2*N51))</f>
        <v>0.966666666666667</v>
      </c>
      <c r="S51" s="14" t="str">
        <f aca="false">IF(K51="","",0.5+0.5*PERCENTRANK($K$2:$K$85,K51))</f>
        <v/>
      </c>
      <c r="T51" s="14" t="n">
        <f aca="false">IF(COUNT(Q51:S51)=0,"",MAX(Q51:S51))</f>
        <v>0.966666666666667</v>
      </c>
      <c r="U51" s="12" t="n">
        <f aca="false">COUNT(P51,T51)</f>
        <v>2</v>
      </c>
      <c r="V51" s="12" t="s">
        <v>2133</v>
      </c>
      <c r="X51" s="12" t="s">
        <v>2134</v>
      </c>
      <c r="Z51" s="12" t="n">
        <f aca="false">COUNTA(V51:Y51)</f>
        <v>2</v>
      </c>
      <c r="AA51" s="14" t="n">
        <f aca="false">IF(U51=0,"",MIN(1,AVERAGE(P51,T51)+Critérios!$B$5*Z51))</f>
        <v>0.633833333333333</v>
      </c>
      <c r="AB51" s="12" t="str">
        <f aca="false">IF(AA51="","",IF(AA51&gt;=Critérios!$B$7,"A",IF(AA51&gt;=Critérios!$B$8,"B","C")))</f>
        <v>B</v>
      </c>
      <c r="AC51" s="12" t="n">
        <f aca="false">IF(AA51="","",RANK(AA51,$AA$2:$AA$85))</f>
        <v>50</v>
      </c>
      <c r="AD51" s="12" t="str">
        <f aca="false">IF(AA51="","Sairia — sem métrica",IF(PERCENTRANK($AA$2:$AA$85,AA51)&lt;Critérios!$B$6,"Sairia — terço inferior","Fica"))</f>
        <v>Fica</v>
      </c>
      <c r="AE51" s="12" t="s">
        <v>1898</v>
      </c>
      <c r="AG51" s="12" t="s">
        <v>1927</v>
      </c>
      <c r="AH51" s="15" t="s">
        <v>95</v>
      </c>
      <c r="AI51" s="16"/>
      <c r="AK51" s="12" t="s">
        <v>2135</v>
      </c>
      <c r="AL51" s="12" t="n">
        <f aca="false">COUNT(G51)+IF(OR(I51&lt;&gt;"",K51&lt;&gt;""),1,0)+IF(M51&lt;&gt;"",1,0)+COUNTA(V51:Y51)</f>
        <v>4</v>
      </c>
      <c r="AM51" s="12" t="str">
        <f aca="false">IF(AL51&gt;=3,"Sim","Não")</f>
        <v>Sim</v>
      </c>
      <c r="AN51" s="12" t="str">
        <f aca="false">IF(AND(AC51&lt;&gt;"",AC51&lt;=Critérios!$B$9),"Sim","Não")</f>
        <v>Sim</v>
      </c>
    </row>
    <row r="52" customFormat="false" ht="15" hidden="false" customHeight="false" outlineLevel="0" collapsed="false">
      <c r="A52" s="12" t="s">
        <v>2136</v>
      </c>
      <c r="B52" s="12" t="s">
        <v>2137</v>
      </c>
      <c r="C52" s="12" t="s">
        <v>2137</v>
      </c>
      <c r="D52" s="12" t="s">
        <v>189</v>
      </c>
      <c r="E52" s="12" t="s">
        <v>1862</v>
      </c>
      <c r="F52" s="12" t="s">
        <v>1891</v>
      </c>
      <c r="G52" s="13" t="n">
        <v>177132</v>
      </c>
      <c r="H52" s="12" t="n">
        <v>8.7</v>
      </c>
      <c r="I52" s="17"/>
      <c r="K52" s="17"/>
      <c r="M52" s="12" t="n">
        <v>4</v>
      </c>
      <c r="N52" s="12" t="n">
        <v>40</v>
      </c>
      <c r="O52" s="12" t="s">
        <v>2138</v>
      </c>
      <c r="P52" s="14" t="n">
        <f aca="false">IF(G52="","",PERCENTRANK($G$2:$G$85,G52))</f>
        <v>0.241</v>
      </c>
      <c r="Q52" s="14" t="str">
        <f aca="false">IF(J52="","",1-(J52-1)/20)</f>
        <v/>
      </c>
      <c r="R52" s="14" t="n">
        <f aca="false">IF(M52="","",1-(M52-1)/(2*N52))</f>
        <v>0.9625</v>
      </c>
      <c r="S52" s="14" t="str">
        <f aca="false">IF(K52="","",0.5+0.5*PERCENTRANK($K$2:$K$85,K52))</f>
        <v/>
      </c>
      <c r="T52" s="14" t="n">
        <f aca="false">IF(COUNT(Q52:S52)=0,"",MAX(Q52:S52))</f>
        <v>0.9625</v>
      </c>
      <c r="U52" s="12" t="n">
        <f aca="false">COUNT(P52,T52)</f>
        <v>2</v>
      </c>
      <c r="V52" s="12" t="s">
        <v>2139</v>
      </c>
      <c r="Z52" s="12" t="n">
        <f aca="false">COUNTA(V52:Y52)</f>
        <v>1</v>
      </c>
      <c r="AA52" s="14" t="n">
        <f aca="false">IF(U52=0,"",MIN(1,AVERAGE(P52,T52)+Critérios!$B$5*Z52))</f>
        <v>0.63175</v>
      </c>
      <c r="AB52" s="12" t="str">
        <f aca="false">IF(AA52="","",IF(AA52&gt;=Critérios!$B$7,"A",IF(AA52&gt;=Critérios!$B$8,"B","C")))</f>
        <v>B</v>
      </c>
      <c r="AC52" s="12" t="n">
        <f aca="false">IF(AA52="","",RANK(AA52,$AA$2:$AA$85))</f>
        <v>51</v>
      </c>
      <c r="AD52" s="12" t="str">
        <f aca="false">IF(AA52="","Sairia — sem métrica",IF(PERCENTRANK($AA$2:$AA$85,AA52)&lt;Critérios!$B$6,"Sairia — terço inferior","Fica"))</f>
        <v>Fica</v>
      </c>
      <c r="AE52" s="12" t="s">
        <v>1839</v>
      </c>
      <c r="AG52" s="12" t="s">
        <v>1927</v>
      </c>
      <c r="AH52" s="15" t="s">
        <v>95</v>
      </c>
      <c r="AI52" s="16"/>
      <c r="AK52" s="12" t="s">
        <v>2140</v>
      </c>
      <c r="AL52" s="12" t="n">
        <f aca="false">COUNT(G52)+IF(OR(I52&lt;&gt;"",K52&lt;&gt;""),1,0)+IF(M52&lt;&gt;"",1,0)+COUNTA(V52:Y52)</f>
        <v>3</v>
      </c>
      <c r="AM52" s="12" t="str">
        <f aca="false">IF(AL52&gt;=3,"Sim","Não")</f>
        <v>Sim</v>
      </c>
      <c r="AN52" s="12" t="str">
        <f aca="false">IF(AND(AC52&lt;&gt;"",AC52&lt;=Critérios!$B$9),"Sim","Não")</f>
        <v>Não</v>
      </c>
    </row>
    <row r="53" customFormat="false" ht="15" hidden="false" customHeight="false" outlineLevel="0" collapsed="false">
      <c r="A53" s="12" t="s">
        <v>2141</v>
      </c>
      <c r="B53" s="12" t="s">
        <v>2142</v>
      </c>
      <c r="C53" s="12" t="s">
        <v>2143</v>
      </c>
      <c r="D53" s="12" t="s">
        <v>207</v>
      </c>
      <c r="E53" s="12"/>
      <c r="F53" s="12" t="s">
        <v>292</v>
      </c>
      <c r="G53" s="13" t="n">
        <v>153642</v>
      </c>
      <c r="H53" s="12" t="n">
        <v>7.8</v>
      </c>
      <c r="I53" s="17"/>
      <c r="K53" s="17"/>
      <c r="M53" s="12" t="n">
        <v>4</v>
      </c>
      <c r="N53" s="12" t="n">
        <v>40</v>
      </c>
      <c r="O53" s="12" t="s">
        <v>2144</v>
      </c>
      <c r="P53" s="14" t="n">
        <f aca="false">IF(G53="","",PERCENTRANK($G$2:$G$85,G53))</f>
        <v>0.229</v>
      </c>
      <c r="Q53" s="14" t="str">
        <f aca="false">IF(J53="","",1-(J53-1)/20)</f>
        <v/>
      </c>
      <c r="R53" s="14" t="n">
        <f aca="false">IF(M53="","",1-(M53-1)/(2*N53))</f>
        <v>0.9625</v>
      </c>
      <c r="S53" s="14" t="str">
        <f aca="false">IF(K53="","",0.5+0.5*PERCENTRANK($K$2:$K$85,K53))</f>
        <v/>
      </c>
      <c r="T53" s="14" t="n">
        <f aca="false">IF(COUNT(Q53:S53)=0,"",MAX(Q53:S53))</f>
        <v>0.9625</v>
      </c>
      <c r="U53" s="12" t="n">
        <f aca="false">COUNT(P53,T53)</f>
        <v>2</v>
      </c>
      <c r="V53" s="12" t="s">
        <v>2145</v>
      </c>
      <c r="Z53" s="12" t="n">
        <f aca="false">COUNTA(V53:Y53)</f>
        <v>1</v>
      </c>
      <c r="AA53" s="14" t="n">
        <f aca="false">IF(U53=0,"",MIN(1,AVERAGE(P53,T53)+Critérios!$B$5*Z53))</f>
        <v>0.62575</v>
      </c>
      <c r="AB53" s="12" t="str">
        <f aca="false">IF(AA53="","",IF(AA53&gt;=Critérios!$B$7,"A",IF(AA53&gt;=Critérios!$B$8,"B","C")))</f>
        <v>B</v>
      </c>
      <c r="AC53" s="12" t="n">
        <f aca="false">IF(AA53="","",RANK(AA53,$AA$2:$AA$85))</f>
        <v>52</v>
      </c>
      <c r="AD53" s="12" t="str">
        <f aca="false">IF(AA53="","Sairia — sem métrica",IF(PERCENTRANK($AA$2:$AA$85,AA53)&lt;Critérios!$B$6,"Sairia — terço inferior","Fica"))</f>
        <v>Fica</v>
      </c>
      <c r="AE53" s="12" t="s">
        <v>105</v>
      </c>
      <c r="AH53" s="15" t="s">
        <v>95</v>
      </c>
      <c r="AI53" s="16"/>
      <c r="AK53" s="12" t="s">
        <v>2146</v>
      </c>
      <c r="AL53" s="12" t="n">
        <f aca="false">COUNT(G53)+IF(OR(I53&lt;&gt;"",K53&lt;&gt;""),1,0)+IF(M53&lt;&gt;"",1,0)+COUNTA(V53:Y53)</f>
        <v>3</v>
      </c>
      <c r="AM53" s="12" t="str">
        <f aca="false">IF(AL53&gt;=3,"Sim","Não")</f>
        <v>Sim</v>
      </c>
      <c r="AN53" s="12" t="str">
        <f aca="false">IF(AND(AC53&lt;&gt;"",AC53&lt;=Critérios!$B$9),"Sim","Não")</f>
        <v>Não</v>
      </c>
    </row>
    <row r="54" customFormat="false" ht="15" hidden="false" customHeight="false" outlineLevel="0" collapsed="false">
      <c r="A54" s="12" t="s">
        <v>2147</v>
      </c>
      <c r="B54" s="12" t="s">
        <v>2148</v>
      </c>
      <c r="C54" s="12" t="s">
        <v>2148</v>
      </c>
      <c r="D54" s="12" t="s">
        <v>500</v>
      </c>
      <c r="E54" s="12" t="s">
        <v>1862</v>
      </c>
      <c r="F54" s="12" t="s">
        <v>1891</v>
      </c>
      <c r="G54" s="13" t="n">
        <v>267015</v>
      </c>
      <c r="H54" s="12" t="n">
        <v>7.5</v>
      </c>
      <c r="I54" s="17"/>
      <c r="K54" s="17"/>
      <c r="M54" s="12" t="n">
        <v>22</v>
      </c>
      <c r="N54" s="12" t="n">
        <v>40</v>
      </c>
      <c r="O54" s="12" t="s">
        <v>2149</v>
      </c>
      <c r="P54" s="14" t="n">
        <f aca="false">IF(G54="","",PERCENTRANK($G$2:$G$85,G54))</f>
        <v>0.41</v>
      </c>
      <c r="Q54" s="14" t="str">
        <f aca="false">IF(J54="","",1-(J54-1)/20)</f>
        <v/>
      </c>
      <c r="R54" s="14" t="n">
        <f aca="false">IF(M54="","",1-(M54-1)/(2*N54))</f>
        <v>0.7375</v>
      </c>
      <c r="S54" s="14" t="str">
        <f aca="false">IF(K54="","",0.5+0.5*PERCENTRANK($K$2:$K$85,K54))</f>
        <v/>
      </c>
      <c r="T54" s="14" t="n">
        <f aca="false">IF(COUNT(Q54:S54)=0,"",MAX(Q54:S54))</f>
        <v>0.7375</v>
      </c>
      <c r="U54" s="12" t="n">
        <f aca="false">COUNT(P54,T54)</f>
        <v>2</v>
      </c>
      <c r="Y54" s="12" t="s">
        <v>1687</v>
      </c>
      <c r="Z54" s="12" t="n">
        <f aca="false">COUNTA(V54:Y54)</f>
        <v>1</v>
      </c>
      <c r="AA54" s="14" t="n">
        <f aca="false">IF(U54=0,"",MIN(1,AVERAGE(P54,T54)+Critérios!$B$5*Z54))</f>
        <v>0.60375</v>
      </c>
      <c r="AB54" s="12" t="str">
        <f aca="false">IF(AA54="","",IF(AA54&gt;=Critérios!$B$7,"A",IF(AA54&gt;=Critérios!$B$8,"B","C")))</f>
        <v>B</v>
      </c>
      <c r="AC54" s="12" t="n">
        <f aca="false">IF(AA54="","",RANK(AA54,$AA$2:$AA$85))</f>
        <v>53</v>
      </c>
      <c r="AD54" s="12" t="str">
        <f aca="false">IF(AA54="","Sairia — sem métrica",IF(PERCENTRANK($AA$2:$AA$85,AA54)&lt;Critérios!$B$6,"Sairia — terço inferior","Fica"))</f>
        <v>Fica</v>
      </c>
      <c r="AE54" s="12" t="s">
        <v>1839</v>
      </c>
      <c r="AG54" s="12" t="s">
        <v>1927</v>
      </c>
      <c r="AH54" s="15" t="s">
        <v>95</v>
      </c>
      <c r="AI54" s="16"/>
      <c r="AK54" s="12" t="s">
        <v>2150</v>
      </c>
      <c r="AL54" s="12" t="n">
        <f aca="false">COUNT(G54)+IF(OR(I54&lt;&gt;"",K54&lt;&gt;""),1,0)+IF(M54&lt;&gt;"",1,0)+COUNTA(V54:Y54)</f>
        <v>3</v>
      </c>
      <c r="AM54" s="12" t="str">
        <f aca="false">IF(AL54&gt;=3,"Sim","Não")</f>
        <v>Sim</v>
      </c>
      <c r="AN54" s="12" t="str">
        <f aca="false">IF(AND(AC54&lt;&gt;"",AC54&lt;=Critérios!$B$9),"Sim","Não")</f>
        <v>Não</v>
      </c>
    </row>
    <row r="55" customFormat="false" ht="15" hidden="false" customHeight="false" outlineLevel="0" collapsed="false">
      <c r="A55" s="12" t="s">
        <v>2151</v>
      </c>
      <c r="B55" s="12" t="s">
        <v>2152</v>
      </c>
      <c r="C55" s="12" t="s">
        <v>2152</v>
      </c>
      <c r="D55" s="12" t="s">
        <v>1103</v>
      </c>
      <c r="E55" s="12" t="s">
        <v>1833</v>
      </c>
      <c r="F55" s="12" t="s">
        <v>1891</v>
      </c>
      <c r="G55" s="13" t="n">
        <v>115724</v>
      </c>
      <c r="H55" s="12" t="n">
        <v>7.5</v>
      </c>
      <c r="I55" s="17"/>
      <c r="K55" s="17"/>
      <c r="M55" s="12" t="n">
        <v>9</v>
      </c>
      <c r="N55" s="12" t="n">
        <v>30</v>
      </c>
      <c r="O55" s="12" t="s">
        <v>2153</v>
      </c>
      <c r="P55" s="14" t="n">
        <f aca="false">IF(G55="","",PERCENTRANK($G$2:$G$85,G55))</f>
        <v>0.193</v>
      </c>
      <c r="Q55" s="14" t="str">
        <f aca="false">IF(J55="","",1-(J55-1)/20)</f>
        <v/>
      </c>
      <c r="R55" s="14" t="n">
        <f aca="false">IF(M55="","",1-(M55-1)/(2*N55))</f>
        <v>0.866666666666667</v>
      </c>
      <c r="S55" s="14" t="str">
        <f aca="false">IF(K55="","",0.5+0.5*PERCENTRANK($K$2:$K$85,K55))</f>
        <v/>
      </c>
      <c r="T55" s="14" t="n">
        <f aca="false">IF(COUNT(Q55:S55)=0,"",MAX(Q55:S55))</f>
        <v>0.866666666666667</v>
      </c>
      <c r="U55" s="12" t="n">
        <f aca="false">COUNT(P55,T55)</f>
        <v>2</v>
      </c>
      <c r="V55" s="12" t="s">
        <v>2154</v>
      </c>
      <c r="Y55" s="12" t="s">
        <v>1572</v>
      </c>
      <c r="Z55" s="12" t="n">
        <f aca="false">COUNTA(V55:Y55)</f>
        <v>2</v>
      </c>
      <c r="AA55" s="14" t="n">
        <f aca="false">IF(U55=0,"",MIN(1,AVERAGE(P55,T55)+Critérios!$B$5*Z55))</f>
        <v>0.589833333333333</v>
      </c>
      <c r="AB55" s="12" t="str">
        <f aca="false">IF(AA55="","",IF(AA55&gt;=Critérios!$B$7,"A",IF(AA55&gt;=Critérios!$B$8,"B","C")))</f>
        <v>B</v>
      </c>
      <c r="AC55" s="12" t="n">
        <f aca="false">IF(AA55="","",RANK(AA55,$AA$2:$AA$85))</f>
        <v>54</v>
      </c>
      <c r="AD55" s="12" t="str">
        <f aca="false">IF(AA55="","Sairia — sem métrica",IF(PERCENTRANK($AA$2:$AA$85,AA55)&lt;Critérios!$B$6,"Sairia — terço inferior","Fica"))</f>
        <v>Fica</v>
      </c>
      <c r="AE55" s="12" t="s">
        <v>1873</v>
      </c>
      <c r="AG55" s="12" t="s">
        <v>1927</v>
      </c>
      <c r="AH55" s="15" t="s">
        <v>95</v>
      </c>
      <c r="AI55" s="16"/>
      <c r="AK55" s="12" t="s">
        <v>2155</v>
      </c>
      <c r="AL55" s="12" t="n">
        <f aca="false">COUNT(G55)+IF(OR(I55&lt;&gt;"",K55&lt;&gt;""),1,0)+IF(M55&lt;&gt;"",1,0)+COUNTA(V55:Y55)</f>
        <v>4</v>
      </c>
      <c r="AM55" s="12" t="str">
        <f aca="false">IF(AL55&gt;=3,"Sim","Não")</f>
        <v>Sim</v>
      </c>
      <c r="AN55" s="12" t="str">
        <f aca="false">IF(AND(AC55&lt;&gt;"",AC55&lt;=Critérios!$B$9),"Sim","Não")</f>
        <v>Não</v>
      </c>
    </row>
    <row r="56" customFormat="false" ht="15" hidden="false" customHeight="false" outlineLevel="0" collapsed="false">
      <c r="A56" s="12" t="s">
        <v>2156</v>
      </c>
      <c r="B56" s="12" t="s">
        <v>2157</v>
      </c>
      <c r="C56" s="12" t="s">
        <v>2157</v>
      </c>
      <c r="D56" s="12" t="s">
        <v>214</v>
      </c>
      <c r="E56" s="12"/>
      <c r="F56" s="12" t="s">
        <v>292</v>
      </c>
      <c r="G56" s="13" t="n">
        <v>104033</v>
      </c>
      <c r="H56" s="12" t="n">
        <v>8.2</v>
      </c>
      <c r="I56" s="17"/>
      <c r="K56" s="17"/>
      <c r="M56" s="12" t="n">
        <v>4</v>
      </c>
      <c r="N56" s="12" t="n">
        <v>30</v>
      </c>
      <c r="O56" s="12" t="s">
        <v>2158</v>
      </c>
      <c r="P56" s="14" t="n">
        <f aca="false">IF(G56="","",PERCENTRANK($G$2:$G$85,G56))</f>
        <v>0.169</v>
      </c>
      <c r="Q56" s="14" t="str">
        <f aca="false">IF(J56="","",1-(J56-1)/20)</f>
        <v/>
      </c>
      <c r="R56" s="14" t="n">
        <f aca="false">IF(M56="","",1-(M56-1)/(2*N56))</f>
        <v>0.95</v>
      </c>
      <c r="S56" s="14" t="str">
        <f aca="false">IF(K56="","",0.5+0.5*PERCENTRANK($K$2:$K$85,K56))</f>
        <v/>
      </c>
      <c r="T56" s="14" t="n">
        <f aca="false">IF(COUNT(Q56:S56)=0,"",MAX(Q56:S56))</f>
        <v>0.95</v>
      </c>
      <c r="U56" s="12" t="n">
        <f aca="false">COUNT(P56,T56)</f>
        <v>2</v>
      </c>
      <c r="V56" s="12" t="s">
        <v>2159</v>
      </c>
      <c r="Z56" s="12" t="n">
        <f aca="false">COUNTA(V56:Y56)</f>
        <v>1</v>
      </c>
      <c r="AA56" s="14" t="n">
        <f aca="false">IF(U56=0,"",MIN(1,AVERAGE(P56,T56)+Critérios!$B$5*Z56))</f>
        <v>0.5895</v>
      </c>
      <c r="AB56" s="12" t="str">
        <f aca="false">IF(AA56="","",IF(AA56&gt;=Critérios!$B$7,"A",IF(AA56&gt;=Critérios!$B$8,"B","C")))</f>
        <v>B</v>
      </c>
      <c r="AC56" s="12" t="n">
        <f aca="false">IF(AA56="","",RANK(AA56,$AA$2:$AA$85))</f>
        <v>55</v>
      </c>
      <c r="AD56" s="12" t="str">
        <f aca="false">IF(AA56="","Sairia — sem métrica",IF(PERCENTRANK($AA$2:$AA$85,AA56)&lt;Critérios!$B$6,"Sairia — terço inferior","Fica"))</f>
        <v>Fica</v>
      </c>
      <c r="AE56" s="12" t="s">
        <v>105</v>
      </c>
      <c r="AH56" s="15" t="s">
        <v>95</v>
      </c>
      <c r="AI56" s="16"/>
      <c r="AK56" s="12" t="s">
        <v>2160</v>
      </c>
      <c r="AL56" s="12" t="n">
        <f aca="false">COUNT(G56)+IF(OR(I56&lt;&gt;"",K56&lt;&gt;""),1,0)+IF(M56&lt;&gt;"",1,0)+COUNTA(V56:Y56)</f>
        <v>3</v>
      </c>
      <c r="AM56" s="12" t="str">
        <f aca="false">IF(AL56&gt;=3,"Sim","Não")</f>
        <v>Sim</v>
      </c>
      <c r="AN56" s="12" t="str">
        <f aca="false">IF(AND(AC56&lt;&gt;"",AC56&lt;=Critérios!$B$9),"Sim","Não")</f>
        <v>Não</v>
      </c>
    </row>
    <row r="57" customFormat="false" ht="15" hidden="false" customHeight="false" outlineLevel="0" collapsed="false">
      <c r="A57" s="12" t="s">
        <v>2161</v>
      </c>
      <c r="B57" s="12" t="s">
        <v>2162</v>
      </c>
      <c r="C57" s="12" t="s">
        <v>2163</v>
      </c>
      <c r="D57" s="12" t="s">
        <v>127</v>
      </c>
      <c r="E57" s="12" t="s">
        <v>2164</v>
      </c>
      <c r="F57" s="12" t="s">
        <v>1834</v>
      </c>
      <c r="G57" s="13" t="n">
        <v>458130</v>
      </c>
      <c r="H57" s="12" t="n">
        <v>9.3</v>
      </c>
      <c r="I57" s="17"/>
      <c r="K57" s="13" t="n">
        <v>1100000</v>
      </c>
      <c r="P57" s="14" t="n">
        <f aca="false">IF(G57="","",PERCENTRANK($G$2:$G$85,G57))</f>
        <v>0.602</v>
      </c>
      <c r="Q57" s="14" t="str">
        <f aca="false">IF(J57="","",1-(J57-1)/20)</f>
        <v/>
      </c>
      <c r="R57" s="14" t="str">
        <f aca="false">IF(M57="","",1-(M57-1)/(2*N57))</f>
        <v/>
      </c>
      <c r="S57" s="14" t="n">
        <f aca="false">IF(K57="","",0.5+0.5*PERCENTRANK($K$2:$K$85,K57))</f>
        <v>0.5</v>
      </c>
      <c r="T57" s="14" t="n">
        <f aca="false">IF(COUNT(Q57:S57)=0,"",MAX(Q57:S57))</f>
        <v>0.5</v>
      </c>
      <c r="U57" s="12" t="n">
        <f aca="false">COUNT(P57,T57)</f>
        <v>2</v>
      </c>
      <c r="X57" s="12" t="s">
        <v>2165</v>
      </c>
      <c r="Z57" s="12" t="n">
        <f aca="false">COUNTA(V57:Y57)</f>
        <v>1</v>
      </c>
      <c r="AA57" s="14" t="n">
        <f aca="false">IF(U57=0,"",MIN(1,AVERAGE(P57,T57)+Critérios!$B$5*Z57))</f>
        <v>0.581</v>
      </c>
      <c r="AB57" s="12" t="str">
        <f aca="false">IF(AA57="","",IF(AA57&gt;=Critérios!$B$7,"A",IF(AA57&gt;=Critérios!$B$8,"B","C")))</f>
        <v>B</v>
      </c>
      <c r="AC57" s="12" t="n">
        <f aca="false">IF(AA57="","",RANK(AA57,$AA$2:$AA$85))</f>
        <v>56</v>
      </c>
      <c r="AD57" s="12" t="str">
        <f aca="false">IF(AA57="","Sairia — sem métrica",IF(PERCENTRANK($AA$2:$AA$85,AA57)&lt;Critérios!$B$6,"Sairia — terço inferior","Fica"))</f>
        <v>Fica</v>
      </c>
      <c r="AE57" s="12" t="s">
        <v>1873</v>
      </c>
      <c r="AH57" s="15" t="s">
        <v>95</v>
      </c>
      <c r="AI57" s="16"/>
      <c r="AJ57" s="12" t="s">
        <v>2166</v>
      </c>
      <c r="AK57" s="12" t="s">
        <v>2167</v>
      </c>
      <c r="AL57" s="12" t="n">
        <f aca="false">COUNT(G57)+IF(OR(I57&lt;&gt;"",K57&lt;&gt;""),1,0)+IF(M57&lt;&gt;"",1,0)+COUNTA(V57:Y57)</f>
        <v>3</v>
      </c>
      <c r="AM57" s="12" t="str">
        <f aca="false">IF(AL57&gt;=3,"Sim","Não")</f>
        <v>Sim</v>
      </c>
      <c r="AN57" s="12" t="str">
        <f aca="false">IF(AND(AC57&lt;&gt;"",AC57&lt;=Critérios!$B$9),"Sim","Não")</f>
        <v>Não</v>
      </c>
    </row>
    <row r="58" customFormat="false" ht="15" hidden="false" customHeight="false" outlineLevel="0" collapsed="false">
      <c r="A58" s="12" t="s">
        <v>2168</v>
      </c>
      <c r="B58" s="12" t="s">
        <v>1511</v>
      </c>
      <c r="C58" s="12" t="s">
        <v>1511</v>
      </c>
      <c r="D58" s="12" t="s">
        <v>158</v>
      </c>
      <c r="E58" s="12" t="s">
        <v>2126</v>
      </c>
      <c r="F58" s="12" t="s">
        <v>1891</v>
      </c>
      <c r="G58" s="13" t="n">
        <v>389361</v>
      </c>
      <c r="H58" s="12" t="n">
        <v>7.4</v>
      </c>
      <c r="I58" s="17"/>
      <c r="K58" s="17"/>
      <c r="P58" s="14" t="n">
        <f aca="false">IF(G58="","",PERCENTRANK($G$2:$G$85,G58))</f>
        <v>0.53</v>
      </c>
      <c r="Q58" s="14" t="str">
        <f aca="false">IF(J58="","",1-(J58-1)/20)</f>
        <v/>
      </c>
      <c r="R58" s="14" t="str">
        <f aca="false">IF(M58="","",1-(M58-1)/(2*N58))</f>
        <v/>
      </c>
      <c r="S58" s="14" t="str">
        <f aca="false">IF(K58="","",0.5+0.5*PERCENTRANK($K$2:$K$85,K58))</f>
        <v/>
      </c>
      <c r="T58" s="14" t="str">
        <f aca="false">IF(COUNT(Q58:S58)=0,"",MAX(Q58:S58))</f>
        <v/>
      </c>
      <c r="U58" s="12" t="n">
        <f aca="false">COUNT(P58,T58)</f>
        <v>1</v>
      </c>
      <c r="V58" s="12" t="s">
        <v>1938</v>
      </c>
      <c r="Z58" s="12" t="n">
        <f aca="false">COUNTA(V58:Y58)</f>
        <v>1</v>
      </c>
      <c r="AA58" s="14" t="n">
        <f aca="false">IF(U58=0,"",MIN(1,AVERAGE(P58,T58)+Critérios!$B$5*Z58))</f>
        <v>0.56</v>
      </c>
      <c r="AB58" s="12" t="str">
        <f aca="false">IF(AA58="","",IF(AA58&gt;=Critérios!$B$7,"A",IF(AA58&gt;=Critérios!$B$8,"B","C")))</f>
        <v>B</v>
      </c>
      <c r="AC58" s="12" t="n">
        <f aca="false">IF(AA58="","",RANK(AA58,$AA$2:$AA$85))</f>
        <v>57</v>
      </c>
      <c r="AD58" s="12" t="str">
        <f aca="false">IF(AA58="","Sairia — sem métrica",IF(PERCENTRANK($AA$2:$AA$85,AA58)&lt;Critérios!$B$6,"Sairia — terço inferior","Fica"))</f>
        <v>Sairia — terço inferior</v>
      </c>
      <c r="AE58" s="12" t="s">
        <v>1873</v>
      </c>
      <c r="AG58" s="12" t="s">
        <v>1927</v>
      </c>
      <c r="AH58" s="15" t="s">
        <v>95</v>
      </c>
      <c r="AI58" s="16"/>
      <c r="AK58" s="12" t="s">
        <v>2169</v>
      </c>
      <c r="AL58" s="12" t="n">
        <f aca="false">COUNT(G58)+IF(OR(I58&lt;&gt;"",K58&lt;&gt;""),1,0)+IF(M58&lt;&gt;"",1,0)+COUNTA(V58:Y58)</f>
        <v>2</v>
      </c>
      <c r="AM58" s="12" t="str">
        <f aca="false">IF(AL58&gt;=3,"Sim","Não")</f>
        <v>Não</v>
      </c>
      <c r="AN58" s="12" t="str">
        <f aca="false">IF(AND(AC58&lt;&gt;"",AC58&lt;=Critérios!$B$9),"Sim","Não")</f>
        <v>Não</v>
      </c>
    </row>
    <row r="59" customFormat="false" ht="15" hidden="false" customHeight="false" outlineLevel="0" collapsed="false">
      <c r="A59" s="12" t="s">
        <v>2170</v>
      </c>
      <c r="B59" s="12" t="s">
        <v>2171</v>
      </c>
      <c r="C59" s="12" t="s">
        <v>2172</v>
      </c>
      <c r="D59" s="12" t="s">
        <v>273</v>
      </c>
      <c r="E59" s="12"/>
      <c r="F59" s="12" t="s">
        <v>292</v>
      </c>
      <c r="G59" s="13" t="n">
        <v>251</v>
      </c>
      <c r="H59" s="12" t="n">
        <v>7.7</v>
      </c>
      <c r="I59" s="17"/>
      <c r="K59" s="17"/>
      <c r="M59" s="12" t="n">
        <v>1</v>
      </c>
      <c r="N59" s="12" t="n">
        <v>40</v>
      </c>
      <c r="O59" s="12" t="s">
        <v>2173</v>
      </c>
      <c r="P59" s="14" t="n">
        <f aca="false">IF(G59="","",PERCENTRANK($G$2:$G$85,G59))</f>
        <v>0</v>
      </c>
      <c r="Q59" s="14" t="str">
        <f aca="false">IF(J59="","",1-(J59-1)/20)</f>
        <v/>
      </c>
      <c r="R59" s="14" t="n">
        <f aca="false">IF(M59="","",1-(M59-1)/(2*N59))</f>
        <v>1</v>
      </c>
      <c r="S59" s="14" t="str">
        <f aca="false">IF(K59="","",0.5+0.5*PERCENTRANK($K$2:$K$85,K59))</f>
        <v/>
      </c>
      <c r="T59" s="14" t="n">
        <f aca="false">IF(COUNT(Q59:S59)=0,"",MAX(Q59:S59))</f>
        <v>1</v>
      </c>
      <c r="U59" s="12" t="n">
        <f aca="false">COUNT(P59,T59)</f>
        <v>2</v>
      </c>
      <c r="V59" s="12" t="s">
        <v>1627</v>
      </c>
      <c r="Y59" s="12" t="s">
        <v>1317</v>
      </c>
      <c r="Z59" s="12" t="n">
        <f aca="false">COUNTA(V59:Y59)</f>
        <v>2</v>
      </c>
      <c r="AA59" s="14" t="n">
        <f aca="false">IF(U59=0,"",MIN(1,AVERAGE(P59,T59)+Critérios!$B$5*Z59))</f>
        <v>0.56</v>
      </c>
      <c r="AB59" s="12" t="str">
        <f aca="false">IF(AA59="","",IF(AA59&gt;=Critérios!$B$7,"A",IF(AA59&gt;=Critérios!$B$8,"B","C")))</f>
        <v>B</v>
      </c>
      <c r="AC59" s="12" t="n">
        <f aca="false">IF(AA59="","",RANK(AA59,$AA$2:$AA$85))</f>
        <v>57</v>
      </c>
      <c r="AD59" s="12" t="str">
        <f aca="false">IF(AA59="","Sairia — sem métrica",IF(PERCENTRANK($AA$2:$AA$85,AA59)&lt;Critérios!$B$6,"Sairia — terço inferior","Fica"))</f>
        <v>Sairia — terço inferior</v>
      </c>
      <c r="AE59" s="12" t="s">
        <v>105</v>
      </c>
      <c r="AH59" s="15" t="s">
        <v>95</v>
      </c>
      <c r="AI59" s="16"/>
      <c r="AK59" s="12" t="s">
        <v>2174</v>
      </c>
      <c r="AL59" s="12" t="n">
        <f aca="false">COUNT(G59)+IF(OR(I59&lt;&gt;"",K59&lt;&gt;""),1,0)+IF(M59&lt;&gt;"",1,0)+COUNTA(V59:Y59)</f>
        <v>4</v>
      </c>
      <c r="AM59" s="12" t="str">
        <f aca="false">IF(AL59&gt;=3,"Sim","Não")</f>
        <v>Sim</v>
      </c>
      <c r="AN59" s="12" t="str">
        <f aca="false">IF(AND(AC59&lt;&gt;"",AC59&lt;=Critérios!$B$9),"Sim","Não")</f>
        <v>Não</v>
      </c>
    </row>
    <row r="60" customFormat="false" ht="15" hidden="false" customHeight="false" outlineLevel="0" collapsed="false">
      <c r="A60" s="12" t="s">
        <v>2175</v>
      </c>
      <c r="B60" s="12" t="s">
        <v>2176</v>
      </c>
      <c r="C60" s="12" t="s">
        <v>2176</v>
      </c>
      <c r="D60" s="12" t="s">
        <v>214</v>
      </c>
      <c r="E60" s="12" t="s">
        <v>2177</v>
      </c>
      <c r="F60" s="12" t="s">
        <v>1891</v>
      </c>
      <c r="G60" s="13" t="n">
        <v>367169</v>
      </c>
      <c r="H60" s="12" t="n">
        <v>7.9</v>
      </c>
      <c r="I60" s="17"/>
      <c r="K60" s="17"/>
      <c r="P60" s="14" t="n">
        <f aca="false">IF(G60="","",PERCENTRANK($G$2:$G$85,G60))</f>
        <v>0.494</v>
      </c>
      <c r="Q60" s="14" t="str">
        <f aca="false">IF(J60="","",1-(J60-1)/20)</f>
        <v/>
      </c>
      <c r="R60" s="14" t="str">
        <f aca="false">IF(M60="","",1-(M60-1)/(2*N60))</f>
        <v/>
      </c>
      <c r="S60" s="14" t="str">
        <f aca="false">IF(K60="","",0.5+0.5*PERCENTRANK($K$2:$K$85,K60))</f>
        <v/>
      </c>
      <c r="T60" s="14" t="str">
        <f aca="false">IF(COUNT(Q60:S60)=0,"",MAX(Q60:S60))</f>
        <v/>
      </c>
      <c r="U60" s="12" t="n">
        <f aca="false">COUNT(P60,T60)</f>
        <v>1</v>
      </c>
      <c r="W60" s="12" t="s">
        <v>2178</v>
      </c>
      <c r="Y60" s="12" t="s">
        <v>1750</v>
      </c>
      <c r="Z60" s="12" t="n">
        <f aca="false">COUNTA(V60:Y60)</f>
        <v>2</v>
      </c>
      <c r="AA60" s="14" t="n">
        <f aca="false">IF(U60=0,"",MIN(1,AVERAGE(P60,T60)+Critérios!$B$5*Z60))</f>
        <v>0.554</v>
      </c>
      <c r="AB60" s="12" t="str">
        <f aca="false">IF(AA60="","",IF(AA60&gt;=Critérios!$B$7,"A",IF(AA60&gt;=Critérios!$B$8,"B","C")))</f>
        <v>B</v>
      </c>
      <c r="AC60" s="12" t="n">
        <f aca="false">IF(AA60="","",RANK(AA60,$AA$2:$AA$85))</f>
        <v>59</v>
      </c>
      <c r="AD60" s="12" t="str">
        <f aca="false">IF(AA60="","Sairia — sem métrica",IF(PERCENTRANK($AA$2:$AA$85,AA60)&lt;Critérios!$B$6,"Sairia — terço inferior","Fica"))</f>
        <v>Sairia — terço inferior</v>
      </c>
      <c r="AE60" s="12" t="s">
        <v>1839</v>
      </c>
      <c r="AF60" s="12" t="s">
        <v>1857</v>
      </c>
      <c r="AG60" s="12" t="s">
        <v>1927</v>
      </c>
      <c r="AH60" s="15" t="s">
        <v>95</v>
      </c>
      <c r="AI60" s="16"/>
      <c r="AK60" s="12" t="s">
        <v>2179</v>
      </c>
      <c r="AL60" s="12" t="n">
        <f aca="false">COUNT(G60)+IF(OR(I60&lt;&gt;"",K60&lt;&gt;""),1,0)+IF(M60&lt;&gt;"",1,0)+COUNTA(V60:Y60)</f>
        <v>3</v>
      </c>
      <c r="AM60" s="12" t="str">
        <f aca="false">IF(AL60&gt;=3,"Sim","Não")</f>
        <v>Sim</v>
      </c>
      <c r="AN60" s="12" t="str">
        <f aca="false">IF(AND(AC60&lt;&gt;"",AC60&lt;=Critérios!$B$9),"Sim","Não")</f>
        <v>Não</v>
      </c>
    </row>
    <row r="61" customFormat="false" ht="15" hidden="false" customHeight="false" outlineLevel="0" collapsed="false">
      <c r="A61" s="12" t="s">
        <v>2180</v>
      </c>
      <c r="B61" s="12" t="s">
        <v>2181</v>
      </c>
      <c r="C61" s="12" t="s">
        <v>2181</v>
      </c>
      <c r="D61" s="12" t="s">
        <v>90</v>
      </c>
      <c r="E61" s="12"/>
      <c r="F61" s="12" t="s">
        <v>292</v>
      </c>
      <c r="G61" s="13" t="n">
        <v>60786</v>
      </c>
      <c r="H61" s="12" t="n">
        <v>7.4</v>
      </c>
      <c r="I61" s="17"/>
      <c r="K61" s="17"/>
      <c r="M61" s="12" t="n">
        <v>4</v>
      </c>
      <c r="N61" s="12" t="n">
        <v>30</v>
      </c>
      <c r="O61" s="12" t="s">
        <v>2182</v>
      </c>
      <c r="P61" s="14" t="n">
        <f aca="false">IF(G61="","",PERCENTRANK($G$2:$G$85,G61))</f>
        <v>0.0964</v>
      </c>
      <c r="Q61" s="14" t="str">
        <f aca="false">IF(J61="","",1-(J61-1)/20)</f>
        <v/>
      </c>
      <c r="R61" s="14" t="n">
        <f aca="false">IF(M61="","",1-(M61-1)/(2*N61))</f>
        <v>0.95</v>
      </c>
      <c r="S61" s="14" t="str">
        <f aca="false">IF(K61="","",0.5+0.5*PERCENTRANK($K$2:$K$85,K61))</f>
        <v/>
      </c>
      <c r="T61" s="14" t="n">
        <f aca="false">IF(COUNT(Q61:S61)=0,"",MAX(Q61:S61))</f>
        <v>0.95</v>
      </c>
      <c r="U61" s="12" t="n">
        <f aca="false">COUNT(P61,T61)</f>
        <v>2</v>
      </c>
      <c r="X61" s="12" t="s">
        <v>2183</v>
      </c>
      <c r="Z61" s="12" t="n">
        <f aca="false">COUNTA(V61:Y61)</f>
        <v>1</v>
      </c>
      <c r="AA61" s="14" t="n">
        <f aca="false">IF(U61=0,"",MIN(1,AVERAGE(P61,T61)+Critérios!$B$5*Z61))</f>
        <v>0.5532</v>
      </c>
      <c r="AB61" s="12" t="str">
        <f aca="false">IF(AA61="","",IF(AA61&gt;=Critérios!$B$7,"A",IF(AA61&gt;=Critérios!$B$8,"B","C")))</f>
        <v>B</v>
      </c>
      <c r="AC61" s="12" t="n">
        <f aca="false">IF(AA61="","",RANK(AA61,$AA$2:$AA$85))</f>
        <v>60</v>
      </c>
      <c r="AD61" s="12" t="str">
        <f aca="false">IF(AA61="","Sairia — sem métrica",IF(PERCENTRANK($AA$2:$AA$85,AA61)&lt;Critérios!$B$6,"Sairia — terço inferior","Fica"))</f>
        <v>Sairia — terço inferior</v>
      </c>
      <c r="AE61" s="12" t="s">
        <v>105</v>
      </c>
      <c r="AH61" s="15" t="s">
        <v>95</v>
      </c>
      <c r="AI61" s="16"/>
      <c r="AK61" s="12" t="s">
        <v>2184</v>
      </c>
      <c r="AL61" s="12" t="n">
        <f aca="false">COUNT(G61)+IF(OR(I61&lt;&gt;"",K61&lt;&gt;""),1,0)+IF(M61&lt;&gt;"",1,0)+COUNTA(V61:Y61)</f>
        <v>3</v>
      </c>
      <c r="AM61" s="12" t="str">
        <f aca="false">IF(AL61&gt;=3,"Sim","Não")</f>
        <v>Sim</v>
      </c>
      <c r="AN61" s="12" t="str">
        <f aca="false">IF(AND(AC61&lt;&gt;"",AC61&lt;=Critérios!$B$9),"Sim","Não")</f>
        <v>Não</v>
      </c>
    </row>
    <row r="62" customFormat="false" ht="15" hidden="false" customHeight="false" outlineLevel="0" collapsed="false">
      <c r="A62" s="12" t="s">
        <v>2185</v>
      </c>
      <c r="B62" s="12" t="s">
        <v>2186</v>
      </c>
      <c r="C62" s="12" t="s">
        <v>2187</v>
      </c>
      <c r="D62" s="12" t="s">
        <v>183</v>
      </c>
      <c r="E62" s="12"/>
      <c r="F62" s="12" t="s">
        <v>292</v>
      </c>
      <c r="G62" s="13" t="n">
        <v>193644</v>
      </c>
      <c r="H62" s="12" t="n">
        <v>8.5</v>
      </c>
      <c r="I62" s="17"/>
      <c r="K62" s="17"/>
      <c r="M62" s="12" t="n">
        <v>14</v>
      </c>
      <c r="N62" s="12" t="n">
        <v>30</v>
      </c>
      <c r="O62" s="12" t="s">
        <v>2188</v>
      </c>
      <c r="P62" s="14" t="n">
        <f aca="false">IF(G62="","",PERCENTRANK($G$2:$G$85,G62))</f>
        <v>0.253</v>
      </c>
      <c r="Q62" s="14" t="str">
        <f aca="false">IF(J62="","",1-(J62-1)/20)</f>
        <v/>
      </c>
      <c r="R62" s="14" t="n">
        <f aca="false">IF(M62="","",1-(M62-1)/(2*N62))</f>
        <v>0.783333333333333</v>
      </c>
      <c r="S62" s="14" t="str">
        <f aca="false">IF(K62="","",0.5+0.5*PERCENTRANK($K$2:$K$85,K62))</f>
        <v/>
      </c>
      <c r="T62" s="14" t="n">
        <f aca="false">IF(COUNT(Q62:S62)=0,"",MAX(Q62:S62))</f>
        <v>0.783333333333333</v>
      </c>
      <c r="U62" s="12" t="n">
        <f aca="false">COUNT(P62,T62)</f>
        <v>2</v>
      </c>
      <c r="X62" s="12" t="s">
        <v>2189</v>
      </c>
      <c r="Z62" s="12" t="n">
        <f aca="false">COUNTA(V62:Y62)</f>
        <v>1</v>
      </c>
      <c r="AA62" s="14" t="n">
        <f aca="false">IF(U62=0,"",MIN(1,AVERAGE(P62,T62)+Critérios!$B$5*Z62))</f>
        <v>0.548166666666667</v>
      </c>
      <c r="AB62" s="12" t="str">
        <f aca="false">IF(AA62="","",IF(AA62&gt;=Critérios!$B$7,"A",IF(AA62&gt;=Critérios!$B$8,"B","C")))</f>
        <v>B</v>
      </c>
      <c r="AC62" s="12" t="n">
        <f aca="false">IF(AA62="","",RANK(AA62,$AA$2:$AA$85))</f>
        <v>61</v>
      </c>
      <c r="AD62" s="12" t="str">
        <f aca="false">IF(AA62="","Sairia — sem métrica",IF(PERCENTRANK($AA$2:$AA$85,AA62)&lt;Critérios!$B$6,"Sairia — terço inferior","Fica"))</f>
        <v>Sairia — terço inferior</v>
      </c>
      <c r="AE62" s="12" t="s">
        <v>105</v>
      </c>
      <c r="AH62" s="15" t="s">
        <v>95</v>
      </c>
      <c r="AI62" s="16"/>
      <c r="AK62" s="12" t="s">
        <v>2190</v>
      </c>
      <c r="AL62" s="12" t="n">
        <f aca="false">COUNT(G62)+IF(OR(I62&lt;&gt;"",K62&lt;&gt;""),1,0)+IF(M62&lt;&gt;"",1,0)+COUNTA(V62:Y62)</f>
        <v>3</v>
      </c>
      <c r="AM62" s="12" t="str">
        <f aca="false">IF(AL62&gt;=3,"Sim","Não")</f>
        <v>Sim</v>
      </c>
      <c r="AN62" s="12" t="str">
        <f aca="false">IF(AND(AC62&lt;&gt;"",AC62&lt;=Critérios!$B$9),"Sim","Não")</f>
        <v>Não</v>
      </c>
    </row>
    <row r="63" customFormat="false" ht="15" hidden="false" customHeight="false" outlineLevel="0" collapsed="false">
      <c r="A63" s="12" t="s">
        <v>2191</v>
      </c>
      <c r="B63" s="12" t="s">
        <v>2192</v>
      </c>
      <c r="C63" s="12" t="s">
        <v>2192</v>
      </c>
      <c r="D63" s="12" t="s">
        <v>111</v>
      </c>
      <c r="E63" s="12"/>
      <c r="F63" s="12" t="s">
        <v>292</v>
      </c>
      <c r="G63" s="13" t="n">
        <v>49680</v>
      </c>
      <c r="H63" s="12" t="n">
        <v>9.2</v>
      </c>
      <c r="I63" s="17"/>
      <c r="K63" s="17"/>
      <c r="M63" s="12" t="n">
        <v>1</v>
      </c>
      <c r="N63" s="12" t="n">
        <v>30</v>
      </c>
      <c r="O63" s="12" t="s">
        <v>2193</v>
      </c>
      <c r="P63" s="14" t="n">
        <f aca="false">IF(G63="","",PERCENTRANK($G$2:$G$85,G63))</f>
        <v>0.0241</v>
      </c>
      <c r="Q63" s="14" t="str">
        <f aca="false">IF(J63="","",1-(J63-1)/20)</f>
        <v/>
      </c>
      <c r="R63" s="14" t="n">
        <f aca="false">IF(M63="","",1-(M63-1)/(2*N63))</f>
        <v>1</v>
      </c>
      <c r="S63" s="14" t="str">
        <f aca="false">IF(K63="","",0.5+0.5*PERCENTRANK($K$2:$K$85,K63))</f>
        <v/>
      </c>
      <c r="T63" s="14" t="n">
        <f aca="false">IF(COUNT(Q63:S63)=0,"",MAX(Q63:S63))</f>
        <v>1</v>
      </c>
      <c r="U63" s="12" t="n">
        <f aca="false">COUNT(P63,T63)</f>
        <v>2</v>
      </c>
      <c r="V63" s="12" t="s">
        <v>2194</v>
      </c>
      <c r="Z63" s="12" t="n">
        <f aca="false">COUNTA(V63:Y63)</f>
        <v>1</v>
      </c>
      <c r="AA63" s="14" t="n">
        <f aca="false">IF(U63=0,"",MIN(1,AVERAGE(P63,T63)+Critérios!$B$5*Z63))</f>
        <v>0.54205</v>
      </c>
      <c r="AB63" s="12" t="str">
        <f aca="false">IF(AA63="","",IF(AA63&gt;=Critérios!$B$7,"A",IF(AA63&gt;=Critérios!$B$8,"B","C")))</f>
        <v>B</v>
      </c>
      <c r="AC63" s="12" t="n">
        <f aca="false">IF(AA63="","",RANK(AA63,$AA$2:$AA$85))</f>
        <v>62</v>
      </c>
      <c r="AD63" s="12" t="str">
        <f aca="false">IF(AA63="","Sairia — sem métrica",IF(PERCENTRANK($AA$2:$AA$85,AA63)&lt;Critérios!$B$6,"Sairia — terço inferior","Fica"))</f>
        <v>Sairia — terço inferior</v>
      </c>
      <c r="AE63" s="12" t="s">
        <v>105</v>
      </c>
      <c r="AH63" s="15" t="s">
        <v>95</v>
      </c>
      <c r="AI63" s="16"/>
      <c r="AK63" s="12" t="s">
        <v>2195</v>
      </c>
      <c r="AL63" s="12" t="n">
        <f aca="false">COUNT(G63)+IF(OR(I63&lt;&gt;"",K63&lt;&gt;""),1,0)+IF(M63&lt;&gt;"",1,0)+COUNTA(V63:Y63)</f>
        <v>3</v>
      </c>
      <c r="AM63" s="12" t="str">
        <f aca="false">IF(AL63&gt;=3,"Sim","Não")</f>
        <v>Sim</v>
      </c>
      <c r="AN63" s="12" t="str">
        <f aca="false">IF(AND(AC63&lt;&gt;"",AC63&lt;=Critérios!$B$9),"Sim","Não")</f>
        <v>Não</v>
      </c>
    </row>
    <row r="64" customFormat="false" ht="15" hidden="false" customHeight="false" outlineLevel="0" collapsed="false">
      <c r="A64" s="12" t="s">
        <v>2196</v>
      </c>
      <c r="B64" s="12" t="s">
        <v>2197</v>
      </c>
      <c r="C64" s="12" t="s">
        <v>2198</v>
      </c>
      <c r="D64" s="12" t="s">
        <v>118</v>
      </c>
      <c r="E64" s="12"/>
      <c r="F64" s="12" t="s">
        <v>292</v>
      </c>
      <c r="G64" s="13" t="n">
        <v>91807</v>
      </c>
      <c r="H64" s="12" t="n">
        <v>6.9</v>
      </c>
      <c r="I64" s="17"/>
      <c r="K64" s="17"/>
      <c r="M64" s="12" t="n">
        <v>9</v>
      </c>
      <c r="N64" s="12" t="n">
        <v>30</v>
      </c>
      <c r="O64" s="12" t="s">
        <v>2199</v>
      </c>
      <c r="P64" s="14" t="n">
        <f aca="false">IF(G64="","",PERCENTRANK($G$2:$G$85,G64))</f>
        <v>0.145</v>
      </c>
      <c r="Q64" s="14" t="str">
        <f aca="false">IF(J64="","",1-(J64-1)/20)</f>
        <v/>
      </c>
      <c r="R64" s="14" t="n">
        <f aca="false">IF(M64="","",1-(M64-1)/(2*N64))</f>
        <v>0.866666666666667</v>
      </c>
      <c r="S64" s="14" t="str">
        <f aca="false">IF(K64="","",0.5+0.5*PERCENTRANK($K$2:$K$85,K64))</f>
        <v/>
      </c>
      <c r="T64" s="14" t="n">
        <f aca="false">IF(COUNT(Q64:S64)=0,"",MAX(Q64:S64))</f>
        <v>0.866666666666667</v>
      </c>
      <c r="U64" s="12" t="n">
        <f aca="false">COUNT(P64,T64)</f>
        <v>2</v>
      </c>
      <c r="X64" s="12" t="s">
        <v>2200</v>
      </c>
      <c r="Z64" s="12" t="n">
        <f aca="false">COUNTA(V64:Y64)</f>
        <v>1</v>
      </c>
      <c r="AA64" s="14" t="n">
        <f aca="false">IF(U64=0,"",MIN(1,AVERAGE(P64,T64)+Critérios!$B$5*Z64))</f>
        <v>0.535833333333333</v>
      </c>
      <c r="AB64" s="12" t="str">
        <f aca="false">IF(AA64="","",IF(AA64&gt;=Critérios!$B$7,"A",IF(AA64&gt;=Critérios!$B$8,"B","C")))</f>
        <v>B</v>
      </c>
      <c r="AC64" s="12" t="n">
        <f aca="false">IF(AA64="","",RANK(AA64,$AA$2:$AA$85))</f>
        <v>63</v>
      </c>
      <c r="AD64" s="12" t="str">
        <f aca="false">IF(AA64="","Sairia — sem métrica",IF(PERCENTRANK($AA$2:$AA$85,AA64)&lt;Critérios!$B$6,"Sairia — terço inferior","Fica"))</f>
        <v>Sairia — terço inferior</v>
      </c>
      <c r="AE64" s="12" t="s">
        <v>105</v>
      </c>
      <c r="AH64" s="15" t="s">
        <v>95</v>
      </c>
      <c r="AI64" s="16"/>
      <c r="AK64" s="12" t="s">
        <v>2201</v>
      </c>
      <c r="AL64" s="12" t="n">
        <f aca="false">COUNT(G64)+IF(OR(I64&lt;&gt;"",K64&lt;&gt;""),1,0)+IF(M64&lt;&gt;"",1,0)+COUNTA(V64:Y64)</f>
        <v>3</v>
      </c>
      <c r="AM64" s="12" t="str">
        <f aca="false">IF(AL64&gt;=3,"Sim","Não")</f>
        <v>Sim</v>
      </c>
      <c r="AN64" s="12" t="str">
        <f aca="false">IF(AND(AC64&lt;&gt;"",AC64&lt;=Critérios!$B$9),"Sim","Não")</f>
        <v>Não</v>
      </c>
    </row>
    <row r="65" customFormat="false" ht="15" hidden="false" customHeight="false" outlineLevel="0" collapsed="false">
      <c r="A65" s="12" t="s">
        <v>2202</v>
      </c>
      <c r="B65" s="12" t="s">
        <v>2203</v>
      </c>
      <c r="C65" s="12" t="s">
        <v>2203</v>
      </c>
      <c r="D65" s="12" t="s">
        <v>101</v>
      </c>
      <c r="E65" s="12"/>
      <c r="F65" s="12" t="s">
        <v>292</v>
      </c>
      <c r="G65" s="13" t="n">
        <v>123279</v>
      </c>
      <c r="H65" s="12" t="n">
        <v>8.3</v>
      </c>
      <c r="I65" s="17"/>
      <c r="K65" s="17"/>
      <c r="M65" s="12" t="n">
        <v>13</v>
      </c>
      <c r="N65" s="12" t="n">
        <v>30</v>
      </c>
      <c r="O65" s="12" t="s">
        <v>2204</v>
      </c>
      <c r="P65" s="14" t="n">
        <f aca="false">IF(G65="","",PERCENTRANK($G$2:$G$85,G65))</f>
        <v>0.205</v>
      </c>
      <c r="Q65" s="14" t="str">
        <f aca="false">IF(J65="","",1-(J65-1)/20)</f>
        <v/>
      </c>
      <c r="R65" s="14" t="n">
        <f aca="false">IF(M65="","",1-(M65-1)/(2*N65))</f>
        <v>0.8</v>
      </c>
      <c r="S65" s="14" t="str">
        <f aca="false">IF(K65="","",0.5+0.5*PERCENTRANK($K$2:$K$85,K65))</f>
        <v/>
      </c>
      <c r="T65" s="14" t="n">
        <f aca="false">IF(COUNT(Q65:S65)=0,"",MAX(Q65:S65))</f>
        <v>0.8</v>
      </c>
      <c r="U65" s="12" t="n">
        <f aca="false">COUNT(P65,T65)</f>
        <v>2</v>
      </c>
      <c r="X65" s="12" t="s">
        <v>2205</v>
      </c>
      <c r="Z65" s="12" t="n">
        <f aca="false">COUNTA(V65:Y65)</f>
        <v>1</v>
      </c>
      <c r="AA65" s="14" t="n">
        <f aca="false">IF(U65=0,"",MIN(1,AVERAGE(P65,T65)+Critérios!$B$5*Z65))</f>
        <v>0.5325</v>
      </c>
      <c r="AB65" s="12" t="str">
        <f aca="false">IF(AA65="","",IF(AA65&gt;=Critérios!$B$7,"A",IF(AA65&gt;=Critérios!$B$8,"B","C")))</f>
        <v>B</v>
      </c>
      <c r="AC65" s="12" t="n">
        <f aca="false">IF(AA65="","",RANK(AA65,$AA$2:$AA$85))</f>
        <v>64</v>
      </c>
      <c r="AD65" s="12" t="str">
        <f aca="false">IF(AA65="","Sairia — sem métrica",IF(PERCENTRANK($AA$2:$AA$85,AA65)&lt;Critérios!$B$6,"Sairia — terço inferior","Fica"))</f>
        <v>Sairia — terço inferior</v>
      </c>
      <c r="AE65" s="12" t="s">
        <v>105</v>
      </c>
      <c r="AH65" s="15" t="s">
        <v>95</v>
      </c>
      <c r="AI65" s="16"/>
      <c r="AK65" s="12" t="s">
        <v>2206</v>
      </c>
      <c r="AL65" s="12" t="n">
        <f aca="false">COUNT(G65)+IF(OR(I65&lt;&gt;"",K65&lt;&gt;""),1,0)+IF(M65&lt;&gt;"",1,0)+COUNTA(V65:Y65)</f>
        <v>3</v>
      </c>
      <c r="AM65" s="12" t="str">
        <f aca="false">IF(AL65&gt;=3,"Sim","Não")</f>
        <v>Sim</v>
      </c>
      <c r="AN65" s="12" t="str">
        <f aca="false">IF(AND(AC65&lt;&gt;"",AC65&lt;=Critérios!$B$9),"Sim","Não")</f>
        <v>Não</v>
      </c>
    </row>
    <row r="66" customFormat="false" ht="15" hidden="false" customHeight="false" outlineLevel="0" collapsed="false">
      <c r="A66" s="12" t="s">
        <v>2207</v>
      </c>
      <c r="B66" s="12" t="s">
        <v>2208</v>
      </c>
      <c r="C66" s="12" t="s">
        <v>2209</v>
      </c>
      <c r="D66" s="12" t="s">
        <v>118</v>
      </c>
      <c r="E66" s="12" t="s">
        <v>2210</v>
      </c>
      <c r="F66" s="12" t="s">
        <v>1891</v>
      </c>
      <c r="G66" s="13" t="n">
        <v>328101</v>
      </c>
      <c r="H66" s="12" t="n">
        <v>8.5</v>
      </c>
      <c r="I66" s="17"/>
      <c r="K66" s="17"/>
      <c r="P66" s="14" t="n">
        <f aca="false">IF(G66="","",PERCENTRANK($G$2:$G$85,G66))</f>
        <v>0.47</v>
      </c>
      <c r="Q66" s="14" t="str">
        <f aca="false">IF(J66="","",1-(J66-1)/20)</f>
        <v/>
      </c>
      <c r="R66" s="14" t="str">
        <f aca="false">IF(M66="","",1-(M66-1)/(2*N66))</f>
        <v/>
      </c>
      <c r="S66" s="14" t="str">
        <f aca="false">IF(K66="","",0.5+0.5*PERCENTRANK($K$2:$K$85,K66))</f>
        <v/>
      </c>
      <c r="T66" s="14" t="str">
        <f aca="false">IF(COUNT(Q66:S66)=0,"",MAX(Q66:S66))</f>
        <v/>
      </c>
      <c r="U66" s="12" t="n">
        <f aca="false">COUNT(P66,T66)</f>
        <v>1</v>
      </c>
      <c r="X66" s="12" t="s">
        <v>2211</v>
      </c>
      <c r="Y66" s="12" t="s">
        <v>1068</v>
      </c>
      <c r="Z66" s="12" t="n">
        <f aca="false">COUNTA(V66:Y66)</f>
        <v>2</v>
      </c>
      <c r="AA66" s="14" t="n">
        <f aca="false">IF(U66=0,"",MIN(1,AVERAGE(P66,T66)+Critérios!$B$5*Z66))</f>
        <v>0.53</v>
      </c>
      <c r="AB66" s="12" t="str">
        <f aca="false">IF(AA66="","",IF(AA66&gt;=Critérios!$B$7,"A",IF(AA66&gt;=Critérios!$B$8,"B","C")))</f>
        <v>B</v>
      </c>
      <c r="AC66" s="12" t="n">
        <f aca="false">IF(AA66="","",RANK(AA66,$AA$2:$AA$85))</f>
        <v>65</v>
      </c>
      <c r="AD66" s="12" t="str">
        <f aca="false">IF(AA66="","Sairia — sem métrica",IF(PERCENTRANK($AA$2:$AA$85,AA66)&lt;Critérios!$B$6,"Sairia — terço inferior","Fica"))</f>
        <v>Sairia — terço inferior</v>
      </c>
      <c r="AE66" s="12" t="s">
        <v>1873</v>
      </c>
      <c r="AG66" s="12" t="s">
        <v>1927</v>
      </c>
      <c r="AH66" s="15" t="s">
        <v>95</v>
      </c>
      <c r="AI66" s="16"/>
      <c r="AK66" s="12" t="s">
        <v>2212</v>
      </c>
      <c r="AL66" s="12" t="n">
        <f aca="false">COUNT(G66)+IF(OR(I66&lt;&gt;"",K66&lt;&gt;""),1,0)+IF(M66&lt;&gt;"",1,0)+COUNTA(V66:Y66)</f>
        <v>3</v>
      </c>
      <c r="AM66" s="12" t="str">
        <f aca="false">IF(AL66&gt;=3,"Sim","Não")</f>
        <v>Sim</v>
      </c>
      <c r="AN66" s="12" t="str">
        <f aca="false">IF(AND(AC66&lt;&gt;"",AC66&lt;=Critérios!$B$9),"Sim","Não")</f>
        <v>Não</v>
      </c>
    </row>
    <row r="67" customFormat="false" ht="15" hidden="false" customHeight="false" outlineLevel="0" collapsed="false">
      <c r="A67" s="12" t="s">
        <v>2213</v>
      </c>
      <c r="B67" s="12" t="s">
        <v>2214</v>
      </c>
      <c r="C67" s="12" t="s">
        <v>2214</v>
      </c>
      <c r="D67" s="12" t="s">
        <v>202</v>
      </c>
      <c r="E67" s="12" t="s">
        <v>1833</v>
      </c>
      <c r="F67" s="12" t="s">
        <v>1891</v>
      </c>
      <c r="G67" s="13" t="n">
        <v>339063</v>
      </c>
      <c r="H67" s="12" t="n">
        <v>8</v>
      </c>
      <c r="I67" s="17"/>
      <c r="K67" s="17"/>
      <c r="P67" s="14" t="n">
        <f aca="false">IF(G67="","",PERCENTRANK($G$2:$G$85,G67))</f>
        <v>0.482</v>
      </c>
      <c r="Q67" s="14" t="str">
        <f aca="false">IF(J67="","",1-(J67-1)/20)</f>
        <v/>
      </c>
      <c r="R67" s="14" t="str">
        <f aca="false">IF(M67="","",1-(M67-1)/(2*N67))</f>
        <v/>
      </c>
      <c r="S67" s="14" t="str">
        <f aca="false">IF(K67="","",0.5+0.5*PERCENTRANK($K$2:$K$85,K67))</f>
        <v/>
      </c>
      <c r="T67" s="14" t="str">
        <f aca="false">IF(COUNT(Q67:S67)=0,"",MAX(Q67:S67))</f>
        <v/>
      </c>
      <c r="U67" s="12" t="n">
        <f aca="false">COUNT(P67,T67)</f>
        <v>1</v>
      </c>
      <c r="V67" s="12" t="s">
        <v>1938</v>
      </c>
      <c r="Z67" s="12" t="n">
        <f aca="false">COUNTA(V67:Y67)</f>
        <v>1</v>
      </c>
      <c r="AA67" s="14" t="n">
        <f aca="false">IF(U67=0,"",MIN(1,AVERAGE(P67,T67)+Critérios!$B$5*Z67))</f>
        <v>0.512</v>
      </c>
      <c r="AB67" s="12" t="str">
        <f aca="false">IF(AA67="","",IF(AA67&gt;=Critérios!$B$7,"A",IF(AA67&gt;=Critérios!$B$8,"B","C")))</f>
        <v>B</v>
      </c>
      <c r="AC67" s="12" t="n">
        <f aca="false">IF(AA67="","",RANK(AA67,$AA$2:$AA$85))</f>
        <v>66</v>
      </c>
      <c r="AD67" s="12" t="str">
        <f aca="false">IF(AA67="","Sairia — sem métrica",IF(PERCENTRANK($AA$2:$AA$85,AA67)&lt;Critérios!$B$6,"Sairia — terço inferior","Fica"))</f>
        <v>Sairia — terço inferior</v>
      </c>
      <c r="AE67" s="12" t="s">
        <v>1873</v>
      </c>
      <c r="AF67" s="12" t="s">
        <v>1857</v>
      </c>
      <c r="AG67" s="12" t="s">
        <v>1927</v>
      </c>
      <c r="AH67" s="15" t="s">
        <v>95</v>
      </c>
      <c r="AI67" s="16"/>
      <c r="AK67" s="12" t="s">
        <v>2215</v>
      </c>
      <c r="AL67" s="12" t="n">
        <f aca="false">COUNT(G67)+IF(OR(I67&lt;&gt;"",K67&lt;&gt;""),1,0)+IF(M67&lt;&gt;"",1,0)+COUNTA(V67:Y67)</f>
        <v>2</v>
      </c>
      <c r="AM67" s="12" t="str">
        <f aca="false">IF(AL67&gt;=3,"Sim","Não")</f>
        <v>Não</v>
      </c>
      <c r="AN67" s="12" t="str">
        <f aca="false">IF(AND(AC67&lt;&gt;"",AC67&lt;=Critérios!$B$9),"Sim","Não")</f>
        <v>Não</v>
      </c>
    </row>
    <row r="68" customFormat="false" ht="15" hidden="false" customHeight="false" outlineLevel="0" collapsed="false">
      <c r="A68" s="12" t="s">
        <v>2216</v>
      </c>
      <c r="B68" s="12" t="s">
        <v>2217</v>
      </c>
      <c r="C68" s="12" t="s">
        <v>2218</v>
      </c>
      <c r="D68" s="12" t="s">
        <v>90</v>
      </c>
      <c r="E68" s="12"/>
      <c r="F68" s="12" t="s">
        <v>292</v>
      </c>
      <c r="G68" s="13" t="n">
        <v>53982</v>
      </c>
      <c r="H68" s="12" t="n">
        <v>7.7</v>
      </c>
      <c r="I68" s="17"/>
      <c r="K68" s="17"/>
      <c r="M68" s="12" t="n">
        <v>8</v>
      </c>
      <c r="N68" s="12" t="n">
        <v>30</v>
      </c>
      <c r="O68" s="12" t="s">
        <v>1796</v>
      </c>
      <c r="P68" s="14" t="n">
        <f aca="false">IF(G68="","",PERCENTRANK($G$2:$G$85,G68))</f>
        <v>0.0482</v>
      </c>
      <c r="Q68" s="14" t="str">
        <f aca="false">IF(J68="","",1-(J68-1)/20)</f>
        <v/>
      </c>
      <c r="R68" s="14" t="n">
        <f aca="false">IF(M68="","",1-(M68-1)/(2*N68))</f>
        <v>0.883333333333333</v>
      </c>
      <c r="S68" s="14" t="str">
        <f aca="false">IF(K68="","",0.5+0.5*PERCENTRANK($K$2:$K$85,K68))</f>
        <v/>
      </c>
      <c r="T68" s="14" t="n">
        <f aca="false">IF(COUNT(Q68:S68)=0,"",MAX(Q68:S68))</f>
        <v>0.883333333333333</v>
      </c>
      <c r="U68" s="12" t="n">
        <f aca="false">COUNT(P68,T68)</f>
        <v>2</v>
      </c>
      <c r="Y68" s="12" t="s">
        <v>1196</v>
      </c>
      <c r="Z68" s="12" t="n">
        <f aca="false">COUNTA(V68:Y68)</f>
        <v>1</v>
      </c>
      <c r="AA68" s="14" t="n">
        <f aca="false">IF(U68=0,"",MIN(1,AVERAGE(P68,T68)+Critérios!$B$5*Z68))</f>
        <v>0.495766666666667</v>
      </c>
      <c r="AB68" s="12" t="str">
        <f aca="false">IF(AA68="","",IF(AA68&gt;=Critérios!$B$7,"A",IF(AA68&gt;=Critérios!$B$8,"B","C")))</f>
        <v>B</v>
      </c>
      <c r="AC68" s="12" t="n">
        <f aca="false">IF(AA68="","",RANK(AA68,$AA$2:$AA$85))</f>
        <v>67</v>
      </c>
      <c r="AD68" s="12" t="str">
        <f aca="false">IF(AA68="","Sairia — sem métrica",IF(PERCENTRANK($AA$2:$AA$85,AA68)&lt;Critérios!$B$6,"Sairia — terço inferior","Fica"))</f>
        <v>Sairia — terço inferior</v>
      </c>
      <c r="AE68" s="12" t="s">
        <v>105</v>
      </c>
      <c r="AH68" s="15" t="s">
        <v>95</v>
      </c>
      <c r="AI68" s="16"/>
      <c r="AK68" s="12" t="s">
        <v>2219</v>
      </c>
      <c r="AL68" s="12" t="n">
        <f aca="false">COUNT(G68)+IF(OR(I68&lt;&gt;"",K68&lt;&gt;""),1,0)+IF(M68&lt;&gt;"",1,0)+COUNTA(V68:Y68)</f>
        <v>3</v>
      </c>
      <c r="AM68" s="12" t="str">
        <f aca="false">IF(AL68&gt;=3,"Sim","Não")</f>
        <v>Sim</v>
      </c>
      <c r="AN68" s="12" t="str">
        <f aca="false">IF(AND(AC68&lt;&gt;"",AC68&lt;=Critérios!$B$9),"Sim","Não")</f>
        <v>Não</v>
      </c>
    </row>
    <row r="69" customFormat="false" ht="15" hidden="false" customHeight="false" outlineLevel="0" collapsed="false">
      <c r="A69" s="12" t="s">
        <v>2220</v>
      </c>
      <c r="B69" s="12"/>
      <c r="C69" s="12" t="s">
        <v>2221</v>
      </c>
      <c r="D69" s="12" t="s">
        <v>265</v>
      </c>
      <c r="E69" s="12" t="s">
        <v>1833</v>
      </c>
      <c r="F69" s="12" t="s">
        <v>1834</v>
      </c>
      <c r="G69" s="13" t="n">
        <v>67985</v>
      </c>
      <c r="H69" s="12" t="n">
        <v>7.1</v>
      </c>
      <c r="I69" s="13" t="n">
        <v>120800000</v>
      </c>
      <c r="J69" s="12" t="n">
        <v>5</v>
      </c>
      <c r="K69" s="17"/>
      <c r="P69" s="14" t="n">
        <f aca="false">IF(G69="","",PERCENTRANK($G$2:$G$85,G69))</f>
        <v>0.108</v>
      </c>
      <c r="Q69" s="14" t="n">
        <f aca="false">IF(J69="","",1-(J69-1)/20)</f>
        <v>0.8</v>
      </c>
      <c r="R69" s="14" t="str">
        <f aca="false">IF(M69="","",1-(M69-1)/(2*N69))</f>
        <v/>
      </c>
      <c r="S69" s="14" t="str">
        <f aca="false">IF(K69="","",0.5+0.5*PERCENTRANK($K$2:$K$85,K69))</f>
        <v/>
      </c>
      <c r="T69" s="14" t="n">
        <f aca="false">IF(COUNT(Q69:S69)=0,"",MAX(Q69:S69))</f>
        <v>0.8</v>
      </c>
      <c r="U69" s="12" t="n">
        <f aca="false">COUNT(P69,T69)</f>
        <v>2</v>
      </c>
      <c r="Y69" s="12" t="s">
        <v>1387</v>
      </c>
      <c r="Z69" s="12" t="n">
        <f aca="false">COUNTA(V69:Y69)</f>
        <v>1</v>
      </c>
      <c r="AA69" s="14" t="n">
        <f aca="false">IF(U69=0,"",MIN(1,AVERAGE(P69,T69)+Critérios!$B$5*Z69))</f>
        <v>0.484</v>
      </c>
      <c r="AB69" s="12" t="str">
        <f aca="false">IF(AA69="","",IF(AA69&gt;=Critérios!$B$7,"A",IF(AA69&gt;=Critérios!$B$8,"B","C")))</f>
        <v>B</v>
      </c>
      <c r="AC69" s="12" t="n">
        <f aca="false">IF(AA69="","",RANK(AA69,$AA$2:$AA$85))</f>
        <v>68</v>
      </c>
      <c r="AD69" s="12" t="str">
        <f aca="false">IF(AA69="","Sairia — sem métrica",IF(PERCENTRANK($AA$2:$AA$85,AA69)&lt;Critérios!$B$6,"Sairia — terço inferior","Fica"))</f>
        <v>Sairia — terço inferior</v>
      </c>
      <c r="AE69" s="12" t="s">
        <v>105</v>
      </c>
      <c r="AG69" s="12" t="s">
        <v>1927</v>
      </c>
      <c r="AH69" s="15" t="s">
        <v>95</v>
      </c>
      <c r="AI69" s="16"/>
      <c r="AJ69" s="12" t="s">
        <v>1840</v>
      </c>
      <c r="AK69" s="12" t="s">
        <v>2222</v>
      </c>
      <c r="AL69" s="12" t="n">
        <f aca="false">COUNT(G69)+IF(OR(I69&lt;&gt;"",K69&lt;&gt;""),1,0)+IF(M69&lt;&gt;"",1,0)+COUNTA(V69:Y69)</f>
        <v>3</v>
      </c>
      <c r="AM69" s="12" t="str">
        <f aca="false">IF(AL69&gt;=3,"Sim","Não")</f>
        <v>Sim</v>
      </c>
      <c r="AN69" s="12" t="str">
        <f aca="false">IF(AND(AC69&lt;&gt;"",AC69&lt;=Critérios!$B$9),"Sim","Não")</f>
        <v>Não</v>
      </c>
    </row>
    <row r="70" customFormat="false" ht="15" hidden="false" customHeight="false" outlineLevel="0" collapsed="false">
      <c r="A70" s="12" t="s">
        <v>2223</v>
      </c>
      <c r="B70" s="12" t="s">
        <v>2224</v>
      </c>
      <c r="C70" s="12" t="s">
        <v>2225</v>
      </c>
      <c r="D70" s="12" t="s">
        <v>146</v>
      </c>
      <c r="E70" s="12" t="s">
        <v>2126</v>
      </c>
      <c r="F70" s="12" t="s">
        <v>1834</v>
      </c>
      <c r="G70" s="13" t="n">
        <v>218059</v>
      </c>
      <c r="H70" s="12" t="n">
        <v>7.5</v>
      </c>
      <c r="I70" s="17"/>
      <c r="K70" s="13" t="n">
        <v>2800000</v>
      </c>
      <c r="P70" s="14" t="n">
        <f aca="false">IF(G70="","",PERCENTRANK($G$2:$G$85,G70))</f>
        <v>0.325</v>
      </c>
      <c r="Q70" s="14" t="str">
        <f aca="false">IF(J70="","",1-(J70-1)/20)</f>
        <v/>
      </c>
      <c r="R70" s="14" t="str">
        <f aca="false">IF(M70="","",1-(M70-1)/(2*N70))</f>
        <v/>
      </c>
      <c r="S70" s="14" t="n">
        <f aca="false">IF(K70="","",0.5+0.5*PERCENTRANK($K$2:$K$85,K70))</f>
        <v>0.5625</v>
      </c>
      <c r="T70" s="14" t="n">
        <f aca="false">IF(COUNT(Q70:S70)=0,"",MAX(Q70:S70))</f>
        <v>0.5625</v>
      </c>
      <c r="U70" s="12" t="n">
        <f aca="false">COUNT(P70,T70)</f>
        <v>2</v>
      </c>
      <c r="X70" s="12" t="s">
        <v>2226</v>
      </c>
      <c r="Z70" s="12" t="n">
        <f aca="false">COUNTA(V70:Y70)</f>
        <v>1</v>
      </c>
      <c r="AA70" s="14" t="n">
        <f aca="false">IF(U70=0,"",MIN(1,AVERAGE(P70,T70)+Critérios!$B$5*Z70))</f>
        <v>0.47375</v>
      </c>
      <c r="AB70" s="12" t="str">
        <f aca="false">IF(AA70="","",IF(AA70&gt;=Critérios!$B$7,"A",IF(AA70&gt;=Critérios!$B$8,"B","C")))</f>
        <v>B</v>
      </c>
      <c r="AC70" s="12" t="n">
        <f aca="false">IF(AA70="","",RANK(AA70,$AA$2:$AA$85))</f>
        <v>69</v>
      </c>
      <c r="AD70" s="12" t="str">
        <f aca="false">IF(AA70="","Sairia — sem métrica",IF(PERCENTRANK($AA$2:$AA$85,AA70)&lt;Critérios!$B$6,"Sairia — terço inferior","Fica"))</f>
        <v>Sairia — terço inferior</v>
      </c>
      <c r="AE70" s="12" t="s">
        <v>1898</v>
      </c>
      <c r="AH70" s="15" t="s">
        <v>95</v>
      </c>
      <c r="AI70" s="16"/>
      <c r="AJ70" s="12" t="s">
        <v>2227</v>
      </c>
      <c r="AK70" s="12" t="s">
        <v>2228</v>
      </c>
      <c r="AL70" s="12" t="n">
        <f aca="false">COUNT(G70)+IF(OR(I70&lt;&gt;"",K70&lt;&gt;""),1,0)+IF(M70&lt;&gt;"",1,0)+COUNTA(V70:Y70)</f>
        <v>3</v>
      </c>
      <c r="AM70" s="12" t="str">
        <f aca="false">IF(AL70&gt;=3,"Sim","Não")</f>
        <v>Sim</v>
      </c>
      <c r="AN70" s="12" t="str">
        <f aca="false">IF(AND(AC70&lt;&gt;"",AC70&lt;=Critérios!$B$9),"Sim","Não")</f>
        <v>Não</v>
      </c>
    </row>
    <row r="71" customFormat="false" ht="15" hidden="false" customHeight="false" outlineLevel="0" collapsed="false">
      <c r="A71" s="12" t="s">
        <v>2229</v>
      </c>
      <c r="B71" s="12" t="s">
        <v>2230</v>
      </c>
      <c r="C71" s="12" t="s">
        <v>2231</v>
      </c>
      <c r="D71" s="12" t="s">
        <v>101</v>
      </c>
      <c r="E71" s="12"/>
      <c r="F71" s="12" t="s">
        <v>2232</v>
      </c>
      <c r="G71" s="13" t="n">
        <v>250051</v>
      </c>
      <c r="H71" s="12" t="n">
        <v>7.4</v>
      </c>
      <c r="I71" s="17"/>
      <c r="K71" s="17"/>
      <c r="P71" s="14" t="n">
        <f aca="false">IF(G71="","",PERCENTRANK($G$2:$G$85,G71))</f>
        <v>0.386</v>
      </c>
      <c r="Q71" s="14" t="str">
        <f aca="false">IF(J71="","",1-(J71-1)/20)</f>
        <v/>
      </c>
      <c r="R71" s="14" t="str">
        <f aca="false">IF(M71="","",1-(M71-1)/(2*N71))</f>
        <v/>
      </c>
      <c r="S71" s="14" t="str">
        <f aca="false">IF(K71="","",0.5+0.5*PERCENTRANK($K$2:$K$85,K71))</f>
        <v/>
      </c>
      <c r="T71" s="14" t="str">
        <f aca="false">IF(COUNT(Q71:S71)=0,"",MAX(Q71:S71))</f>
        <v/>
      </c>
      <c r="U71" s="12" t="n">
        <f aca="false">COUNT(P71,T71)</f>
        <v>1</v>
      </c>
      <c r="W71" s="12" t="s">
        <v>2233</v>
      </c>
      <c r="X71" s="12" t="s">
        <v>2234</v>
      </c>
      <c r="Z71" s="12" t="n">
        <f aca="false">COUNTA(V71:Y71)</f>
        <v>2</v>
      </c>
      <c r="AA71" s="14" t="n">
        <f aca="false">IF(U71=0,"",MIN(1,AVERAGE(P71,T71)+Critérios!$B$5*Z71))</f>
        <v>0.446</v>
      </c>
      <c r="AB71" s="12" t="str">
        <f aca="false">IF(AA71="","",IF(AA71&gt;=Critérios!$B$7,"A",IF(AA71&gt;=Critérios!$B$8,"B","C")))</f>
        <v>B</v>
      </c>
      <c r="AC71" s="12" t="n">
        <f aca="false">IF(AA71="","",RANK(AA71,$AA$2:$AA$85))</f>
        <v>70</v>
      </c>
      <c r="AD71" s="12" t="str">
        <f aca="false">IF(AA71="","Sairia — sem métrica",IF(PERCENTRANK($AA$2:$AA$85,AA71)&lt;Critérios!$B$6,"Sairia — terço inferior","Fica"))</f>
        <v>Sairia — terço inferior</v>
      </c>
      <c r="AE71" s="12" t="s">
        <v>105</v>
      </c>
      <c r="AH71" s="15" t="s">
        <v>95</v>
      </c>
      <c r="AI71" s="16"/>
      <c r="AK71" s="12" t="s">
        <v>2235</v>
      </c>
      <c r="AL71" s="12" t="n">
        <f aca="false">COUNT(G71)+IF(OR(I71&lt;&gt;"",K71&lt;&gt;""),1,0)+IF(M71&lt;&gt;"",1,0)+COUNTA(V71:Y71)</f>
        <v>3</v>
      </c>
      <c r="AM71" s="12" t="str">
        <f aca="false">IF(AL71&gt;=3,"Sim","Não")</f>
        <v>Sim</v>
      </c>
      <c r="AN71" s="12" t="str">
        <f aca="false">IF(AND(AC71&lt;&gt;"",AC71&lt;=Critérios!$B$9),"Sim","Não")</f>
        <v>Não</v>
      </c>
    </row>
    <row r="72" customFormat="false" ht="15" hidden="false" customHeight="false" outlineLevel="0" collapsed="false">
      <c r="A72" s="12" t="s">
        <v>2236</v>
      </c>
      <c r="B72" s="12" t="s">
        <v>2237</v>
      </c>
      <c r="C72" s="12" t="s">
        <v>2237</v>
      </c>
      <c r="D72" s="12" t="s">
        <v>175</v>
      </c>
      <c r="E72" s="12"/>
      <c r="F72" s="12" t="s">
        <v>674</v>
      </c>
      <c r="G72" s="13" t="n">
        <v>249014</v>
      </c>
      <c r="H72" s="12" t="n">
        <v>8.1</v>
      </c>
      <c r="I72" s="17"/>
      <c r="K72" s="17"/>
      <c r="P72" s="14" t="n">
        <f aca="false">IF(G72="","",PERCENTRANK($G$2:$G$85,G72))</f>
        <v>0.373</v>
      </c>
      <c r="Q72" s="14" t="str">
        <f aca="false">IF(J72="","",1-(J72-1)/20)</f>
        <v/>
      </c>
      <c r="R72" s="14" t="str">
        <f aca="false">IF(M72="","",1-(M72-1)/(2*N72))</f>
        <v/>
      </c>
      <c r="S72" s="14" t="str">
        <f aca="false">IF(K72="","",0.5+0.5*PERCENTRANK($K$2:$K$85,K72))</f>
        <v/>
      </c>
      <c r="T72" s="14" t="str">
        <f aca="false">IF(COUNT(Q72:S72)=0,"",MAX(Q72:S72))</f>
        <v/>
      </c>
      <c r="U72" s="12" t="n">
        <f aca="false">COUNT(P72,T72)</f>
        <v>1</v>
      </c>
      <c r="X72" s="12" t="s">
        <v>2238</v>
      </c>
      <c r="Y72" s="12" t="s">
        <v>661</v>
      </c>
      <c r="Z72" s="12" t="n">
        <f aca="false">COUNTA(V72:Y72)</f>
        <v>2</v>
      </c>
      <c r="AA72" s="14" t="n">
        <f aca="false">IF(U72=0,"",MIN(1,AVERAGE(P72,T72)+Critérios!$B$5*Z72))</f>
        <v>0.433</v>
      </c>
      <c r="AB72" s="12" t="str">
        <f aca="false">IF(AA72="","",IF(AA72&gt;=Critérios!$B$7,"A",IF(AA72&gt;=Critérios!$B$8,"B","C")))</f>
        <v>B</v>
      </c>
      <c r="AC72" s="12" t="n">
        <f aca="false">IF(AA72="","",RANK(AA72,$AA$2:$AA$85))</f>
        <v>71</v>
      </c>
      <c r="AD72" s="12" t="str">
        <f aca="false">IF(AA72="","Sairia — sem métrica",IF(PERCENTRANK($AA$2:$AA$85,AA72)&lt;Critérios!$B$6,"Sairia — terço inferior","Fica"))</f>
        <v>Sairia — terço inferior</v>
      </c>
      <c r="AE72" s="12" t="s">
        <v>105</v>
      </c>
      <c r="AH72" s="15" t="s">
        <v>95</v>
      </c>
      <c r="AI72" s="16"/>
      <c r="AK72" s="12" t="s">
        <v>2239</v>
      </c>
      <c r="AL72" s="12" t="n">
        <f aca="false">COUNT(G72)+IF(OR(I72&lt;&gt;"",K72&lt;&gt;""),1,0)+IF(M72&lt;&gt;"",1,0)+COUNTA(V72:Y72)</f>
        <v>3</v>
      </c>
      <c r="AM72" s="12" t="str">
        <f aca="false">IF(AL72&gt;=3,"Sim","Não")</f>
        <v>Sim</v>
      </c>
      <c r="AN72" s="12" t="str">
        <f aca="false">IF(AND(AC72&lt;&gt;"",AC72&lt;=Critérios!$B$9),"Sim","Não")</f>
        <v>Não</v>
      </c>
    </row>
    <row r="73" customFormat="false" ht="15" hidden="false" customHeight="false" outlineLevel="0" collapsed="false">
      <c r="A73" s="12" t="s">
        <v>2240</v>
      </c>
      <c r="B73" s="12" t="s">
        <v>2241</v>
      </c>
      <c r="C73" s="12" t="s">
        <v>2242</v>
      </c>
      <c r="D73" s="12" t="s">
        <v>207</v>
      </c>
      <c r="E73" s="12"/>
      <c r="F73" s="12" t="s">
        <v>292</v>
      </c>
      <c r="G73" s="13" t="n">
        <v>42270</v>
      </c>
      <c r="H73" s="12" t="n">
        <v>7.9</v>
      </c>
      <c r="I73" s="17"/>
      <c r="K73" s="17"/>
      <c r="M73" s="12" t="n">
        <v>23</v>
      </c>
      <c r="N73" s="12" t="n">
        <v>40</v>
      </c>
      <c r="O73" s="12" t="s">
        <v>2243</v>
      </c>
      <c r="P73" s="14" t="n">
        <f aca="false">IF(G73="","",PERCENTRANK($G$2:$G$85,G73))</f>
        <v>0.012</v>
      </c>
      <c r="Q73" s="14" t="str">
        <f aca="false">IF(J73="","",1-(J73-1)/20)</f>
        <v/>
      </c>
      <c r="R73" s="14" t="n">
        <f aca="false">IF(M73="","",1-(M73-1)/(2*N73))</f>
        <v>0.725</v>
      </c>
      <c r="S73" s="14" t="str">
        <f aca="false">IF(K73="","",0.5+0.5*PERCENTRANK($K$2:$K$85,K73))</f>
        <v/>
      </c>
      <c r="T73" s="14" t="n">
        <f aca="false">IF(COUNT(Q73:S73)=0,"",MAX(Q73:S73))</f>
        <v>0.725</v>
      </c>
      <c r="U73" s="12" t="n">
        <f aca="false">COUNT(P73,T73)</f>
        <v>2</v>
      </c>
      <c r="Y73" s="12" t="s">
        <v>2244</v>
      </c>
      <c r="Z73" s="12" t="n">
        <f aca="false">COUNTA(V73:Y73)</f>
        <v>1</v>
      </c>
      <c r="AA73" s="14" t="n">
        <f aca="false">IF(U73=0,"",MIN(1,AVERAGE(P73,T73)+Critérios!$B$5*Z73))</f>
        <v>0.3985</v>
      </c>
      <c r="AB73" s="12" t="str">
        <f aca="false">IF(AA73="","",IF(AA73&gt;=Critérios!$B$7,"A",IF(AA73&gt;=Critérios!$B$8,"B","C")))</f>
        <v>C</v>
      </c>
      <c r="AC73" s="12" t="n">
        <f aca="false">IF(AA73="","",RANK(AA73,$AA$2:$AA$85))</f>
        <v>72</v>
      </c>
      <c r="AD73" s="12" t="str">
        <f aca="false">IF(AA73="","Sairia — sem métrica",IF(PERCENTRANK($AA$2:$AA$85,AA73)&lt;Critérios!$B$6,"Sairia — terço inferior","Fica"))</f>
        <v>Sairia — terço inferior</v>
      </c>
      <c r="AE73" s="12" t="s">
        <v>105</v>
      </c>
      <c r="AH73" s="15" t="s">
        <v>95</v>
      </c>
      <c r="AI73" s="16"/>
      <c r="AK73" s="12" t="s">
        <v>2245</v>
      </c>
      <c r="AL73" s="12" t="n">
        <f aca="false">COUNT(G73)+IF(OR(I73&lt;&gt;"",K73&lt;&gt;""),1,0)+IF(M73&lt;&gt;"",1,0)+COUNTA(V73:Y73)</f>
        <v>3</v>
      </c>
      <c r="AM73" s="12" t="str">
        <f aca="false">IF(AL73&gt;=3,"Sim","Não")</f>
        <v>Sim</v>
      </c>
      <c r="AN73" s="12" t="str">
        <f aca="false">IF(AND(AC73&lt;&gt;"",AC73&lt;=Critérios!$B$9),"Sim","Não")</f>
        <v>Não</v>
      </c>
    </row>
    <row r="74" customFormat="false" ht="15" hidden="false" customHeight="false" outlineLevel="0" collapsed="false">
      <c r="A74" s="12" t="s">
        <v>2246</v>
      </c>
      <c r="B74" s="12" t="s">
        <v>2247</v>
      </c>
      <c r="C74" s="12" t="s">
        <v>2248</v>
      </c>
      <c r="D74" s="12" t="s">
        <v>101</v>
      </c>
      <c r="E74" s="12"/>
      <c r="F74" s="12" t="s">
        <v>2232</v>
      </c>
      <c r="G74" s="13" t="n">
        <v>213895</v>
      </c>
      <c r="H74" s="12" t="n">
        <v>7.1</v>
      </c>
      <c r="I74" s="17"/>
      <c r="K74" s="17"/>
      <c r="P74" s="14" t="n">
        <f aca="false">IF(G74="","",PERCENTRANK($G$2:$G$85,G74))</f>
        <v>0.301</v>
      </c>
      <c r="Q74" s="14" t="str">
        <f aca="false">IF(J74="","",1-(J74-1)/20)</f>
        <v/>
      </c>
      <c r="R74" s="14" t="str">
        <f aca="false">IF(M74="","",1-(M74-1)/(2*N74))</f>
        <v/>
      </c>
      <c r="S74" s="14" t="str">
        <f aca="false">IF(K74="","",0.5+0.5*PERCENTRANK($K$2:$K$85,K74))</f>
        <v/>
      </c>
      <c r="T74" s="14" t="str">
        <f aca="false">IF(COUNT(Q74:S74)=0,"",MAX(Q74:S74))</f>
        <v/>
      </c>
      <c r="U74" s="12" t="n">
        <f aca="false">COUNT(P74,T74)</f>
        <v>1</v>
      </c>
      <c r="W74" s="12" t="s">
        <v>2249</v>
      </c>
      <c r="X74" s="12" t="s">
        <v>2250</v>
      </c>
      <c r="Z74" s="12" t="n">
        <f aca="false">COUNTA(V74:Y74)</f>
        <v>2</v>
      </c>
      <c r="AA74" s="14" t="n">
        <f aca="false">IF(U74=0,"",MIN(1,AVERAGE(P74,T74)+Critérios!$B$5*Z74))</f>
        <v>0.361</v>
      </c>
      <c r="AB74" s="12" t="str">
        <f aca="false">IF(AA74="","",IF(AA74&gt;=Critérios!$B$7,"A",IF(AA74&gt;=Critérios!$B$8,"B","C")))</f>
        <v>C</v>
      </c>
      <c r="AC74" s="12" t="n">
        <f aca="false">IF(AA74="","",RANK(AA74,$AA$2:$AA$85))</f>
        <v>73</v>
      </c>
      <c r="AD74" s="12" t="str">
        <f aca="false">IF(AA74="","Sairia — sem métrica",IF(PERCENTRANK($AA$2:$AA$85,AA74)&lt;Critérios!$B$6,"Sairia — terço inferior","Fica"))</f>
        <v>Sairia — terço inferior</v>
      </c>
      <c r="AE74" s="12" t="s">
        <v>105</v>
      </c>
      <c r="AH74" s="15" t="s">
        <v>95</v>
      </c>
      <c r="AI74" s="16"/>
      <c r="AK74" s="12" t="s">
        <v>2251</v>
      </c>
      <c r="AL74" s="12" t="n">
        <f aca="false">COUNT(G74)+IF(OR(I74&lt;&gt;"",K74&lt;&gt;""),1,0)+IF(M74&lt;&gt;"",1,0)+COUNTA(V74:Y74)</f>
        <v>3</v>
      </c>
      <c r="AM74" s="12" t="str">
        <f aca="false">IF(AL74&gt;=3,"Sim","Não")</f>
        <v>Sim</v>
      </c>
      <c r="AN74" s="12" t="str">
        <f aca="false">IF(AND(AC74&lt;&gt;"",AC74&lt;=Critérios!$B$9),"Sim","Não")</f>
        <v>Não</v>
      </c>
    </row>
    <row r="75" customFormat="false" ht="15" hidden="false" customHeight="false" outlineLevel="0" collapsed="false">
      <c r="A75" s="12" t="s">
        <v>2252</v>
      </c>
      <c r="B75" s="12" t="s">
        <v>765</v>
      </c>
      <c r="C75" s="12" t="s">
        <v>766</v>
      </c>
      <c r="D75" s="12" t="s">
        <v>251</v>
      </c>
      <c r="E75" s="12"/>
      <c r="F75" s="12" t="s">
        <v>674</v>
      </c>
      <c r="G75" s="13" t="n">
        <v>208635</v>
      </c>
      <c r="H75" s="12" t="n">
        <v>8.1</v>
      </c>
      <c r="I75" s="17"/>
      <c r="K75" s="17"/>
      <c r="P75" s="14" t="n">
        <f aca="false">IF(G75="","",PERCENTRANK($G$2:$G$85,G75))</f>
        <v>0.289</v>
      </c>
      <c r="Q75" s="14" t="str">
        <f aca="false">IF(J75="","",1-(J75-1)/20)</f>
        <v/>
      </c>
      <c r="R75" s="14" t="str">
        <f aca="false">IF(M75="","",1-(M75-1)/(2*N75))</f>
        <v/>
      </c>
      <c r="S75" s="14" t="str">
        <f aca="false">IF(K75="","",0.5+0.5*PERCENTRANK($K$2:$K$85,K75))</f>
        <v/>
      </c>
      <c r="T75" s="14" t="str">
        <f aca="false">IF(COUNT(Q75:S75)=0,"",MAX(Q75:S75))</f>
        <v/>
      </c>
      <c r="U75" s="12" t="n">
        <f aca="false">COUNT(P75,T75)</f>
        <v>1</v>
      </c>
      <c r="X75" s="12" t="s">
        <v>2253</v>
      </c>
      <c r="Y75" s="12" t="s">
        <v>310</v>
      </c>
      <c r="Z75" s="12" t="n">
        <f aca="false">COUNTA(V75:Y75)</f>
        <v>2</v>
      </c>
      <c r="AA75" s="14" t="n">
        <f aca="false">IF(U75=0,"",MIN(1,AVERAGE(P75,T75)+Critérios!$B$5*Z75))</f>
        <v>0.349</v>
      </c>
      <c r="AB75" s="12" t="str">
        <f aca="false">IF(AA75="","",IF(AA75&gt;=Critérios!$B$7,"A",IF(AA75&gt;=Critérios!$B$8,"B","C")))</f>
        <v>C</v>
      </c>
      <c r="AC75" s="12" t="n">
        <f aca="false">IF(AA75="","",RANK(AA75,$AA$2:$AA$85))</f>
        <v>74</v>
      </c>
      <c r="AD75" s="12" t="str">
        <f aca="false">IF(AA75="","Sairia — sem métrica",IF(PERCENTRANK($AA$2:$AA$85,AA75)&lt;Critérios!$B$6,"Sairia — terço inferior","Fica"))</f>
        <v>Sairia — terço inferior</v>
      </c>
      <c r="AE75" s="12" t="s">
        <v>105</v>
      </c>
      <c r="AH75" s="15" t="s">
        <v>95</v>
      </c>
      <c r="AI75" s="16"/>
      <c r="AK75" s="12" t="s">
        <v>2254</v>
      </c>
      <c r="AL75" s="12" t="n">
        <f aca="false">COUNT(G75)+IF(OR(I75&lt;&gt;"",K75&lt;&gt;""),1,0)+IF(M75&lt;&gt;"",1,0)+COUNTA(V75:Y75)</f>
        <v>3</v>
      </c>
      <c r="AM75" s="12" t="str">
        <f aca="false">IF(AL75&gt;=3,"Sim","Não")</f>
        <v>Sim</v>
      </c>
      <c r="AN75" s="12" t="str">
        <f aca="false">IF(AND(AC75&lt;&gt;"",AC75&lt;=Critérios!$B$9),"Sim","Não")</f>
        <v>Não</v>
      </c>
    </row>
    <row r="76" customFormat="false" ht="15" hidden="false" customHeight="false" outlineLevel="0" collapsed="false">
      <c r="A76" s="12" t="s">
        <v>2255</v>
      </c>
      <c r="B76" s="12" t="s">
        <v>2256</v>
      </c>
      <c r="C76" s="12" t="s">
        <v>2257</v>
      </c>
      <c r="D76" s="12" t="s">
        <v>118</v>
      </c>
      <c r="E76" s="12"/>
      <c r="F76" s="12" t="s">
        <v>2232</v>
      </c>
      <c r="G76" s="13" t="n">
        <v>200903</v>
      </c>
      <c r="H76" s="12" t="n">
        <v>8.2</v>
      </c>
      <c r="I76" s="17"/>
      <c r="K76" s="17"/>
      <c r="P76" s="14" t="n">
        <f aca="false">IF(G76="","",PERCENTRANK($G$2:$G$85,G76))</f>
        <v>0.277</v>
      </c>
      <c r="Q76" s="14" t="str">
        <f aca="false">IF(J76="","",1-(J76-1)/20)</f>
        <v/>
      </c>
      <c r="R76" s="14" t="str">
        <f aca="false">IF(M76="","",1-(M76-1)/(2*N76))</f>
        <v/>
      </c>
      <c r="S76" s="14" t="str">
        <f aca="false">IF(K76="","",0.5+0.5*PERCENTRANK($K$2:$K$85,K76))</f>
        <v/>
      </c>
      <c r="T76" s="14" t="str">
        <f aca="false">IF(COUNT(Q76:S76)=0,"",MAX(Q76:S76))</f>
        <v/>
      </c>
      <c r="U76" s="12" t="n">
        <f aca="false">COUNT(P76,T76)</f>
        <v>1</v>
      </c>
      <c r="W76" s="12" t="s">
        <v>2258</v>
      </c>
      <c r="X76" s="12" t="s">
        <v>2259</v>
      </c>
      <c r="Z76" s="12" t="n">
        <f aca="false">COUNTA(V76:Y76)</f>
        <v>2</v>
      </c>
      <c r="AA76" s="14" t="n">
        <f aca="false">IF(U76=0,"",MIN(1,AVERAGE(P76,T76)+Critérios!$B$5*Z76))</f>
        <v>0.337</v>
      </c>
      <c r="AB76" s="12" t="str">
        <f aca="false">IF(AA76="","",IF(AA76&gt;=Critérios!$B$7,"A",IF(AA76&gt;=Critérios!$B$8,"B","C")))</f>
        <v>C</v>
      </c>
      <c r="AC76" s="12" t="n">
        <f aca="false">IF(AA76="","",RANK(AA76,$AA$2:$AA$85))</f>
        <v>75</v>
      </c>
      <c r="AD76" s="12" t="str">
        <f aca="false">IF(AA76="","Sairia — sem métrica",IF(PERCENTRANK($AA$2:$AA$85,AA76)&lt;Critérios!$B$6,"Sairia — terço inferior","Fica"))</f>
        <v>Sairia — terço inferior</v>
      </c>
      <c r="AE76" s="12" t="s">
        <v>105</v>
      </c>
      <c r="AH76" s="15" t="s">
        <v>95</v>
      </c>
      <c r="AI76" s="16"/>
      <c r="AK76" s="12" t="s">
        <v>2260</v>
      </c>
      <c r="AL76" s="12" t="n">
        <f aca="false">COUNT(G76)+IF(OR(I76&lt;&gt;"",K76&lt;&gt;""),1,0)+IF(M76&lt;&gt;"",1,0)+COUNTA(V76:Y76)</f>
        <v>3</v>
      </c>
      <c r="AM76" s="12" t="str">
        <f aca="false">IF(AL76&gt;=3,"Sim","Não")</f>
        <v>Sim</v>
      </c>
      <c r="AN76" s="12" t="str">
        <f aca="false">IF(AND(AC76&lt;&gt;"",AC76&lt;=Critérios!$B$9),"Sim","Não")</f>
        <v>Não</v>
      </c>
    </row>
    <row r="77" customFormat="false" ht="15" hidden="false" customHeight="false" outlineLevel="0" collapsed="false">
      <c r="A77" s="12" t="s">
        <v>2261</v>
      </c>
      <c r="B77" s="12" t="s">
        <v>2262</v>
      </c>
      <c r="C77" s="12" t="s">
        <v>2262</v>
      </c>
      <c r="D77" s="12" t="s">
        <v>183</v>
      </c>
      <c r="E77" s="12"/>
      <c r="F77" s="12" t="s">
        <v>674</v>
      </c>
      <c r="G77" s="13" t="n">
        <v>195588</v>
      </c>
      <c r="H77" s="12" t="n">
        <v>8.5</v>
      </c>
      <c r="I77" s="17"/>
      <c r="K77" s="17"/>
      <c r="P77" s="14" t="n">
        <f aca="false">IF(G77="","",PERCENTRANK($G$2:$G$85,G77))</f>
        <v>0.265</v>
      </c>
      <c r="Q77" s="14" t="str">
        <f aca="false">IF(J77="","",1-(J77-1)/20)</f>
        <v/>
      </c>
      <c r="R77" s="14" t="str">
        <f aca="false">IF(M77="","",1-(M77-1)/(2*N77))</f>
        <v/>
      </c>
      <c r="S77" s="14" t="str">
        <f aca="false">IF(K77="","",0.5+0.5*PERCENTRANK($K$2:$K$85,K77))</f>
        <v/>
      </c>
      <c r="T77" s="14" t="str">
        <f aca="false">IF(COUNT(Q77:S77)=0,"",MAX(Q77:S77))</f>
        <v/>
      </c>
      <c r="U77" s="12" t="n">
        <f aca="false">COUNT(P77,T77)</f>
        <v>1</v>
      </c>
      <c r="X77" s="12" t="s">
        <v>2263</v>
      </c>
      <c r="Y77" s="12" t="s">
        <v>2264</v>
      </c>
      <c r="Z77" s="12" t="n">
        <f aca="false">COUNTA(V77:Y77)</f>
        <v>2</v>
      </c>
      <c r="AA77" s="14" t="n">
        <f aca="false">IF(U77=0,"",MIN(1,AVERAGE(P77,T77)+Critérios!$B$5*Z77))</f>
        <v>0.325</v>
      </c>
      <c r="AB77" s="12" t="str">
        <f aca="false">IF(AA77="","",IF(AA77&gt;=Critérios!$B$7,"A",IF(AA77&gt;=Critérios!$B$8,"B","C")))</f>
        <v>C</v>
      </c>
      <c r="AC77" s="12" t="n">
        <f aca="false">IF(AA77="","",RANK(AA77,$AA$2:$AA$85))</f>
        <v>76</v>
      </c>
      <c r="AD77" s="12" t="str">
        <f aca="false">IF(AA77="","Sairia — sem métrica",IF(PERCENTRANK($AA$2:$AA$85,AA77)&lt;Critérios!$B$6,"Sairia — terço inferior","Fica"))</f>
        <v>Sairia — terço inferior</v>
      </c>
      <c r="AE77" s="12" t="s">
        <v>105</v>
      </c>
      <c r="AH77" s="15" t="s">
        <v>95</v>
      </c>
      <c r="AI77" s="16"/>
      <c r="AK77" s="12" t="s">
        <v>2265</v>
      </c>
      <c r="AL77" s="12" t="n">
        <f aca="false">COUNT(G77)+IF(OR(I77&lt;&gt;"",K77&lt;&gt;""),1,0)+IF(M77&lt;&gt;"",1,0)+COUNTA(V77:Y77)</f>
        <v>3</v>
      </c>
      <c r="AM77" s="12" t="str">
        <f aca="false">IF(AL77&gt;=3,"Sim","Não")</f>
        <v>Sim</v>
      </c>
      <c r="AN77" s="12" t="str">
        <f aca="false">IF(AND(AC77&lt;&gt;"",AC77&lt;=Critérios!$B$9),"Sim","Não")</f>
        <v>Não</v>
      </c>
    </row>
    <row r="78" customFormat="false" ht="15" hidden="false" customHeight="false" outlineLevel="0" collapsed="false">
      <c r="A78" s="12" t="s">
        <v>2266</v>
      </c>
      <c r="B78" s="12" t="s">
        <v>2267</v>
      </c>
      <c r="C78" s="12" t="s">
        <v>2267</v>
      </c>
      <c r="D78" s="12" t="s">
        <v>111</v>
      </c>
      <c r="E78" s="12"/>
      <c r="F78" s="12" t="s">
        <v>1962</v>
      </c>
      <c r="G78" s="13" t="n">
        <v>137718</v>
      </c>
      <c r="H78" s="12" t="n">
        <v>8</v>
      </c>
      <c r="I78" s="17"/>
      <c r="K78" s="17"/>
      <c r="P78" s="14" t="n">
        <f aca="false">IF(G78="","",PERCENTRANK($G$2:$G$85,G78))</f>
        <v>0.217</v>
      </c>
      <c r="Q78" s="14" t="str">
        <f aca="false">IF(J78="","",1-(J78-1)/20)</f>
        <v/>
      </c>
      <c r="R78" s="14" t="str">
        <f aca="false">IF(M78="","",1-(M78-1)/(2*N78))</f>
        <v/>
      </c>
      <c r="S78" s="14" t="str">
        <f aca="false">IF(K78="","",0.5+0.5*PERCENTRANK($K$2:$K$85,K78))</f>
        <v/>
      </c>
      <c r="T78" s="14" t="str">
        <f aca="false">IF(COUNT(Q78:S78)=0,"",MAX(Q78:S78))</f>
        <v/>
      </c>
      <c r="U78" s="12" t="n">
        <f aca="false">COUNT(P78,T78)</f>
        <v>1</v>
      </c>
      <c r="V78" s="12" t="s">
        <v>2268</v>
      </c>
      <c r="Z78" s="12" t="n">
        <f aca="false">COUNTA(V78:Y78)</f>
        <v>1</v>
      </c>
      <c r="AA78" s="14" t="n">
        <f aca="false">IF(U78=0,"",MIN(1,AVERAGE(P78,T78)+Critérios!$B$5*Z78))</f>
        <v>0.247</v>
      </c>
      <c r="AB78" s="12" t="str">
        <f aca="false">IF(AA78="","",IF(AA78&gt;=Critérios!$B$7,"A",IF(AA78&gt;=Critérios!$B$8,"B","C")))</f>
        <v>C</v>
      </c>
      <c r="AC78" s="12" t="n">
        <f aca="false">IF(AA78="","",RANK(AA78,$AA$2:$AA$85))</f>
        <v>77</v>
      </c>
      <c r="AD78" s="12" t="str">
        <f aca="false">IF(AA78="","Sairia — sem métrica",IF(PERCENTRANK($AA$2:$AA$85,AA78)&lt;Critérios!$B$6,"Sairia — terço inferior","Fica"))</f>
        <v>Sairia — terço inferior</v>
      </c>
      <c r="AE78" s="12" t="s">
        <v>105</v>
      </c>
      <c r="AH78" s="15" t="s">
        <v>95</v>
      </c>
      <c r="AI78" s="16"/>
      <c r="AK78" s="12" t="s">
        <v>2269</v>
      </c>
      <c r="AL78" s="12" t="n">
        <f aca="false">COUNT(G78)+IF(OR(I78&lt;&gt;"",K78&lt;&gt;""),1,0)+IF(M78&lt;&gt;"",1,0)+COUNTA(V78:Y78)</f>
        <v>2</v>
      </c>
      <c r="AM78" s="12" t="str">
        <f aca="false">IF(AL78&gt;=3,"Sim","Não")</f>
        <v>Não</v>
      </c>
      <c r="AN78" s="12" t="str">
        <f aca="false">IF(AND(AC78&lt;&gt;"",AC78&lt;=Critérios!$B$9),"Sim","Não")</f>
        <v>Não</v>
      </c>
    </row>
    <row r="79" customFormat="false" ht="15" hidden="false" customHeight="false" outlineLevel="0" collapsed="false">
      <c r="A79" s="12" t="s">
        <v>2270</v>
      </c>
      <c r="B79" s="12" t="s">
        <v>2271</v>
      </c>
      <c r="C79" s="12" t="s">
        <v>2271</v>
      </c>
      <c r="D79" s="12" t="s">
        <v>118</v>
      </c>
      <c r="E79" s="12"/>
      <c r="F79" s="12" t="s">
        <v>674</v>
      </c>
      <c r="G79" s="13" t="n">
        <v>81098</v>
      </c>
      <c r="H79" s="12" t="n">
        <v>8.1</v>
      </c>
      <c r="I79" s="17"/>
      <c r="K79" s="17"/>
      <c r="P79" s="14" t="n">
        <f aca="false">IF(G79="","",PERCENTRANK($G$2:$G$85,G79))</f>
        <v>0.133</v>
      </c>
      <c r="Q79" s="14" t="str">
        <f aca="false">IF(J79="","",1-(J79-1)/20)</f>
        <v/>
      </c>
      <c r="R79" s="14" t="str">
        <f aca="false">IF(M79="","",1-(M79-1)/(2*N79))</f>
        <v/>
      </c>
      <c r="S79" s="14" t="str">
        <f aca="false">IF(K79="","",0.5+0.5*PERCENTRANK($K$2:$K$85,K79))</f>
        <v/>
      </c>
      <c r="T79" s="14" t="str">
        <f aca="false">IF(COUNT(Q79:S79)=0,"",MAX(Q79:S79))</f>
        <v/>
      </c>
      <c r="U79" s="12" t="n">
        <f aca="false">COUNT(P79,T79)</f>
        <v>1</v>
      </c>
      <c r="X79" s="12" t="s">
        <v>2272</v>
      </c>
      <c r="Y79" s="12" t="s">
        <v>2273</v>
      </c>
      <c r="Z79" s="12" t="n">
        <f aca="false">COUNTA(V79:Y79)</f>
        <v>2</v>
      </c>
      <c r="AA79" s="14" t="n">
        <f aca="false">IF(U79=0,"",MIN(1,AVERAGE(P79,T79)+Critérios!$B$5*Z79))</f>
        <v>0.193</v>
      </c>
      <c r="AB79" s="12" t="str">
        <f aca="false">IF(AA79="","",IF(AA79&gt;=Critérios!$B$7,"A",IF(AA79&gt;=Critérios!$B$8,"B","C")))</f>
        <v>C</v>
      </c>
      <c r="AC79" s="12" t="n">
        <f aca="false">IF(AA79="","",RANK(AA79,$AA$2:$AA$85))</f>
        <v>78</v>
      </c>
      <c r="AD79" s="12" t="str">
        <f aca="false">IF(AA79="","Sairia — sem métrica",IF(PERCENTRANK($AA$2:$AA$85,AA79)&lt;Critérios!$B$6,"Sairia — terço inferior","Fica"))</f>
        <v>Sairia — terço inferior</v>
      </c>
      <c r="AE79" s="12" t="s">
        <v>105</v>
      </c>
      <c r="AH79" s="15" t="s">
        <v>95</v>
      </c>
      <c r="AI79" s="16"/>
      <c r="AK79" s="12" t="s">
        <v>2274</v>
      </c>
      <c r="AL79" s="12" t="n">
        <f aca="false">COUNT(G79)+IF(OR(I79&lt;&gt;"",K79&lt;&gt;""),1,0)+IF(M79&lt;&gt;"",1,0)+COUNTA(V79:Y79)</f>
        <v>3</v>
      </c>
      <c r="AM79" s="12" t="str">
        <f aca="false">IF(AL79&gt;=3,"Sim","Não")</f>
        <v>Sim</v>
      </c>
      <c r="AN79" s="12" t="str">
        <f aca="false">IF(AND(AC79&lt;&gt;"",AC79&lt;=Critérios!$B$9),"Sim","Não")</f>
        <v>Não</v>
      </c>
    </row>
    <row r="80" customFormat="false" ht="15" hidden="false" customHeight="false" outlineLevel="0" collapsed="false">
      <c r="A80" s="12" t="s">
        <v>2275</v>
      </c>
      <c r="B80" s="12" t="s">
        <v>2276</v>
      </c>
      <c r="C80" s="12" t="s">
        <v>2276</v>
      </c>
      <c r="D80" s="12" t="s">
        <v>118</v>
      </c>
      <c r="E80" s="12" t="s">
        <v>1833</v>
      </c>
      <c r="F80" s="12" t="s">
        <v>1891</v>
      </c>
      <c r="G80" s="13" t="n">
        <v>95930</v>
      </c>
      <c r="H80" s="12" t="n">
        <v>8.5</v>
      </c>
      <c r="I80" s="17"/>
      <c r="K80" s="17"/>
      <c r="P80" s="14" t="n">
        <f aca="false">IF(G80="","",PERCENTRANK($G$2:$G$85,G80))</f>
        <v>0.157</v>
      </c>
      <c r="Q80" s="14" t="str">
        <f aca="false">IF(J80="","",1-(J80-1)/20)</f>
        <v/>
      </c>
      <c r="R80" s="14" t="str">
        <f aca="false">IF(M80="","",1-(M80-1)/(2*N80))</f>
        <v/>
      </c>
      <c r="S80" s="14" t="str">
        <f aca="false">IF(K80="","",0.5+0.5*PERCENTRANK($K$2:$K$85,K80))</f>
        <v/>
      </c>
      <c r="T80" s="14" t="str">
        <f aca="false">IF(COUNT(Q80:S80)=0,"",MAX(Q80:S80))</f>
        <v/>
      </c>
      <c r="U80" s="12" t="n">
        <f aca="false">COUNT(P80,T80)</f>
        <v>1</v>
      </c>
      <c r="V80" s="12" t="s">
        <v>177</v>
      </c>
      <c r="Z80" s="12" t="n">
        <f aca="false">COUNTA(V80:Y80)</f>
        <v>1</v>
      </c>
      <c r="AA80" s="14" t="n">
        <f aca="false">IF(U80=0,"",MIN(1,AVERAGE(P80,T80)+Critérios!$B$5*Z80))</f>
        <v>0.187</v>
      </c>
      <c r="AB80" s="12" t="str">
        <f aca="false">IF(AA80="","",IF(AA80&gt;=Critérios!$B$7,"A",IF(AA80&gt;=Critérios!$B$8,"B","C")))</f>
        <v>C</v>
      </c>
      <c r="AC80" s="12" t="n">
        <f aca="false">IF(AA80="","",RANK(AA80,$AA$2:$AA$85))</f>
        <v>79</v>
      </c>
      <c r="AD80" s="12" t="str">
        <f aca="false">IF(AA80="","Sairia — sem métrica",IF(PERCENTRANK($AA$2:$AA$85,AA80)&lt;Critérios!$B$6,"Sairia — terço inferior","Fica"))</f>
        <v>Sairia — terço inferior</v>
      </c>
      <c r="AE80" s="12" t="s">
        <v>105</v>
      </c>
      <c r="AG80" s="12" t="s">
        <v>1927</v>
      </c>
      <c r="AH80" s="15" t="s">
        <v>95</v>
      </c>
      <c r="AI80" s="16"/>
      <c r="AK80" s="12" t="s">
        <v>2277</v>
      </c>
      <c r="AL80" s="12" t="n">
        <f aca="false">COUNT(G80)+IF(OR(I80&lt;&gt;"",K80&lt;&gt;""),1,0)+IF(M80&lt;&gt;"",1,0)+COUNTA(V80:Y80)</f>
        <v>2</v>
      </c>
      <c r="AM80" s="12" t="str">
        <f aca="false">IF(AL80&gt;=3,"Sim","Não")</f>
        <v>Não</v>
      </c>
      <c r="AN80" s="12" t="str">
        <f aca="false">IF(AND(AC80&lt;&gt;"",AC80&lt;=Critérios!$B$9),"Sim","Não")</f>
        <v>Não</v>
      </c>
    </row>
    <row r="81" customFormat="false" ht="15" hidden="false" customHeight="false" outlineLevel="0" collapsed="false">
      <c r="A81" s="12" t="s">
        <v>2278</v>
      </c>
      <c r="B81" s="12" t="s">
        <v>2279</v>
      </c>
      <c r="C81" s="12" t="s">
        <v>2280</v>
      </c>
      <c r="D81" s="12" t="s">
        <v>118</v>
      </c>
      <c r="E81" s="12"/>
      <c r="F81" s="12" t="s">
        <v>1962</v>
      </c>
      <c r="G81" s="13" t="n">
        <v>78846</v>
      </c>
      <c r="H81" s="12" t="n">
        <v>7.2</v>
      </c>
      <c r="I81" s="17"/>
      <c r="K81" s="17"/>
      <c r="P81" s="14" t="n">
        <f aca="false">IF(G81="","",PERCENTRANK($G$2:$G$85,G81))</f>
        <v>0.12</v>
      </c>
      <c r="Q81" s="14" t="str">
        <f aca="false">IF(J81="","",1-(J81-1)/20)</f>
        <v/>
      </c>
      <c r="R81" s="14" t="str">
        <f aca="false">IF(M81="","",1-(M81-1)/(2*N81))</f>
        <v/>
      </c>
      <c r="S81" s="14" t="str">
        <f aca="false">IF(K81="","",0.5+0.5*PERCENTRANK($K$2:$K$85,K81))</f>
        <v/>
      </c>
      <c r="T81" s="14" t="str">
        <f aca="false">IF(COUNT(Q81:S81)=0,"",MAX(Q81:S81))</f>
        <v/>
      </c>
      <c r="U81" s="12" t="n">
        <f aca="false">COUNT(P81,T81)</f>
        <v>1</v>
      </c>
      <c r="V81" s="12" t="s">
        <v>2281</v>
      </c>
      <c r="X81" s="12" t="s">
        <v>2282</v>
      </c>
      <c r="Z81" s="12" t="n">
        <f aca="false">COUNTA(V81:Y81)</f>
        <v>2</v>
      </c>
      <c r="AA81" s="14" t="n">
        <f aca="false">IF(U81=0,"",MIN(1,AVERAGE(P81,T81)+Critérios!$B$5*Z81))</f>
        <v>0.18</v>
      </c>
      <c r="AB81" s="12" t="str">
        <f aca="false">IF(AA81="","",IF(AA81&gt;=Critérios!$B$7,"A",IF(AA81&gt;=Critérios!$B$8,"B","C")))</f>
        <v>C</v>
      </c>
      <c r="AC81" s="12" t="n">
        <f aca="false">IF(AA81="","",RANK(AA81,$AA$2:$AA$85))</f>
        <v>80</v>
      </c>
      <c r="AD81" s="12" t="str">
        <f aca="false">IF(AA81="","Sairia — sem métrica",IF(PERCENTRANK($AA$2:$AA$85,AA81)&lt;Critérios!$B$6,"Sairia — terço inferior","Fica"))</f>
        <v>Sairia — terço inferior</v>
      </c>
      <c r="AE81" s="12" t="s">
        <v>105</v>
      </c>
      <c r="AH81" s="15" t="s">
        <v>95</v>
      </c>
      <c r="AI81" s="16"/>
      <c r="AK81" s="12" t="s">
        <v>2283</v>
      </c>
      <c r="AL81" s="12" t="n">
        <f aca="false">COUNT(G81)+IF(OR(I81&lt;&gt;"",K81&lt;&gt;""),1,0)+IF(M81&lt;&gt;"",1,0)+COUNTA(V81:Y81)</f>
        <v>3</v>
      </c>
      <c r="AM81" s="12" t="str">
        <f aca="false">IF(AL81&gt;=3,"Sim","Não")</f>
        <v>Sim</v>
      </c>
      <c r="AN81" s="12" t="str">
        <f aca="false">IF(AND(AC81&lt;&gt;"",AC81&lt;=Critérios!$B$9),"Sim","Não")</f>
        <v>Não</v>
      </c>
    </row>
    <row r="82" customFormat="false" ht="15" hidden="false" customHeight="false" outlineLevel="0" collapsed="false">
      <c r="A82" s="12" t="s">
        <v>2284</v>
      </c>
      <c r="B82" s="12" t="s">
        <v>2285</v>
      </c>
      <c r="C82" s="12" t="s">
        <v>2285</v>
      </c>
      <c r="D82" s="12" t="s">
        <v>251</v>
      </c>
      <c r="E82" s="12"/>
      <c r="F82" s="12" t="s">
        <v>674</v>
      </c>
      <c r="G82" s="13" t="n">
        <v>60602</v>
      </c>
      <c r="H82" s="12" t="n">
        <v>8.7</v>
      </c>
      <c r="I82" s="17"/>
      <c r="K82" s="17"/>
      <c r="P82" s="14" t="n">
        <f aca="false">IF(G82="","",PERCENTRANK($G$2:$G$85,G82))</f>
        <v>0.0843</v>
      </c>
      <c r="Q82" s="14" t="str">
        <f aca="false">IF(J82="","",1-(J82-1)/20)</f>
        <v/>
      </c>
      <c r="R82" s="14" t="str">
        <f aca="false">IF(M82="","",1-(M82-1)/(2*N82))</f>
        <v/>
      </c>
      <c r="S82" s="14" t="str">
        <f aca="false">IF(K82="","",0.5+0.5*PERCENTRANK($K$2:$K$85,K82))</f>
        <v/>
      </c>
      <c r="T82" s="14" t="str">
        <f aca="false">IF(COUNT(Q82:S82)=0,"",MAX(Q82:S82))</f>
        <v/>
      </c>
      <c r="U82" s="12" t="n">
        <f aca="false">COUNT(P82,T82)</f>
        <v>1</v>
      </c>
      <c r="X82" s="12" t="s">
        <v>2286</v>
      </c>
      <c r="Y82" s="12" t="s">
        <v>472</v>
      </c>
      <c r="Z82" s="12" t="n">
        <f aca="false">COUNTA(V82:Y82)</f>
        <v>2</v>
      </c>
      <c r="AA82" s="14" t="n">
        <f aca="false">IF(U82=0,"",MIN(1,AVERAGE(P82,T82)+Critérios!$B$5*Z82))</f>
        <v>0.1443</v>
      </c>
      <c r="AB82" s="12" t="str">
        <f aca="false">IF(AA82="","",IF(AA82&gt;=Critérios!$B$7,"A",IF(AA82&gt;=Critérios!$B$8,"B","C")))</f>
        <v>C</v>
      </c>
      <c r="AC82" s="12" t="n">
        <f aca="false">IF(AA82="","",RANK(AA82,$AA$2:$AA$85))</f>
        <v>81</v>
      </c>
      <c r="AD82" s="12" t="str">
        <f aca="false">IF(AA82="","Sairia — sem métrica",IF(PERCENTRANK($AA$2:$AA$85,AA82)&lt;Critérios!$B$6,"Sairia — terço inferior","Fica"))</f>
        <v>Sairia — terço inferior</v>
      </c>
      <c r="AE82" s="12" t="s">
        <v>105</v>
      </c>
      <c r="AH82" s="15" t="s">
        <v>95</v>
      </c>
      <c r="AI82" s="16"/>
      <c r="AK82" s="12" t="s">
        <v>2287</v>
      </c>
      <c r="AL82" s="12" t="n">
        <f aca="false">COUNT(G82)+IF(OR(I82&lt;&gt;"",K82&lt;&gt;""),1,0)+IF(M82&lt;&gt;"",1,0)+COUNTA(V82:Y82)</f>
        <v>3</v>
      </c>
      <c r="AM82" s="12" t="str">
        <f aca="false">IF(AL82&gt;=3,"Sim","Não")</f>
        <v>Sim</v>
      </c>
      <c r="AN82" s="12" t="str">
        <f aca="false">IF(AND(AC82&lt;&gt;"",AC82&lt;=Critérios!$B$9),"Sim","Não")</f>
        <v>Não</v>
      </c>
    </row>
    <row r="83" customFormat="false" ht="15" hidden="false" customHeight="false" outlineLevel="0" collapsed="false">
      <c r="A83" s="12" t="s">
        <v>2288</v>
      </c>
      <c r="B83" s="12" t="s">
        <v>2289</v>
      </c>
      <c r="C83" s="12" t="s">
        <v>2289</v>
      </c>
      <c r="D83" s="12" t="s">
        <v>101</v>
      </c>
      <c r="E83" s="12"/>
      <c r="F83" s="12" t="s">
        <v>1962</v>
      </c>
      <c r="G83" s="13" t="n">
        <v>55675</v>
      </c>
      <c r="H83" s="12" t="n">
        <v>8.2</v>
      </c>
      <c r="I83" s="17"/>
      <c r="K83" s="17"/>
      <c r="P83" s="14" t="n">
        <f aca="false">IF(G83="","",PERCENTRANK($G$2:$G$85,G83))</f>
        <v>0.0723</v>
      </c>
      <c r="Q83" s="14" t="str">
        <f aca="false">IF(J83="","",1-(J83-1)/20)</f>
        <v/>
      </c>
      <c r="R83" s="14" t="str">
        <f aca="false">IF(M83="","",1-(M83-1)/(2*N83))</f>
        <v/>
      </c>
      <c r="S83" s="14" t="str">
        <f aca="false">IF(K83="","",0.5+0.5*PERCENTRANK($K$2:$K$85,K83))</f>
        <v/>
      </c>
      <c r="T83" s="14" t="str">
        <f aca="false">IF(COUNT(Q83:S83)=0,"",MAX(Q83:S83))</f>
        <v/>
      </c>
      <c r="U83" s="12" t="n">
        <f aca="false">COUNT(P83,T83)</f>
        <v>1</v>
      </c>
      <c r="V83" s="12" t="s">
        <v>2290</v>
      </c>
      <c r="Z83" s="12" t="n">
        <f aca="false">COUNTA(V83:Y83)</f>
        <v>1</v>
      </c>
      <c r="AA83" s="14" t="n">
        <f aca="false">IF(U83=0,"",MIN(1,AVERAGE(P83,T83)+Critérios!$B$5*Z83))</f>
        <v>0.1023</v>
      </c>
      <c r="AB83" s="12" t="str">
        <f aca="false">IF(AA83="","",IF(AA83&gt;=Critérios!$B$7,"A",IF(AA83&gt;=Critérios!$B$8,"B","C")))</f>
        <v>C</v>
      </c>
      <c r="AC83" s="12" t="n">
        <f aca="false">IF(AA83="","",RANK(AA83,$AA$2:$AA$85))</f>
        <v>82</v>
      </c>
      <c r="AD83" s="12" t="str">
        <f aca="false">IF(AA83="","Sairia — sem métrica",IF(PERCENTRANK($AA$2:$AA$85,AA83)&lt;Critérios!$B$6,"Sairia — terço inferior","Fica"))</f>
        <v>Sairia — terço inferior</v>
      </c>
      <c r="AE83" s="12" t="s">
        <v>105</v>
      </c>
      <c r="AH83" s="15" t="s">
        <v>95</v>
      </c>
      <c r="AI83" s="16"/>
      <c r="AK83" s="12" t="s">
        <v>2291</v>
      </c>
      <c r="AL83" s="12" t="n">
        <f aca="false">COUNT(G83)+IF(OR(I83&lt;&gt;"",K83&lt;&gt;""),1,0)+IF(M83&lt;&gt;"",1,0)+COUNTA(V83:Y83)</f>
        <v>2</v>
      </c>
      <c r="AM83" s="12" t="str">
        <f aca="false">IF(AL83&gt;=3,"Sim","Não")</f>
        <v>Não</v>
      </c>
      <c r="AN83" s="12" t="str">
        <f aca="false">IF(AND(AC83&lt;&gt;"",AC83&lt;=Critérios!$B$9),"Sim","Não")</f>
        <v>Não</v>
      </c>
    </row>
    <row r="84" customFormat="false" ht="15" hidden="false" customHeight="false" outlineLevel="0" collapsed="false">
      <c r="A84" s="12" t="s">
        <v>2292</v>
      </c>
      <c r="B84" s="12" t="s">
        <v>2293</v>
      </c>
      <c r="C84" s="12" t="s">
        <v>2294</v>
      </c>
      <c r="D84" s="12" t="s">
        <v>175</v>
      </c>
      <c r="E84" s="12" t="s">
        <v>1903</v>
      </c>
      <c r="F84" s="12" t="s">
        <v>1891</v>
      </c>
      <c r="G84" s="13" t="n">
        <v>54579</v>
      </c>
      <c r="H84" s="12" t="n">
        <v>7</v>
      </c>
      <c r="I84" s="17"/>
      <c r="K84" s="17"/>
      <c r="P84" s="14" t="n">
        <f aca="false">IF(G84="","",PERCENTRANK($G$2:$G$85,G84))</f>
        <v>0.0602</v>
      </c>
      <c r="Q84" s="14" t="str">
        <f aca="false">IF(J84="","",1-(J84-1)/20)</f>
        <v/>
      </c>
      <c r="R84" s="14" t="str">
        <f aca="false">IF(M84="","",1-(M84-1)/(2*N84))</f>
        <v/>
      </c>
      <c r="S84" s="14" t="str">
        <f aca="false">IF(K84="","",0.5+0.5*PERCENTRANK($K$2:$K$85,K84))</f>
        <v/>
      </c>
      <c r="T84" s="14" t="str">
        <f aca="false">IF(COUNT(Q84:S84)=0,"",MAX(Q84:S84))</f>
        <v/>
      </c>
      <c r="U84" s="12" t="n">
        <f aca="false">COUNT(P84,T84)</f>
        <v>1</v>
      </c>
      <c r="V84" s="12" t="s">
        <v>2295</v>
      </c>
      <c r="Z84" s="12" t="n">
        <f aca="false">COUNTA(V84:Y84)</f>
        <v>1</v>
      </c>
      <c r="AA84" s="14" t="n">
        <f aca="false">IF(U84=0,"",MIN(1,AVERAGE(P84,T84)+Critérios!$B$5*Z84))</f>
        <v>0.0902</v>
      </c>
      <c r="AB84" s="12" t="str">
        <f aca="false">IF(AA84="","",IF(AA84&gt;=Critérios!$B$7,"A",IF(AA84&gt;=Critérios!$B$8,"B","C")))</f>
        <v>C</v>
      </c>
      <c r="AC84" s="12" t="n">
        <f aca="false">IF(AA84="","",RANK(AA84,$AA$2:$AA$85))</f>
        <v>83</v>
      </c>
      <c r="AD84" s="12" t="str">
        <f aca="false">IF(AA84="","Sairia — sem métrica",IF(PERCENTRANK($AA$2:$AA$85,AA84)&lt;Critérios!$B$6,"Sairia — terço inferior","Fica"))</f>
        <v>Sairia — terço inferior</v>
      </c>
      <c r="AE84" s="12" t="s">
        <v>1873</v>
      </c>
      <c r="AG84" s="12" t="s">
        <v>1927</v>
      </c>
      <c r="AH84" s="15" t="s">
        <v>95</v>
      </c>
      <c r="AI84" s="16"/>
      <c r="AK84" s="12" t="s">
        <v>2296</v>
      </c>
      <c r="AL84" s="12" t="n">
        <f aca="false">COUNT(G84)+IF(OR(I84&lt;&gt;"",K84&lt;&gt;""),1,0)+IF(M84&lt;&gt;"",1,0)+COUNTA(V84:Y84)</f>
        <v>2</v>
      </c>
      <c r="AM84" s="12" t="str">
        <f aca="false">IF(AL84&gt;=3,"Sim","Não")</f>
        <v>Não</v>
      </c>
      <c r="AN84" s="12" t="str">
        <f aca="false">IF(AND(AC84&lt;&gt;"",AC84&lt;=Critérios!$B$9),"Sim","Não")</f>
        <v>Não</v>
      </c>
    </row>
    <row r="85" customFormat="false" ht="15" hidden="false" customHeight="false" outlineLevel="0" collapsed="false">
      <c r="A85" s="12" t="s">
        <v>2297</v>
      </c>
      <c r="B85" s="12" t="s">
        <v>2298</v>
      </c>
      <c r="C85" s="12" t="s">
        <v>2298</v>
      </c>
      <c r="D85" s="12" t="s">
        <v>146</v>
      </c>
      <c r="E85" s="12" t="s">
        <v>2164</v>
      </c>
      <c r="F85" s="12" t="s">
        <v>1834</v>
      </c>
      <c r="G85" s="13" t="n">
        <v>51045</v>
      </c>
      <c r="H85" s="12" t="n">
        <v>6.8</v>
      </c>
      <c r="I85" s="17"/>
      <c r="K85" s="17"/>
      <c r="P85" s="14" t="n">
        <f aca="false">IF(G85="","",PERCENTRANK($G$2:$G$85,G85))</f>
        <v>0.0361</v>
      </c>
      <c r="Q85" s="14" t="str">
        <f aca="false">IF(J85="","",1-(J85-1)/20)</f>
        <v/>
      </c>
      <c r="R85" s="14" t="str">
        <f aca="false">IF(M85="","",1-(M85-1)/(2*N85))</f>
        <v/>
      </c>
      <c r="S85" s="14" t="str">
        <f aca="false">IF(K85="","",0.5+0.5*PERCENTRANK($K$2:$K$85,K85))</f>
        <v/>
      </c>
      <c r="T85" s="14" t="str">
        <f aca="false">IF(COUNT(Q85:S85)=0,"",MAX(Q85:S85))</f>
        <v/>
      </c>
      <c r="U85" s="12" t="n">
        <f aca="false">COUNT(P85,T85)</f>
        <v>1</v>
      </c>
      <c r="V85" s="12" t="s">
        <v>2299</v>
      </c>
      <c r="Z85" s="12" t="n">
        <f aca="false">COUNTA(V85:Y85)</f>
        <v>1</v>
      </c>
      <c r="AA85" s="14" t="n">
        <f aca="false">IF(U85=0,"",MIN(1,AVERAGE(P85,T85)+Critérios!$B$5*Z85))</f>
        <v>0.0661</v>
      </c>
      <c r="AB85" s="12" t="str">
        <f aca="false">IF(AA85="","",IF(AA85&gt;=Critérios!$B$7,"A",IF(AA85&gt;=Critérios!$B$8,"B","C")))</f>
        <v>C</v>
      </c>
      <c r="AC85" s="12" t="n">
        <f aca="false">IF(AA85="","",RANK(AA85,$AA$2:$AA$85))</f>
        <v>84</v>
      </c>
      <c r="AD85" s="12" t="str">
        <f aca="false">IF(AA85="","Sairia — sem métrica",IF(PERCENTRANK($AA$2:$AA$85,AA85)&lt;Critérios!$B$6,"Sairia — terço inferior","Fica"))</f>
        <v>Sairia — terço inferior</v>
      </c>
      <c r="AE85" s="12" t="s">
        <v>1873</v>
      </c>
      <c r="AH85" s="15" t="s">
        <v>95</v>
      </c>
      <c r="AI85" s="16"/>
      <c r="AJ85" s="12" t="s">
        <v>2300</v>
      </c>
      <c r="AK85" s="12" t="s">
        <v>2301</v>
      </c>
      <c r="AL85" s="12" t="n">
        <f aca="false">COUNT(G85)+IF(OR(I85&lt;&gt;"",K85&lt;&gt;""),1,0)+IF(M85&lt;&gt;"",1,0)+COUNTA(V85:Y85)</f>
        <v>2</v>
      </c>
      <c r="AM85" s="12" t="str">
        <f aca="false">IF(AL85&gt;=3,"Sim","Não")</f>
        <v>Não</v>
      </c>
      <c r="AN85" s="12" t="str">
        <f aca="false">IF(AND(AC85&lt;&gt;"",AC85&lt;=Critérios!$B$9),"Sim","Não")</f>
        <v>Não</v>
      </c>
    </row>
  </sheetData>
  <autoFilter ref="A1:AN1"/>
  <dataValidations count="1">
    <dataValidation allowBlank="true" errorStyle="stop" operator="between" showDropDown="false" showErrorMessage="false" showInputMessage="false" sqref="AH2:AH85" type="list">
      <formula1>"candidato,selecionado,em escrita,aprovado,excluído"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26"/>
    <col collapsed="false" customWidth="true" hidden="false" outlineLevel="0" max="13" min="13" style="0" width="11"/>
  </cols>
  <sheetData>
    <row r="1" customFormat="false" ht="57.75" hidden="false" customHeight="true" outlineLevel="0" collapsed="false">
      <c r="A1" s="8" t="s">
        <v>2302</v>
      </c>
      <c r="B1" s="8" t="s">
        <v>52</v>
      </c>
      <c r="C1" s="8" t="s">
        <v>53</v>
      </c>
      <c r="D1" s="8" t="s">
        <v>54</v>
      </c>
      <c r="E1" s="11" t="s">
        <v>2303</v>
      </c>
      <c r="F1" s="11" t="s">
        <v>2304</v>
      </c>
      <c r="G1" s="11" t="s">
        <v>2305</v>
      </c>
      <c r="H1" s="9" t="s">
        <v>57</v>
      </c>
      <c r="I1" s="9" t="s">
        <v>59</v>
      </c>
      <c r="J1" s="9" t="s">
        <v>61</v>
      </c>
      <c r="K1" s="9" t="s">
        <v>62</v>
      </c>
      <c r="L1" s="8" t="s">
        <v>56</v>
      </c>
      <c r="M1" s="8" t="s">
        <v>83</v>
      </c>
    </row>
    <row r="2" customFormat="false" ht="15" hidden="false" customHeight="false" outlineLevel="0" collapsed="false">
      <c r="A2" s="12" t="s">
        <v>2306</v>
      </c>
      <c r="B2" s="12" t="s">
        <v>2307</v>
      </c>
      <c r="C2" s="12" t="s">
        <v>2308</v>
      </c>
      <c r="D2" s="12" t="s">
        <v>202</v>
      </c>
      <c r="E2" s="12" t="n">
        <v>2</v>
      </c>
      <c r="F2" s="12" t="s">
        <v>2309</v>
      </c>
      <c r="G2" s="12" t="s">
        <v>2310</v>
      </c>
      <c r="H2" s="17"/>
      <c r="I2" s="17"/>
      <c r="J2" s="13" t="n">
        <v>963249</v>
      </c>
      <c r="K2" s="12" t="n">
        <v>8.2</v>
      </c>
      <c r="L2" s="12" t="s">
        <v>128</v>
      </c>
      <c r="M2" s="12" t="s">
        <v>2311</v>
      </c>
    </row>
    <row r="3" customFormat="false" ht="15" hidden="false" customHeight="false" outlineLevel="0" collapsed="false">
      <c r="A3" s="12" t="s">
        <v>2306</v>
      </c>
      <c r="B3" s="12" t="s">
        <v>2312</v>
      </c>
      <c r="C3" s="12" t="s">
        <v>2313</v>
      </c>
      <c r="D3" s="12" t="s">
        <v>90</v>
      </c>
      <c r="E3" s="12" t="n">
        <v>2</v>
      </c>
      <c r="F3" s="12" t="s">
        <v>2314</v>
      </c>
      <c r="G3" s="12" t="s">
        <v>2310</v>
      </c>
      <c r="H3" s="17"/>
      <c r="I3" s="17"/>
      <c r="J3" s="13" t="n">
        <v>893629</v>
      </c>
      <c r="K3" s="12" t="n">
        <v>7.9</v>
      </c>
      <c r="L3" s="12" t="s">
        <v>169</v>
      </c>
      <c r="M3" s="12" t="s">
        <v>2315</v>
      </c>
    </row>
    <row r="4" customFormat="false" ht="15" hidden="false" customHeight="false" outlineLevel="0" collapsed="false">
      <c r="A4" s="12" t="s">
        <v>2306</v>
      </c>
      <c r="B4" s="12" t="s">
        <v>2316</v>
      </c>
      <c r="C4" s="12" t="s">
        <v>2317</v>
      </c>
      <c r="D4" s="12" t="s">
        <v>189</v>
      </c>
      <c r="E4" s="12" t="n">
        <v>2</v>
      </c>
      <c r="F4" s="12" t="s">
        <v>2314</v>
      </c>
      <c r="G4" s="12" t="s">
        <v>2310</v>
      </c>
      <c r="H4" s="17"/>
      <c r="I4" s="17"/>
      <c r="J4" s="13" t="n">
        <v>882921</v>
      </c>
      <c r="K4" s="12" t="n">
        <v>7.9</v>
      </c>
      <c r="L4" s="12" t="s">
        <v>169</v>
      </c>
      <c r="M4" s="12" t="s">
        <v>2318</v>
      </c>
    </row>
    <row r="5" customFormat="false" ht="15" hidden="false" customHeight="false" outlineLevel="0" collapsed="false">
      <c r="A5" s="12" t="s">
        <v>2306</v>
      </c>
      <c r="B5" s="12" t="s">
        <v>2319</v>
      </c>
      <c r="C5" s="12" t="s">
        <v>2320</v>
      </c>
      <c r="D5" s="12" t="s">
        <v>207</v>
      </c>
      <c r="E5" s="12" t="n">
        <v>2</v>
      </c>
      <c r="F5" s="12" t="s">
        <v>2314</v>
      </c>
      <c r="G5" s="12" t="s">
        <v>2310</v>
      </c>
      <c r="H5" s="17"/>
      <c r="I5" s="17"/>
      <c r="J5" s="13" t="n">
        <v>841458</v>
      </c>
      <c r="K5" s="12" t="n">
        <v>7.8</v>
      </c>
      <c r="L5" s="12" t="s">
        <v>169</v>
      </c>
      <c r="M5" s="12" t="s">
        <v>2321</v>
      </c>
    </row>
    <row r="6" customFormat="false" ht="15" hidden="false" customHeight="false" outlineLevel="0" collapsed="false">
      <c r="A6" s="12" t="s">
        <v>2306</v>
      </c>
      <c r="B6" s="12" t="s">
        <v>2322</v>
      </c>
      <c r="C6" s="12" t="s">
        <v>2322</v>
      </c>
      <c r="D6" s="12" t="s">
        <v>207</v>
      </c>
      <c r="E6" s="12" t="n">
        <v>2</v>
      </c>
      <c r="F6" s="12" t="s">
        <v>2314</v>
      </c>
      <c r="G6" s="12" t="s">
        <v>2310</v>
      </c>
      <c r="H6" s="17"/>
      <c r="I6" s="17"/>
      <c r="J6" s="13" t="n">
        <v>829962</v>
      </c>
      <c r="K6" s="12" t="n">
        <v>7.8</v>
      </c>
      <c r="L6" s="12" t="s">
        <v>169</v>
      </c>
      <c r="M6" s="12" t="s">
        <v>2323</v>
      </c>
    </row>
    <row r="7" customFormat="false" ht="15" hidden="false" customHeight="false" outlineLevel="0" collapsed="false">
      <c r="A7" s="12" t="s">
        <v>2306</v>
      </c>
      <c r="B7" s="12" t="s">
        <v>2324</v>
      </c>
      <c r="C7" s="12" t="s">
        <v>2325</v>
      </c>
      <c r="D7" s="12" t="s">
        <v>111</v>
      </c>
      <c r="E7" s="12" t="n">
        <v>2</v>
      </c>
      <c r="F7" s="12" t="s">
        <v>2314</v>
      </c>
      <c r="G7" s="12" t="s">
        <v>2310</v>
      </c>
      <c r="H7" s="17"/>
      <c r="I7" s="17"/>
      <c r="J7" s="13" t="n">
        <v>820471</v>
      </c>
      <c r="K7" s="12" t="n">
        <v>8.4</v>
      </c>
      <c r="L7" s="12" t="s">
        <v>169</v>
      </c>
      <c r="M7" s="12" t="s">
        <v>2326</v>
      </c>
    </row>
    <row r="8" customFormat="false" ht="15" hidden="false" customHeight="false" outlineLevel="0" collapsed="false">
      <c r="A8" s="12" t="s">
        <v>2306</v>
      </c>
      <c r="B8" s="12" t="s">
        <v>2327</v>
      </c>
      <c r="C8" s="12" t="s">
        <v>2328</v>
      </c>
      <c r="D8" s="12" t="s">
        <v>189</v>
      </c>
      <c r="E8" s="12" t="n">
        <v>2</v>
      </c>
      <c r="F8" s="12" t="s">
        <v>2314</v>
      </c>
      <c r="G8" s="12" t="s">
        <v>2310</v>
      </c>
      <c r="H8" s="17"/>
      <c r="I8" s="17"/>
      <c r="J8" s="13" t="n">
        <v>781459</v>
      </c>
      <c r="K8" s="12" t="n">
        <v>8</v>
      </c>
      <c r="L8" s="12" t="s">
        <v>169</v>
      </c>
      <c r="M8" s="12" t="s">
        <v>2329</v>
      </c>
    </row>
    <row r="9" customFormat="false" ht="15" hidden="false" customHeight="false" outlineLevel="0" collapsed="false">
      <c r="A9" s="12" t="s">
        <v>2306</v>
      </c>
      <c r="B9" s="12" t="s">
        <v>2330</v>
      </c>
      <c r="C9" s="12" t="s">
        <v>2330</v>
      </c>
      <c r="D9" s="12" t="s">
        <v>207</v>
      </c>
      <c r="E9" s="12" t="n">
        <v>2</v>
      </c>
      <c r="F9" s="12" t="s">
        <v>2314</v>
      </c>
      <c r="G9" s="12" t="s">
        <v>2310</v>
      </c>
      <c r="H9" s="17"/>
      <c r="I9" s="17"/>
      <c r="J9" s="13" t="n">
        <v>771938</v>
      </c>
      <c r="K9" s="12" t="n">
        <v>8</v>
      </c>
      <c r="L9" s="12" t="s">
        <v>169</v>
      </c>
      <c r="M9" s="12" t="s">
        <v>2331</v>
      </c>
    </row>
    <row r="10" customFormat="false" ht="15" hidden="false" customHeight="false" outlineLevel="0" collapsed="false">
      <c r="A10" s="12" t="s">
        <v>2306</v>
      </c>
      <c r="B10" s="12" t="s">
        <v>2332</v>
      </c>
      <c r="C10" s="12" t="s">
        <v>2333</v>
      </c>
      <c r="D10" s="12" t="s">
        <v>207</v>
      </c>
      <c r="E10" s="12" t="n">
        <v>2</v>
      </c>
      <c r="F10" s="12" t="s">
        <v>2314</v>
      </c>
      <c r="G10" s="12" t="s">
        <v>2310</v>
      </c>
      <c r="H10" s="17"/>
      <c r="I10" s="17"/>
      <c r="J10" s="13" t="n">
        <v>730432</v>
      </c>
      <c r="K10" s="12" t="n">
        <v>8.4</v>
      </c>
      <c r="L10" s="12" t="s">
        <v>169</v>
      </c>
      <c r="M10" s="12" t="s">
        <v>2334</v>
      </c>
    </row>
    <row r="11" customFormat="false" ht="15" hidden="false" customHeight="false" outlineLevel="0" collapsed="false">
      <c r="A11" s="12" t="s">
        <v>2306</v>
      </c>
      <c r="B11" s="12" t="s">
        <v>2335</v>
      </c>
      <c r="C11" s="12" t="s">
        <v>2336</v>
      </c>
      <c r="D11" s="12" t="s">
        <v>207</v>
      </c>
      <c r="E11" s="12" t="n">
        <v>2</v>
      </c>
      <c r="F11" s="12" t="s">
        <v>2314</v>
      </c>
      <c r="G11" s="12" t="s">
        <v>2310</v>
      </c>
      <c r="H11" s="17"/>
      <c r="I11" s="17"/>
      <c r="J11" s="13" t="n">
        <v>697232</v>
      </c>
      <c r="K11" s="12" t="n">
        <v>7.5</v>
      </c>
      <c r="L11" s="12" t="s">
        <v>169</v>
      </c>
      <c r="M11" s="12" t="s">
        <v>2337</v>
      </c>
    </row>
    <row r="12" customFormat="false" ht="15" hidden="false" customHeight="false" outlineLevel="0" collapsed="false">
      <c r="A12" s="12" t="s">
        <v>2306</v>
      </c>
      <c r="B12" s="12" t="s">
        <v>2338</v>
      </c>
      <c r="C12" s="12" t="s">
        <v>2339</v>
      </c>
      <c r="D12" s="12" t="s">
        <v>111</v>
      </c>
      <c r="E12" s="12" t="n">
        <v>2</v>
      </c>
      <c r="F12" s="12" t="s">
        <v>2314</v>
      </c>
      <c r="G12" s="12" t="s">
        <v>2310</v>
      </c>
      <c r="H12" s="17"/>
      <c r="I12" s="17"/>
      <c r="J12" s="13" t="n">
        <v>671335</v>
      </c>
      <c r="K12" s="12" t="n">
        <v>7.5</v>
      </c>
      <c r="L12" s="12" t="s">
        <v>169</v>
      </c>
      <c r="M12" s="12" t="s">
        <v>2340</v>
      </c>
    </row>
    <row r="13" customFormat="false" ht="15" hidden="false" customHeight="false" outlineLevel="0" collapsed="false">
      <c r="A13" s="12" t="s">
        <v>2306</v>
      </c>
      <c r="B13" s="12" t="s">
        <v>2341</v>
      </c>
      <c r="C13" s="12" t="s">
        <v>2342</v>
      </c>
      <c r="D13" s="12" t="s">
        <v>118</v>
      </c>
      <c r="E13" s="12" t="n">
        <v>2</v>
      </c>
      <c r="F13" s="12" t="s">
        <v>2314</v>
      </c>
      <c r="G13" s="12" t="s">
        <v>2310</v>
      </c>
      <c r="H13" s="17"/>
      <c r="I13" s="17"/>
      <c r="J13" s="13" t="n">
        <v>663595</v>
      </c>
      <c r="K13" s="12" t="n">
        <v>7.7</v>
      </c>
      <c r="L13" s="12" t="s">
        <v>169</v>
      </c>
      <c r="M13" s="12" t="s">
        <v>2343</v>
      </c>
    </row>
    <row r="14" customFormat="false" ht="15" hidden="false" customHeight="false" outlineLevel="0" collapsed="false">
      <c r="A14" s="12" t="s">
        <v>2306</v>
      </c>
      <c r="B14" s="12" t="s">
        <v>2344</v>
      </c>
      <c r="C14" s="12" t="s">
        <v>2345</v>
      </c>
      <c r="D14" s="12" t="s">
        <v>189</v>
      </c>
      <c r="E14" s="12" t="n">
        <v>2</v>
      </c>
      <c r="F14" s="12" t="s">
        <v>2314</v>
      </c>
      <c r="G14" s="12" t="s">
        <v>2310</v>
      </c>
      <c r="H14" s="17"/>
      <c r="I14" s="17"/>
      <c r="J14" s="13" t="n">
        <v>633072</v>
      </c>
      <c r="K14" s="12" t="n">
        <v>7.3</v>
      </c>
      <c r="L14" s="12" t="s">
        <v>169</v>
      </c>
      <c r="M14" s="12" t="s">
        <v>2346</v>
      </c>
    </row>
    <row r="15" customFormat="false" ht="15" hidden="false" customHeight="false" outlineLevel="0" collapsed="false">
      <c r="A15" s="12" t="s">
        <v>2306</v>
      </c>
      <c r="B15" s="12" t="s">
        <v>2347</v>
      </c>
      <c r="C15" s="12" t="s">
        <v>2348</v>
      </c>
      <c r="D15" s="12" t="s">
        <v>207</v>
      </c>
      <c r="E15" s="12" t="n">
        <v>2</v>
      </c>
      <c r="F15" s="12" t="s">
        <v>2314</v>
      </c>
      <c r="G15" s="12" t="s">
        <v>2310</v>
      </c>
      <c r="H15" s="17"/>
      <c r="I15" s="17"/>
      <c r="J15" s="13" t="n">
        <v>617844</v>
      </c>
      <c r="K15" s="12" t="n">
        <v>8.1</v>
      </c>
      <c r="L15" s="12" t="s">
        <v>169</v>
      </c>
      <c r="M15" s="12" t="s">
        <v>2349</v>
      </c>
    </row>
    <row r="16" customFormat="false" ht="15" hidden="false" customHeight="false" outlineLevel="0" collapsed="false">
      <c r="A16" s="12" t="s">
        <v>2306</v>
      </c>
      <c r="B16" s="12" t="s">
        <v>2350</v>
      </c>
      <c r="C16" s="12" t="s">
        <v>2351</v>
      </c>
      <c r="D16" s="12" t="s">
        <v>90</v>
      </c>
      <c r="E16" s="12" t="n">
        <v>2</v>
      </c>
      <c r="F16" s="12" t="s">
        <v>2314</v>
      </c>
      <c r="G16" s="12" t="s">
        <v>2310</v>
      </c>
      <c r="H16" s="17"/>
      <c r="I16" s="17"/>
      <c r="J16" s="13" t="n">
        <v>589396</v>
      </c>
      <c r="K16" s="12" t="n">
        <v>8.1</v>
      </c>
      <c r="L16" s="12" t="s">
        <v>169</v>
      </c>
      <c r="M16" s="12" t="s">
        <v>2352</v>
      </c>
    </row>
    <row r="17" customFormat="false" ht="15" hidden="false" customHeight="false" outlineLevel="0" collapsed="false">
      <c r="A17" s="12" t="s">
        <v>2306</v>
      </c>
      <c r="B17" s="12" t="s">
        <v>2353</v>
      </c>
      <c r="C17" s="12" t="s">
        <v>2354</v>
      </c>
      <c r="D17" s="12" t="s">
        <v>207</v>
      </c>
      <c r="E17" s="12" t="n">
        <v>2</v>
      </c>
      <c r="F17" s="12" t="s">
        <v>2314</v>
      </c>
      <c r="G17" s="12" t="s">
        <v>2310</v>
      </c>
      <c r="H17" s="17"/>
      <c r="I17" s="17"/>
      <c r="J17" s="13" t="n">
        <v>580442</v>
      </c>
      <c r="K17" s="12" t="n">
        <v>7.4</v>
      </c>
      <c r="L17" s="12" t="s">
        <v>169</v>
      </c>
      <c r="M17" s="12" t="s">
        <v>2355</v>
      </c>
    </row>
    <row r="18" customFormat="false" ht="15" hidden="false" customHeight="false" outlineLevel="0" collapsed="false">
      <c r="A18" s="12" t="s">
        <v>2306</v>
      </c>
      <c r="B18" s="12" t="s">
        <v>2356</v>
      </c>
      <c r="C18" s="12" t="s">
        <v>2357</v>
      </c>
      <c r="D18" s="12" t="s">
        <v>500</v>
      </c>
      <c r="E18" s="12" t="n">
        <v>2</v>
      </c>
      <c r="F18" s="12" t="s">
        <v>2309</v>
      </c>
      <c r="G18" s="12" t="s">
        <v>2310</v>
      </c>
      <c r="H18" s="17"/>
      <c r="I18" s="17"/>
      <c r="J18" s="13" t="n">
        <v>573405</v>
      </c>
      <c r="K18" s="12" t="n">
        <v>7.9</v>
      </c>
      <c r="L18" s="12" t="s">
        <v>128</v>
      </c>
      <c r="M18" s="12" t="s">
        <v>2358</v>
      </c>
    </row>
    <row r="19" customFormat="false" ht="15" hidden="false" customHeight="false" outlineLevel="0" collapsed="false">
      <c r="A19" s="12" t="s">
        <v>2306</v>
      </c>
      <c r="B19" s="12" t="s">
        <v>2359</v>
      </c>
      <c r="C19" s="12" t="s">
        <v>2360</v>
      </c>
      <c r="D19" s="12" t="s">
        <v>111</v>
      </c>
      <c r="E19" s="12" t="n">
        <v>2</v>
      </c>
      <c r="F19" s="12" t="s">
        <v>2314</v>
      </c>
      <c r="G19" s="12" t="s">
        <v>2310</v>
      </c>
      <c r="H19" s="17"/>
      <c r="I19" s="17"/>
      <c r="J19" s="13" t="n">
        <v>553017</v>
      </c>
      <c r="K19" s="12" t="n">
        <v>7.4</v>
      </c>
      <c r="L19" s="12" t="s">
        <v>169</v>
      </c>
      <c r="M19" s="12" t="s">
        <v>2361</v>
      </c>
    </row>
    <row r="20" customFormat="false" ht="15" hidden="false" customHeight="false" outlineLevel="0" collapsed="false">
      <c r="A20" s="12" t="s">
        <v>2306</v>
      </c>
      <c r="B20" s="12" t="s">
        <v>2362</v>
      </c>
      <c r="C20" s="12" t="s">
        <v>2363</v>
      </c>
      <c r="D20" s="12" t="s">
        <v>118</v>
      </c>
      <c r="E20" s="12" t="n">
        <v>2</v>
      </c>
      <c r="F20" s="12" t="s">
        <v>2314</v>
      </c>
      <c r="G20" s="12" t="s">
        <v>2310</v>
      </c>
      <c r="H20" s="17"/>
      <c r="I20" s="17"/>
      <c r="J20" s="13" t="n">
        <v>549913</v>
      </c>
      <c r="K20" s="12" t="n">
        <v>7.3</v>
      </c>
      <c r="L20" s="12" t="s">
        <v>169</v>
      </c>
      <c r="M20" s="12" t="s">
        <v>2364</v>
      </c>
    </row>
    <row r="21" customFormat="false" ht="15" hidden="false" customHeight="false" outlineLevel="0" collapsed="false">
      <c r="A21" s="12" t="s">
        <v>2306</v>
      </c>
      <c r="B21" s="12" t="s">
        <v>2365</v>
      </c>
      <c r="C21" s="12" t="s">
        <v>2366</v>
      </c>
      <c r="D21" s="12" t="s">
        <v>118</v>
      </c>
      <c r="E21" s="12" t="n">
        <v>2</v>
      </c>
      <c r="F21" s="12" t="s">
        <v>2314</v>
      </c>
      <c r="G21" s="12" t="s">
        <v>2310</v>
      </c>
      <c r="H21" s="17"/>
      <c r="I21" s="17"/>
      <c r="J21" s="13" t="n">
        <v>535224</v>
      </c>
      <c r="K21" s="12" t="n">
        <v>7.1</v>
      </c>
      <c r="L21" s="12" t="s">
        <v>169</v>
      </c>
      <c r="M21" s="12" t="s">
        <v>2367</v>
      </c>
    </row>
    <row r="22" customFormat="false" ht="15" hidden="false" customHeight="false" outlineLevel="0" collapsed="false">
      <c r="A22" s="12" t="s">
        <v>2306</v>
      </c>
      <c r="B22" s="12" t="s">
        <v>2368</v>
      </c>
      <c r="C22" s="12" t="s">
        <v>2369</v>
      </c>
      <c r="D22" s="12" t="s">
        <v>90</v>
      </c>
      <c r="E22" s="12" t="n">
        <v>2</v>
      </c>
      <c r="F22" s="12" t="s">
        <v>2314</v>
      </c>
      <c r="G22" s="12" t="s">
        <v>2310</v>
      </c>
      <c r="H22" s="17"/>
      <c r="I22" s="17"/>
      <c r="J22" s="13" t="n">
        <v>500733</v>
      </c>
      <c r="K22" s="12" t="n">
        <v>7.1</v>
      </c>
      <c r="L22" s="12" t="s">
        <v>169</v>
      </c>
      <c r="M22" s="12" t="s">
        <v>2370</v>
      </c>
    </row>
    <row r="23" customFormat="false" ht="15" hidden="false" customHeight="false" outlineLevel="0" collapsed="false">
      <c r="A23" s="12" t="s">
        <v>2306</v>
      </c>
      <c r="B23" s="12" t="s">
        <v>2371</v>
      </c>
      <c r="C23" s="12" t="s">
        <v>2371</v>
      </c>
      <c r="D23" s="12" t="s">
        <v>90</v>
      </c>
      <c r="E23" s="12" t="n">
        <v>2</v>
      </c>
      <c r="F23" s="12" t="s">
        <v>2314</v>
      </c>
      <c r="G23" s="12" t="s">
        <v>2310</v>
      </c>
      <c r="H23" s="17"/>
      <c r="I23" s="17"/>
      <c r="J23" s="13" t="n">
        <v>495863</v>
      </c>
      <c r="K23" s="12" t="n">
        <v>7.9</v>
      </c>
      <c r="L23" s="12" t="s">
        <v>169</v>
      </c>
      <c r="M23" s="12" t="s">
        <v>2372</v>
      </c>
    </row>
    <row r="24" customFormat="false" ht="15" hidden="false" customHeight="false" outlineLevel="0" collapsed="false">
      <c r="A24" s="12" t="s">
        <v>2306</v>
      </c>
      <c r="B24" s="12" t="s">
        <v>2373</v>
      </c>
      <c r="C24" s="12" t="s">
        <v>2374</v>
      </c>
      <c r="D24" s="12" t="s">
        <v>90</v>
      </c>
      <c r="E24" s="12" t="n">
        <v>2</v>
      </c>
      <c r="F24" s="12" t="s">
        <v>2314</v>
      </c>
      <c r="G24" s="12" t="s">
        <v>2310</v>
      </c>
      <c r="H24" s="17"/>
      <c r="I24" s="17"/>
      <c r="J24" s="13" t="n">
        <v>489718</v>
      </c>
      <c r="K24" s="12" t="n">
        <v>7.4</v>
      </c>
      <c r="L24" s="12" t="s">
        <v>169</v>
      </c>
      <c r="M24" s="12" t="s">
        <v>2375</v>
      </c>
    </row>
    <row r="25" customFormat="false" ht="15" hidden="false" customHeight="false" outlineLevel="0" collapsed="false">
      <c r="A25" s="12" t="s">
        <v>2306</v>
      </c>
      <c r="B25" s="12" t="s">
        <v>2376</v>
      </c>
      <c r="C25" s="12" t="s">
        <v>2377</v>
      </c>
      <c r="D25" s="12" t="s">
        <v>101</v>
      </c>
      <c r="E25" s="12" t="n">
        <v>2</v>
      </c>
      <c r="F25" s="12" t="s">
        <v>2314</v>
      </c>
      <c r="G25" s="12" t="s">
        <v>2310</v>
      </c>
      <c r="H25" s="17"/>
      <c r="I25" s="17"/>
      <c r="J25" s="13" t="n">
        <v>481514</v>
      </c>
      <c r="K25" s="12" t="n">
        <v>7.9</v>
      </c>
      <c r="L25" s="12" t="s">
        <v>169</v>
      </c>
      <c r="M25" s="12" t="s">
        <v>2378</v>
      </c>
    </row>
    <row r="26" customFormat="false" ht="15" hidden="false" customHeight="false" outlineLevel="0" collapsed="false">
      <c r="A26" s="12" t="s">
        <v>2306</v>
      </c>
      <c r="B26" s="12" t="s">
        <v>2379</v>
      </c>
      <c r="C26" s="12" t="s">
        <v>2380</v>
      </c>
      <c r="D26" s="12" t="s">
        <v>207</v>
      </c>
      <c r="E26" s="12" t="n">
        <v>2</v>
      </c>
      <c r="F26" s="12" t="s">
        <v>2314</v>
      </c>
      <c r="G26" s="12" t="s">
        <v>2310</v>
      </c>
      <c r="H26" s="17"/>
      <c r="I26" s="17"/>
      <c r="J26" s="13" t="n">
        <v>481288</v>
      </c>
      <c r="K26" s="12" t="n">
        <v>7.3</v>
      </c>
      <c r="L26" s="12" t="s">
        <v>169</v>
      </c>
      <c r="M26" s="12" t="s">
        <v>2381</v>
      </c>
    </row>
    <row r="27" customFormat="false" ht="15" hidden="false" customHeight="false" outlineLevel="0" collapsed="false">
      <c r="A27" s="12" t="s">
        <v>2306</v>
      </c>
      <c r="B27" s="12" t="s">
        <v>2382</v>
      </c>
      <c r="C27" s="12" t="s">
        <v>2383</v>
      </c>
      <c r="D27" s="12" t="s">
        <v>90</v>
      </c>
      <c r="E27" s="12" t="n">
        <v>2</v>
      </c>
      <c r="F27" s="12" t="s">
        <v>2314</v>
      </c>
      <c r="G27" s="12" t="s">
        <v>2310</v>
      </c>
      <c r="H27" s="17"/>
      <c r="I27" s="17"/>
      <c r="J27" s="13" t="n">
        <v>481123</v>
      </c>
      <c r="K27" s="12" t="n">
        <v>7.8</v>
      </c>
      <c r="L27" s="12" t="s">
        <v>169</v>
      </c>
      <c r="M27" s="12" t="s">
        <v>2384</v>
      </c>
    </row>
    <row r="28" customFormat="false" ht="15" hidden="false" customHeight="false" outlineLevel="0" collapsed="false">
      <c r="A28" s="12" t="s">
        <v>2306</v>
      </c>
      <c r="B28" s="12" t="s">
        <v>2385</v>
      </c>
      <c r="C28" s="12" t="s">
        <v>2386</v>
      </c>
      <c r="D28" s="12" t="s">
        <v>158</v>
      </c>
      <c r="E28" s="12" t="n">
        <v>2</v>
      </c>
      <c r="F28" s="12" t="s">
        <v>2387</v>
      </c>
      <c r="G28" s="12" t="s">
        <v>2310</v>
      </c>
      <c r="H28" s="13" t="n">
        <v>6165705</v>
      </c>
      <c r="I28" s="17"/>
      <c r="J28" s="13" t="n">
        <v>428845</v>
      </c>
      <c r="K28" s="12" t="n">
        <v>7.6</v>
      </c>
      <c r="L28" s="12" t="s">
        <v>92</v>
      </c>
      <c r="M28" s="12" t="s">
        <v>2388</v>
      </c>
    </row>
    <row r="29" customFormat="false" ht="15" hidden="false" customHeight="false" outlineLevel="0" collapsed="false">
      <c r="A29" s="12" t="s">
        <v>2306</v>
      </c>
      <c r="B29" s="12" t="s">
        <v>2389</v>
      </c>
      <c r="C29" s="12" t="s">
        <v>2389</v>
      </c>
      <c r="D29" s="12" t="s">
        <v>1103</v>
      </c>
      <c r="E29" s="12" t="n">
        <v>2</v>
      </c>
      <c r="F29" s="12" t="s">
        <v>2314</v>
      </c>
      <c r="G29" s="12" t="s">
        <v>2310</v>
      </c>
      <c r="H29" s="17"/>
      <c r="I29" s="17"/>
      <c r="J29" s="13" t="n">
        <v>459574</v>
      </c>
      <c r="K29" s="12" t="n">
        <v>8</v>
      </c>
      <c r="L29" s="12" t="s">
        <v>169</v>
      </c>
      <c r="M29" s="12" t="s">
        <v>2390</v>
      </c>
    </row>
    <row r="30" customFormat="false" ht="15" hidden="false" customHeight="false" outlineLevel="0" collapsed="false">
      <c r="A30" s="12" t="s">
        <v>2306</v>
      </c>
      <c r="B30" s="12" t="s">
        <v>2391</v>
      </c>
      <c r="C30" s="12" t="s">
        <v>2392</v>
      </c>
      <c r="D30" s="12" t="s">
        <v>358</v>
      </c>
      <c r="E30" s="12" t="n">
        <v>2</v>
      </c>
      <c r="F30" s="12" t="s">
        <v>2309</v>
      </c>
      <c r="G30" s="12" t="s">
        <v>2310</v>
      </c>
      <c r="H30" s="17"/>
      <c r="I30" s="17"/>
      <c r="J30" s="13" t="n">
        <v>455679</v>
      </c>
      <c r="K30" s="12" t="n">
        <v>7.5</v>
      </c>
      <c r="L30" s="12" t="s">
        <v>128</v>
      </c>
      <c r="M30" s="12" t="s">
        <v>2393</v>
      </c>
    </row>
    <row r="31" customFormat="false" ht="15" hidden="false" customHeight="false" outlineLevel="0" collapsed="false">
      <c r="A31" s="12" t="s">
        <v>2306</v>
      </c>
      <c r="B31" s="12" t="s">
        <v>2394</v>
      </c>
      <c r="C31" s="12" t="s">
        <v>2395</v>
      </c>
      <c r="D31" s="12" t="s">
        <v>111</v>
      </c>
      <c r="E31" s="12" t="n">
        <v>2</v>
      </c>
      <c r="F31" s="12" t="s">
        <v>2314</v>
      </c>
      <c r="G31" s="12" t="s">
        <v>2310</v>
      </c>
      <c r="H31" s="17"/>
      <c r="I31" s="17"/>
      <c r="J31" s="13" t="n">
        <v>453799</v>
      </c>
      <c r="K31" s="12" t="n">
        <v>7.6</v>
      </c>
      <c r="L31" s="12" t="s">
        <v>169</v>
      </c>
      <c r="M31" s="12" t="s">
        <v>2396</v>
      </c>
    </row>
    <row r="32" customFormat="false" ht="15" hidden="false" customHeight="false" outlineLevel="0" collapsed="false">
      <c r="A32" s="12" t="s">
        <v>2306</v>
      </c>
      <c r="B32" s="12" t="s">
        <v>2397</v>
      </c>
      <c r="C32" s="12" t="s">
        <v>2398</v>
      </c>
      <c r="D32" s="12" t="s">
        <v>202</v>
      </c>
      <c r="E32" s="12" t="n">
        <v>2</v>
      </c>
      <c r="F32" s="12" t="s">
        <v>2309</v>
      </c>
      <c r="G32" s="12" t="s">
        <v>2310</v>
      </c>
      <c r="H32" s="17"/>
      <c r="I32" s="17"/>
      <c r="J32" s="13" t="n">
        <v>444204</v>
      </c>
      <c r="K32" s="12" t="n">
        <v>7.8</v>
      </c>
      <c r="L32" s="12" t="s">
        <v>128</v>
      </c>
      <c r="M32" s="12" t="s">
        <v>2399</v>
      </c>
    </row>
    <row r="33" customFormat="false" ht="15" hidden="false" customHeight="false" outlineLevel="0" collapsed="false">
      <c r="A33" s="12" t="s">
        <v>2306</v>
      </c>
      <c r="B33" s="12" t="s">
        <v>2400</v>
      </c>
      <c r="C33" s="12" t="s">
        <v>2401</v>
      </c>
      <c r="D33" s="12" t="s">
        <v>183</v>
      </c>
      <c r="E33" s="12" t="n">
        <v>2</v>
      </c>
      <c r="F33" s="12" t="s">
        <v>2387</v>
      </c>
      <c r="G33" s="12" t="s">
        <v>2310</v>
      </c>
      <c r="H33" s="13" t="n">
        <v>6685086</v>
      </c>
      <c r="I33" s="17"/>
      <c r="J33" s="13" t="n">
        <v>360260</v>
      </c>
      <c r="K33" s="12" t="n">
        <v>4.2</v>
      </c>
      <c r="L33" s="12" t="s">
        <v>92</v>
      </c>
      <c r="M33" s="12" t="s">
        <v>2402</v>
      </c>
    </row>
    <row r="34" customFormat="false" ht="15" hidden="false" customHeight="false" outlineLevel="0" collapsed="false">
      <c r="A34" s="12" t="s">
        <v>2306</v>
      </c>
      <c r="B34" s="12" t="s">
        <v>2403</v>
      </c>
      <c r="D34" s="12" t="s">
        <v>505</v>
      </c>
      <c r="E34" s="12" t="n">
        <v>1</v>
      </c>
      <c r="F34" s="12" t="s">
        <v>2404</v>
      </c>
      <c r="G34" s="12" t="s">
        <v>2405</v>
      </c>
      <c r="H34" s="13" t="n">
        <v>4659971</v>
      </c>
      <c r="I34" s="17"/>
      <c r="J34" s="17"/>
      <c r="L34" s="12" t="s">
        <v>92</v>
      </c>
    </row>
    <row r="35" customFormat="false" ht="15" hidden="false" customHeight="false" outlineLevel="0" collapsed="false">
      <c r="A35" s="12" t="s">
        <v>2306</v>
      </c>
      <c r="B35" s="12" t="s">
        <v>2406</v>
      </c>
      <c r="C35" s="12" t="s">
        <v>2407</v>
      </c>
      <c r="D35" s="12" t="s">
        <v>189</v>
      </c>
      <c r="E35" s="12" t="n">
        <v>2</v>
      </c>
      <c r="F35" s="12" t="s">
        <v>2314</v>
      </c>
      <c r="G35" s="12" t="s">
        <v>2310</v>
      </c>
      <c r="H35" s="17"/>
      <c r="I35" s="17"/>
      <c r="J35" s="13" t="n">
        <v>426354</v>
      </c>
      <c r="K35" s="12" t="n">
        <v>7.4</v>
      </c>
      <c r="L35" s="12" t="s">
        <v>169</v>
      </c>
      <c r="M35" s="12" t="s">
        <v>2408</v>
      </c>
    </row>
    <row r="36" customFormat="false" ht="15" hidden="false" customHeight="false" outlineLevel="0" collapsed="false">
      <c r="A36" s="12" t="s">
        <v>2306</v>
      </c>
      <c r="B36" s="12" t="s">
        <v>2409</v>
      </c>
      <c r="C36" s="12" t="s">
        <v>2410</v>
      </c>
      <c r="D36" s="12" t="s">
        <v>175</v>
      </c>
      <c r="E36" s="12" t="n">
        <v>2</v>
      </c>
      <c r="F36" s="12" t="s">
        <v>2314</v>
      </c>
      <c r="G36" s="12" t="s">
        <v>2310</v>
      </c>
      <c r="H36" s="17"/>
      <c r="I36" s="17"/>
      <c r="J36" s="13" t="n">
        <v>425183</v>
      </c>
      <c r="K36" s="12" t="n">
        <v>7.7</v>
      </c>
      <c r="L36" s="12" t="s">
        <v>169</v>
      </c>
      <c r="M36" s="12" t="s">
        <v>2411</v>
      </c>
    </row>
    <row r="37" customFormat="false" ht="15" hidden="false" customHeight="false" outlineLevel="0" collapsed="false">
      <c r="A37" s="12" t="s">
        <v>2306</v>
      </c>
      <c r="B37" s="12" t="s">
        <v>2412</v>
      </c>
      <c r="D37" s="12" t="s">
        <v>158</v>
      </c>
      <c r="E37" s="12" t="n">
        <v>1</v>
      </c>
      <c r="F37" s="12" t="s">
        <v>2404</v>
      </c>
      <c r="G37" s="12" t="s">
        <v>2405</v>
      </c>
      <c r="H37" s="13" t="n">
        <v>4610275</v>
      </c>
      <c r="I37" s="17"/>
      <c r="J37" s="17"/>
      <c r="L37" s="12" t="s">
        <v>92</v>
      </c>
    </row>
    <row r="38" customFormat="false" ht="15" hidden="false" customHeight="false" outlineLevel="0" collapsed="false">
      <c r="A38" s="12" t="s">
        <v>2306</v>
      </c>
      <c r="B38" s="12" t="s">
        <v>2413</v>
      </c>
      <c r="C38" s="12" t="s">
        <v>2414</v>
      </c>
      <c r="D38" s="12" t="s">
        <v>111</v>
      </c>
      <c r="E38" s="12" t="n">
        <v>2</v>
      </c>
      <c r="F38" s="12" t="s">
        <v>2314</v>
      </c>
      <c r="G38" s="12" t="s">
        <v>2310</v>
      </c>
      <c r="H38" s="17"/>
      <c r="I38" s="17"/>
      <c r="J38" s="13" t="n">
        <v>415807</v>
      </c>
      <c r="K38" s="12" t="n">
        <v>6.9</v>
      </c>
      <c r="L38" s="12" t="s">
        <v>169</v>
      </c>
      <c r="M38" s="12" t="s">
        <v>2415</v>
      </c>
    </row>
    <row r="39" customFormat="false" ht="15" hidden="false" customHeight="false" outlineLevel="0" collapsed="false">
      <c r="A39" s="12" t="s">
        <v>2306</v>
      </c>
      <c r="B39" s="12" t="s">
        <v>2416</v>
      </c>
      <c r="C39" s="12" t="s">
        <v>2417</v>
      </c>
      <c r="D39" s="12" t="s">
        <v>189</v>
      </c>
      <c r="E39" s="12" t="n">
        <v>2</v>
      </c>
      <c r="F39" s="12" t="s">
        <v>2314</v>
      </c>
      <c r="G39" s="12" t="s">
        <v>2310</v>
      </c>
      <c r="H39" s="17"/>
      <c r="I39" s="17"/>
      <c r="J39" s="13" t="n">
        <v>407531</v>
      </c>
      <c r="K39" s="12" t="n">
        <v>8.4</v>
      </c>
      <c r="L39" s="12" t="s">
        <v>169</v>
      </c>
      <c r="M39" s="12" t="s">
        <v>2418</v>
      </c>
    </row>
    <row r="40" customFormat="false" ht="15" hidden="false" customHeight="false" outlineLevel="0" collapsed="false">
      <c r="A40" s="12" t="s">
        <v>2306</v>
      </c>
      <c r="B40" s="12" t="s">
        <v>2419</v>
      </c>
      <c r="C40" s="12" t="s">
        <v>2420</v>
      </c>
      <c r="D40" s="12" t="s">
        <v>207</v>
      </c>
      <c r="E40" s="12" t="n">
        <v>2</v>
      </c>
      <c r="F40" s="12" t="s">
        <v>2314</v>
      </c>
      <c r="G40" s="12" t="s">
        <v>2310</v>
      </c>
      <c r="H40" s="17"/>
      <c r="I40" s="17"/>
      <c r="J40" s="13" t="n">
        <v>407000</v>
      </c>
      <c r="K40" s="12" t="n">
        <v>6.7</v>
      </c>
      <c r="L40" s="12" t="s">
        <v>169</v>
      </c>
      <c r="M40" s="12" t="s">
        <v>2421</v>
      </c>
    </row>
    <row r="41" customFormat="false" ht="15" hidden="false" customHeight="false" outlineLevel="0" collapsed="false">
      <c r="A41" s="12" t="s">
        <v>2306</v>
      </c>
      <c r="B41" s="12" t="s">
        <v>2422</v>
      </c>
      <c r="C41" s="12" t="s">
        <v>2423</v>
      </c>
      <c r="D41" s="12" t="s">
        <v>101</v>
      </c>
      <c r="E41" s="12" t="n">
        <v>2</v>
      </c>
      <c r="F41" s="12" t="s">
        <v>2314</v>
      </c>
      <c r="G41" s="12" t="s">
        <v>2310</v>
      </c>
      <c r="H41" s="17"/>
      <c r="I41" s="17"/>
      <c r="J41" s="13" t="n">
        <v>406804</v>
      </c>
      <c r="K41" s="12" t="n">
        <v>7.4</v>
      </c>
      <c r="L41" s="12" t="s">
        <v>169</v>
      </c>
      <c r="M41" s="12" t="s">
        <v>2424</v>
      </c>
    </row>
    <row r="42" customFormat="false" ht="15" hidden="false" customHeight="false" outlineLevel="0" collapsed="false">
      <c r="A42" s="12" t="s">
        <v>2306</v>
      </c>
      <c r="B42" s="12" t="s">
        <v>2425</v>
      </c>
      <c r="C42" s="12" t="s">
        <v>2426</v>
      </c>
      <c r="D42" s="12" t="s">
        <v>90</v>
      </c>
      <c r="E42" s="12" t="n">
        <v>2</v>
      </c>
      <c r="F42" s="12" t="s">
        <v>2314</v>
      </c>
      <c r="G42" s="12" t="s">
        <v>2310</v>
      </c>
      <c r="H42" s="17"/>
      <c r="I42" s="17"/>
      <c r="J42" s="13" t="n">
        <v>401523</v>
      </c>
      <c r="K42" s="12" t="n">
        <v>6.8</v>
      </c>
      <c r="L42" s="12" t="s">
        <v>169</v>
      </c>
      <c r="M42" s="12" t="s">
        <v>2427</v>
      </c>
    </row>
    <row r="43" customFormat="false" ht="15" hidden="false" customHeight="false" outlineLevel="0" collapsed="false">
      <c r="A43" s="12" t="s">
        <v>2306</v>
      </c>
      <c r="B43" s="12" t="s">
        <v>2428</v>
      </c>
      <c r="D43" s="12" t="s">
        <v>214</v>
      </c>
      <c r="E43" s="12" t="n">
        <v>1</v>
      </c>
      <c r="F43" s="12" t="s">
        <v>2404</v>
      </c>
      <c r="G43" s="12" t="s">
        <v>2405</v>
      </c>
      <c r="H43" s="13" t="n">
        <v>4492365</v>
      </c>
      <c r="I43" s="17"/>
      <c r="J43" s="17"/>
      <c r="L43" s="12" t="s">
        <v>92</v>
      </c>
    </row>
    <row r="44" customFormat="false" ht="15" hidden="false" customHeight="false" outlineLevel="0" collapsed="false">
      <c r="A44" s="12" t="s">
        <v>2306</v>
      </c>
      <c r="B44" s="12" t="s">
        <v>2429</v>
      </c>
      <c r="C44" s="12" t="s">
        <v>2430</v>
      </c>
      <c r="D44" s="12" t="s">
        <v>111</v>
      </c>
      <c r="E44" s="12" t="n">
        <v>2</v>
      </c>
      <c r="F44" s="12" t="s">
        <v>2314</v>
      </c>
      <c r="G44" s="12" t="s">
        <v>2310</v>
      </c>
      <c r="H44" s="17"/>
      <c r="I44" s="17"/>
      <c r="J44" s="13" t="n">
        <v>399431</v>
      </c>
      <c r="K44" s="12" t="n">
        <v>6.8</v>
      </c>
      <c r="L44" s="12" t="s">
        <v>169</v>
      </c>
      <c r="M44" s="12" t="s">
        <v>2431</v>
      </c>
    </row>
    <row r="45" customFormat="false" ht="15" hidden="false" customHeight="false" outlineLevel="0" collapsed="false">
      <c r="A45" s="12" t="s">
        <v>2306</v>
      </c>
      <c r="B45" s="12" t="s">
        <v>2432</v>
      </c>
      <c r="C45" s="12" t="s">
        <v>2433</v>
      </c>
      <c r="D45" s="12" t="s">
        <v>189</v>
      </c>
      <c r="E45" s="12" t="n">
        <v>2</v>
      </c>
      <c r="F45" s="12" t="s">
        <v>2314</v>
      </c>
      <c r="G45" s="12" t="s">
        <v>2310</v>
      </c>
      <c r="H45" s="17"/>
      <c r="I45" s="17"/>
      <c r="J45" s="13" t="n">
        <v>390493</v>
      </c>
      <c r="K45" s="12" t="n">
        <v>7.2</v>
      </c>
      <c r="L45" s="12" t="s">
        <v>169</v>
      </c>
      <c r="M45" s="12" t="s">
        <v>2434</v>
      </c>
    </row>
    <row r="46" customFormat="false" ht="15" hidden="false" customHeight="false" outlineLevel="0" collapsed="false">
      <c r="A46" s="12" t="s">
        <v>2306</v>
      </c>
      <c r="B46" s="12" t="s">
        <v>2435</v>
      </c>
      <c r="C46" s="12" t="s">
        <v>2435</v>
      </c>
      <c r="D46" s="12" t="s">
        <v>214</v>
      </c>
      <c r="E46" s="12" t="n">
        <v>2</v>
      </c>
      <c r="F46" s="12" t="s">
        <v>2309</v>
      </c>
      <c r="G46" s="12" t="s">
        <v>2310</v>
      </c>
      <c r="H46" s="17"/>
      <c r="I46" s="17"/>
      <c r="J46" s="13" t="n">
        <v>384355</v>
      </c>
      <c r="K46" s="12" t="n">
        <v>7</v>
      </c>
      <c r="L46" s="12" t="s">
        <v>128</v>
      </c>
      <c r="M46" s="12" t="s">
        <v>2436</v>
      </c>
    </row>
    <row r="47" customFormat="false" ht="15" hidden="false" customHeight="false" outlineLevel="0" collapsed="false">
      <c r="A47" s="12" t="s">
        <v>2306</v>
      </c>
      <c r="B47" s="12" t="s">
        <v>2437</v>
      </c>
      <c r="C47" s="12" t="s">
        <v>2438</v>
      </c>
      <c r="D47" s="12" t="s">
        <v>207</v>
      </c>
      <c r="E47" s="12" t="n">
        <v>2</v>
      </c>
      <c r="F47" s="12" t="s">
        <v>2314</v>
      </c>
      <c r="G47" s="12" t="s">
        <v>2310</v>
      </c>
      <c r="H47" s="17"/>
      <c r="I47" s="17"/>
      <c r="J47" s="13" t="n">
        <v>379802</v>
      </c>
      <c r="K47" s="12" t="n">
        <v>6.7</v>
      </c>
      <c r="L47" s="12" t="s">
        <v>169</v>
      </c>
      <c r="M47" s="12" t="s">
        <v>2439</v>
      </c>
    </row>
    <row r="48" customFormat="false" ht="15" hidden="false" customHeight="false" outlineLevel="0" collapsed="false">
      <c r="A48" s="12" t="s">
        <v>2306</v>
      </c>
      <c r="B48" s="12" t="s">
        <v>2440</v>
      </c>
      <c r="C48" s="12" t="s">
        <v>2441</v>
      </c>
      <c r="D48" s="12" t="s">
        <v>202</v>
      </c>
      <c r="E48" s="12" t="n">
        <v>2</v>
      </c>
      <c r="F48" s="12" t="s">
        <v>2387</v>
      </c>
      <c r="G48" s="12" t="s">
        <v>2310</v>
      </c>
      <c r="H48" s="13" t="n">
        <v>3955379</v>
      </c>
      <c r="I48" s="17"/>
      <c r="J48" s="13" t="n">
        <v>531948</v>
      </c>
      <c r="K48" s="12" t="n">
        <v>6.7</v>
      </c>
      <c r="L48" s="12" t="s">
        <v>92</v>
      </c>
      <c r="M48" s="12" t="s">
        <v>2442</v>
      </c>
    </row>
    <row r="49" customFormat="false" ht="15" hidden="false" customHeight="false" outlineLevel="0" collapsed="false">
      <c r="A49" s="12" t="s">
        <v>2306</v>
      </c>
      <c r="B49" s="12" t="s">
        <v>2443</v>
      </c>
      <c r="C49" s="12" t="s">
        <v>2444</v>
      </c>
      <c r="D49" s="12" t="s">
        <v>90</v>
      </c>
      <c r="E49" s="12" t="n">
        <v>2</v>
      </c>
      <c r="F49" s="12" t="s">
        <v>2314</v>
      </c>
      <c r="G49" s="12" t="s">
        <v>2310</v>
      </c>
      <c r="H49" s="17"/>
      <c r="I49" s="17"/>
      <c r="J49" s="13" t="n">
        <v>376250</v>
      </c>
      <c r="K49" s="12" t="n">
        <v>7.9</v>
      </c>
      <c r="L49" s="12" t="s">
        <v>169</v>
      </c>
      <c r="M49" s="12" t="s">
        <v>2445</v>
      </c>
    </row>
    <row r="50" customFormat="false" ht="15" hidden="false" customHeight="false" outlineLevel="0" collapsed="false">
      <c r="A50" s="12" t="s">
        <v>2306</v>
      </c>
      <c r="B50" s="12" t="s">
        <v>2446</v>
      </c>
      <c r="C50" s="12" t="s">
        <v>2447</v>
      </c>
      <c r="D50" s="12" t="s">
        <v>207</v>
      </c>
      <c r="E50" s="12" t="n">
        <v>2</v>
      </c>
      <c r="F50" s="12" t="s">
        <v>2314</v>
      </c>
      <c r="G50" s="12" t="s">
        <v>2310</v>
      </c>
      <c r="H50" s="17"/>
      <c r="I50" s="17"/>
      <c r="J50" s="13" t="n">
        <v>370116</v>
      </c>
      <c r="K50" s="12" t="n">
        <v>7.4</v>
      </c>
      <c r="L50" s="12" t="s">
        <v>169</v>
      </c>
      <c r="M50" s="12" t="s">
        <v>2448</v>
      </c>
    </row>
    <row r="51" customFormat="false" ht="15" hidden="false" customHeight="false" outlineLevel="0" collapsed="false">
      <c r="A51" s="12" t="s">
        <v>2306</v>
      </c>
      <c r="B51" s="12" t="s">
        <v>2449</v>
      </c>
      <c r="C51" s="12" t="s">
        <v>2450</v>
      </c>
      <c r="D51" s="12" t="s">
        <v>207</v>
      </c>
      <c r="E51" s="12" t="n">
        <v>2</v>
      </c>
      <c r="F51" s="12" t="s">
        <v>2314</v>
      </c>
      <c r="G51" s="12" t="s">
        <v>2310</v>
      </c>
      <c r="H51" s="17"/>
      <c r="I51" s="17"/>
      <c r="J51" s="13" t="n">
        <v>365577</v>
      </c>
      <c r="K51" s="12" t="n">
        <v>7.8</v>
      </c>
      <c r="L51" s="12" t="s">
        <v>169</v>
      </c>
      <c r="M51" s="12" t="s">
        <v>2451</v>
      </c>
    </row>
    <row r="52" customFormat="false" ht="15" hidden="false" customHeight="false" outlineLevel="0" collapsed="false">
      <c r="A52" s="12" t="s">
        <v>2306</v>
      </c>
      <c r="B52" s="12" t="s">
        <v>2452</v>
      </c>
      <c r="C52" s="12" t="s">
        <v>2453</v>
      </c>
      <c r="D52" s="12" t="s">
        <v>189</v>
      </c>
      <c r="E52" s="12" t="n">
        <v>2</v>
      </c>
      <c r="F52" s="12" t="s">
        <v>2314</v>
      </c>
      <c r="G52" s="12" t="s">
        <v>2310</v>
      </c>
      <c r="H52" s="17"/>
      <c r="I52" s="17"/>
      <c r="J52" s="13" t="n">
        <v>364653</v>
      </c>
      <c r="K52" s="12" t="n">
        <v>7.8</v>
      </c>
      <c r="L52" s="12" t="s">
        <v>169</v>
      </c>
      <c r="M52" s="12" t="s">
        <v>2454</v>
      </c>
    </row>
    <row r="53" customFormat="false" ht="15" hidden="false" customHeight="false" outlineLevel="0" collapsed="false">
      <c r="A53" s="12" t="s">
        <v>2306</v>
      </c>
      <c r="B53" s="12" t="s">
        <v>2455</v>
      </c>
      <c r="C53" s="12" t="s">
        <v>2456</v>
      </c>
      <c r="D53" s="12" t="s">
        <v>90</v>
      </c>
      <c r="E53" s="12" t="n">
        <v>2</v>
      </c>
      <c r="F53" s="12" t="s">
        <v>2314</v>
      </c>
      <c r="G53" s="12" t="s">
        <v>2310</v>
      </c>
      <c r="H53" s="17"/>
      <c r="I53" s="17"/>
      <c r="J53" s="13" t="n">
        <v>363244</v>
      </c>
      <c r="K53" s="12" t="n">
        <v>7.4</v>
      </c>
      <c r="L53" s="12" t="s">
        <v>169</v>
      </c>
      <c r="M53" s="12" t="s">
        <v>2457</v>
      </c>
    </row>
    <row r="54" customFormat="false" ht="15" hidden="false" customHeight="false" outlineLevel="0" collapsed="false">
      <c r="A54" s="12" t="s">
        <v>2306</v>
      </c>
      <c r="B54" s="12" t="s">
        <v>2458</v>
      </c>
      <c r="C54" s="12" t="s">
        <v>2459</v>
      </c>
      <c r="D54" s="12" t="s">
        <v>183</v>
      </c>
      <c r="E54" s="12" t="n">
        <v>2</v>
      </c>
      <c r="F54" s="12" t="s">
        <v>2314</v>
      </c>
      <c r="G54" s="12" t="s">
        <v>2310</v>
      </c>
      <c r="H54" s="17"/>
      <c r="I54" s="17"/>
      <c r="J54" s="13" t="n">
        <v>361846</v>
      </c>
      <c r="K54" s="12" t="n">
        <v>7</v>
      </c>
      <c r="L54" s="12" t="s">
        <v>169</v>
      </c>
      <c r="M54" s="12" t="s">
        <v>2460</v>
      </c>
    </row>
    <row r="55" customFormat="false" ht="15" hidden="false" customHeight="false" outlineLevel="0" collapsed="false">
      <c r="A55" s="12" t="s">
        <v>2306</v>
      </c>
      <c r="B55" s="12" t="s">
        <v>2461</v>
      </c>
      <c r="D55" s="12" t="s">
        <v>214</v>
      </c>
      <c r="E55" s="12" t="n">
        <v>2</v>
      </c>
      <c r="F55" s="12" t="s">
        <v>2387</v>
      </c>
      <c r="G55" s="12" t="s">
        <v>2310</v>
      </c>
      <c r="H55" s="13" t="n">
        <v>6065545</v>
      </c>
      <c r="I55" s="17"/>
      <c r="J55" s="13" t="n">
        <v>278512</v>
      </c>
      <c r="K55" s="12" t="n">
        <v>6.9</v>
      </c>
      <c r="L55" s="12" t="s">
        <v>92</v>
      </c>
      <c r="M55" s="12" t="s">
        <v>2462</v>
      </c>
    </row>
    <row r="56" customFormat="false" ht="15" hidden="false" customHeight="false" outlineLevel="0" collapsed="false">
      <c r="A56" s="12" t="s">
        <v>2306</v>
      </c>
      <c r="B56" s="12" t="s">
        <v>2463</v>
      </c>
      <c r="C56" s="12" t="s">
        <v>2464</v>
      </c>
      <c r="D56" s="12" t="s">
        <v>183</v>
      </c>
      <c r="E56" s="12" t="n">
        <v>2</v>
      </c>
      <c r="F56" s="12" t="s">
        <v>2387</v>
      </c>
      <c r="G56" s="12" t="s">
        <v>2310</v>
      </c>
      <c r="H56" s="13" t="n">
        <v>2927606</v>
      </c>
      <c r="I56" s="17"/>
      <c r="J56" s="13" t="n">
        <v>797542</v>
      </c>
      <c r="K56" s="12" t="n">
        <v>7.2</v>
      </c>
      <c r="L56" s="12" t="s">
        <v>92</v>
      </c>
      <c r="M56" s="12" t="s">
        <v>2465</v>
      </c>
    </row>
    <row r="57" customFormat="false" ht="15" hidden="false" customHeight="false" outlineLevel="0" collapsed="false">
      <c r="A57" s="12" t="s">
        <v>2306</v>
      </c>
      <c r="B57" s="12" t="s">
        <v>2466</v>
      </c>
      <c r="C57" s="12" t="s">
        <v>2467</v>
      </c>
      <c r="D57" s="12" t="s">
        <v>189</v>
      </c>
      <c r="E57" s="12" t="n">
        <v>2</v>
      </c>
      <c r="F57" s="12" t="s">
        <v>2314</v>
      </c>
      <c r="G57" s="12" t="s">
        <v>2310</v>
      </c>
      <c r="H57" s="17"/>
      <c r="I57" s="17"/>
      <c r="J57" s="13" t="n">
        <v>356785</v>
      </c>
      <c r="K57" s="12" t="n">
        <v>7.4</v>
      </c>
      <c r="L57" s="12" t="s">
        <v>169</v>
      </c>
      <c r="M57" s="12" t="s">
        <v>2468</v>
      </c>
    </row>
    <row r="58" customFormat="false" ht="15" hidden="false" customHeight="false" outlineLevel="0" collapsed="false">
      <c r="A58" s="12" t="s">
        <v>2306</v>
      </c>
      <c r="B58" s="12" t="s">
        <v>2469</v>
      </c>
      <c r="C58" s="12" t="s">
        <v>2469</v>
      </c>
      <c r="D58" s="12" t="s">
        <v>207</v>
      </c>
      <c r="E58" s="12" t="n">
        <v>2</v>
      </c>
      <c r="F58" s="12" t="s">
        <v>2314</v>
      </c>
      <c r="G58" s="12" t="s">
        <v>2310</v>
      </c>
      <c r="H58" s="17"/>
      <c r="I58" s="17"/>
      <c r="J58" s="13" t="n">
        <v>350039</v>
      </c>
      <c r="K58" s="12" t="n">
        <v>6.4</v>
      </c>
      <c r="L58" s="12" t="s">
        <v>169</v>
      </c>
      <c r="M58" s="12" t="s">
        <v>2470</v>
      </c>
    </row>
    <row r="59" customFormat="false" ht="15" hidden="false" customHeight="false" outlineLevel="0" collapsed="false">
      <c r="A59" s="12" t="s">
        <v>2306</v>
      </c>
      <c r="B59" s="12" t="s">
        <v>2471</v>
      </c>
      <c r="C59" s="12" t="s">
        <v>2472</v>
      </c>
      <c r="D59" s="12" t="s">
        <v>134</v>
      </c>
      <c r="E59" s="12" t="n">
        <v>2</v>
      </c>
      <c r="F59" s="12" t="s">
        <v>2387</v>
      </c>
      <c r="G59" s="12" t="s">
        <v>2310</v>
      </c>
      <c r="H59" s="13" t="n">
        <v>3199434</v>
      </c>
      <c r="I59" s="17"/>
      <c r="J59" s="13" t="n">
        <v>577422</v>
      </c>
      <c r="K59" s="12" t="n">
        <v>6.5</v>
      </c>
      <c r="L59" s="12" t="s">
        <v>92</v>
      </c>
      <c r="M59" s="12" t="s">
        <v>2473</v>
      </c>
    </row>
    <row r="60" customFormat="false" ht="15" hidden="false" customHeight="false" outlineLevel="0" collapsed="false">
      <c r="A60" s="12" t="s">
        <v>2306</v>
      </c>
      <c r="B60" s="12" t="s">
        <v>2474</v>
      </c>
      <c r="C60" s="12" t="s">
        <v>2475</v>
      </c>
      <c r="D60" s="12" t="s">
        <v>158</v>
      </c>
      <c r="E60" s="12" t="n">
        <v>2</v>
      </c>
      <c r="F60" s="12" t="s">
        <v>2309</v>
      </c>
      <c r="G60" s="12" t="s">
        <v>2310</v>
      </c>
      <c r="H60" s="17"/>
      <c r="I60" s="17"/>
      <c r="J60" s="13" t="n">
        <v>341921</v>
      </c>
      <c r="K60" s="12" t="n">
        <v>7.4</v>
      </c>
      <c r="L60" s="12" t="s">
        <v>128</v>
      </c>
      <c r="M60" s="12" t="s">
        <v>2476</v>
      </c>
    </row>
    <row r="61" customFormat="false" ht="15" hidden="false" customHeight="false" outlineLevel="0" collapsed="false">
      <c r="A61" s="12" t="s">
        <v>2306</v>
      </c>
      <c r="B61" s="12" t="s">
        <v>2477</v>
      </c>
      <c r="C61" s="12" t="s">
        <v>2478</v>
      </c>
      <c r="D61" s="12" t="s">
        <v>189</v>
      </c>
      <c r="E61" s="12" t="n">
        <v>2</v>
      </c>
      <c r="F61" s="12" t="s">
        <v>2387</v>
      </c>
      <c r="G61" s="12" t="s">
        <v>2310</v>
      </c>
      <c r="H61" s="13" t="n">
        <v>2645471</v>
      </c>
      <c r="I61" s="17"/>
      <c r="J61" s="13" t="n">
        <v>964889</v>
      </c>
      <c r="K61" s="12" t="n">
        <v>8</v>
      </c>
      <c r="L61" s="12" t="s">
        <v>92</v>
      </c>
      <c r="M61" s="12" t="s">
        <v>2479</v>
      </c>
    </row>
    <row r="62" customFormat="false" ht="15" hidden="false" customHeight="false" outlineLevel="0" collapsed="false">
      <c r="A62" s="12" t="s">
        <v>2306</v>
      </c>
      <c r="B62" s="12" t="s">
        <v>2480</v>
      </c>
      <c r="C62" s="12" t="s">
        <v>2480</v>
      </c>
      <c r="D62" s="12" t="s">
        <v>505</v>
      </c>
      <c r="E62" s="12" t="n">
        <v>2</v>
      </c>
      <c r="F62" s="12" t="s">
        <v>2314</v>
      </c>
      <c r="G62" s="12" t="s">
        <v>2310</v>
      </c>
      <c r="H62" s="17"/>
      <c r="I62" s="17"/>
      <c r="J62" s="13" t="n">
        <v>341794</v>
      </c>
      <c r="K62" s="12" t="n">
        <v>7.4</v>
      </c>
      <c r="L62" s="12" t="s">
        <v>169</v>
      </c>
      <c r="M62" s="12" t="s">
        <v>2481</v>
      </c>
    </row>
    <row r="63" customFormat="false" ht="15" hidden="false" customHeight="false" outlineLevel="0" collapsed="false">
      <c r="A63" s="12" t="s">
        <v>2306</v>
      </c>
      <c r="B63" s="12" t="s">
        <v>2482</v>
      </c>
      <c r="C63" s="12" t="s">
        <v>2483</v>
      </c>
      <c r="D63" s="12" t="s">
        <v>140</v>
      </c>
      <c r="E63" s="12" t="n">
        <v>2</v>
      </c>
      <c r="F63" s="12" t="s">
        <v>2387</v>
      </c>
      <c r="G63" s="12" t="s">
        <v>2310</v>
      </c>
      <c r="H63" s="13" t="n">
        <v>3458783</v>
      </c>
      <c r="I63" s="17"/>
      <c r="J63" s="13" t="n">
        <v>486780</v>
      </c>
      <c r="K63" s="12" t="n">
        <v>7.1</v>
      </c>
      <c r="L63" s="12" t="s">
        <v>92</v>
      </c>
      <c r="M63" s="12" t="s">
        <v>2484</v>
      </c>
    </row>
    <row r="64" customFormat="false" ht="15" hidden="false" customHeight="false" outlineLevel="0" collapsed="false">
      <c r="A64" s="12" t="s">
        <v>2306</v>
      </c>
      <c r="B64" s="12" t="s">
        <v>2485</v>
      </c>
      <c r="C64" s="12" t="s">
        <v>2486</v>
      </c>
      <c r="D64" s="12" t="s">
        <v>183</v>
      </c>
      <c r="E64" s="12" t="n">
        <v>2</v>
      </c>
      <c r="F64" s="12" t="s">
        <v>2314</v>
      </c>
      <c r="G64" s="12" t="s">
        <v>2310</v>
      </c>
      <c r="H64" s="17"/>
      <c r="I64" s="17"/>
      <c r="J64" s="13" t="n">
        <v>339004</v>
      </c>
      <c r="K64" s="12" t="n">
        <v>7.1</v>
      </c>
      <c r="L64" s="12" t="s">
        <v>169</v>
      </c>
      <c r="M64" s="12" t="s">
        <v>2487</v>
      </c>
    </row>
    <row r="65" customFormat="false" ht="15" hidden="false" customHeight="false" outlineLevel="0" collapsed="false">
      <c r="A65" s="12" t="s">
        <v>2306</v>
      </c>
      <c r="B65" s="12" t="s">
        <v>2488</v>
      </c>
      <c r="C65" s="12" t="s">
        <v>2489</v>
      </c>
      <c r="D65" s="12" t="s">
        <v>202</v>
      </c>
      <c r="E65" s="12" t="n">
        <v>2</v>
      </c>
      <c r="F65" s="12" t="s">
        <v>2387</v>
      </c>
      <c r="G65" s="12" t="s">
        <v>2310</v>
      </c>
      <c r="H65" s="13" t="n">
        <v>3334365</v>
      </c>
      <c r="I65" s="17"/>
      <c r="J65" s="13" t="n">
        <v>506794</v>
      </c>
      <c r="K65" s="12" t="n">
        <v>7.7</v>
      </c>
      <c r="L65" s="12" t="s">
        <v>92</v>
      </c>
      <c r="M65" s="12" t="s">
        <v>2490</v>
      </c>
    </row>
    <row r="66" customFormat="false" ht="15" hidden="false" customHeight="false" outlineLevel="0" collapsed="false">
      <c r="A66" s="12" t="s">
        <v>2306</v>
      </c>
      <c r="B66" s="12" t="s">
        <v>2491</v>
      </c>
      <c r="C66" s="12" t="s">
        <v>2492</v>
      </c>
      <c r="D66" s="12" t="s">
        <v>189</v>
      </c>
      <c r="E66" s="12" t="n">
        <v>2</v>
      </c>
      <c r="F66" s="12" t="s">
        <v>2314</v>
      </c>
      <c r="G66" s="12" t="s">
        <v>2310</v>
      </c>
      <c r="H66" s="17"/>
      <c r="I66" s="17"/>
      <c r="J66" s="13" t="n">
        <v>336355</v>
      </c>
      <c r="K66" s="12" t="n">
        <v>7.1</v>
      </c>
      <c r="L66" s="12" t="s">
        <v>169</v>
      </c>
      <c r="M66" s="12" t="s">
        <v>2493</v>
      </c>
    </row>
    <row r="67" customFormat="false" ht="15" hidden="false" customHeight="false" outlineLevel="0" collapsed="false">
      <c r="A67" s="12" t="s">
        <v>2306</v>
      </c>
      <c r="B67" s="12" t="s">
        <v>2494</v>
      </c>
      <c r="C67" s="12" t="s">
        <v>2495</v>
      </c>
      <c r="D67" s="12" t="s">
        <v>90</v>
      </c>
      <c r="E67" s="12" t="n">
        <v>2</v>
      </c>
      <c r="F67" s="12" t="s">
        <v>2314</v>
      </c>
      <c r="G67" s="12" t="s">
        <v>2310</v>
      </c>
      <c r="H67" s="17"/>
      <c r="I67" s="17"/>
      <c r="J67" s="13" t="n">
        <v>331283</v>
      </c>
      <c r="K67" s="12" t="n">
        <v>7</v>
      </c>
      <c r="L67" s="12" t="s">
        <v>169</v>
      </c>
      <c r="M67" s="12" t="s">
        <v>2496</v>
      </c>
    </row>
    <row r="68" customFormat="false" ht="15" hidden="false" customHeight="false" outlineLevel="0" collapsed="false">
      <c r="A68" s="12" t="s">
        <v>2306</v>
      </c>
      <c r="B68" s="12" t="s">
        <v>2497</v>
      </c>
      <c r="C68" s="12" t="s">
        <v>2498</v>
      </c>
      <c r="D68" s="12" t="s">
        <v>207</v>
      </c>
      <c r="E68" s="12" t="n">
        <v>2</v>
      </c>
      <c r="F68" s="12" t="s">
        <v>2314</v>
      </c>
      <c r="G68" s="12" t="s">
        <v>2310</v>
      </c>
      <c r="H68" s="17"/>
      <c r="I68" s="17"/>
      <c r="J68" s="13" t="n">
        <v>330978</v>
      </c>
      <c r="K68" s="12" t="n">
        <v>7.4</v>
      </c>
      <c r="L68" s="12" t="s">
        <v>169</v>
      </c>
      <c r="M68" s="12" t="s">
        <v>2499</v>
      </c>
    </row>
    <row r="69" customFormat="false" ht="15" hidden="false" customHeight="false" outlineLevel="0" collapsed="false">
      <c r="A69" s="12" t="s">
        <v>2306</v>
      </c>
      <c r="B69" s="12" t="s">
        <v>2500</v>
      </c>
      <c r="C69" s="12" t="s">
        <v>2501</v>
      </c>
      <c r="D69" s="12" t="s">
        <v>251</v>
      </c>
      <c r="E69" s="12" t="n">
        <v>2</v>
      </c>
      <c r="F69" s="12" t="s">
        <v>2314</v>
      </c>
      <c r="G69" s="12" t="s">
        <v>2310</v>
      </c>
      <c r="H69" s="17"/>
      <c r="I69" s="17"/>
      <c r="J69" s="13" t="n">
        <v>328827</v>
      </c>
      <c r="K69" s="12" t="n">
        <v>7.4</v>
      </c>
      <c r="L69" s="12" t="s">
        <v>169</v>
      </c>
      <c r="M69" s="12" t="s">
        <v>2502</v>
      </c>
    </row>
    <row r="70" customFormat="false" ht="15" hidden="false" customHeight="false" outlineLevel="0" collapsed="false">
      <c r="A70" s="12" t="s">
        <v>2306</v>
      </c>
      <c r="B70" s="12" t="s">
        <v>2503</v>
      </c>
      <c r="C70" s="12" t="s">
        <v>2504</v>
      </c>
      <c r="D70" s="12" t="s">
        <v>90</v>
      </c>
      <c r="E70" s="12" t="n">
        <v>2</v>
      </c>
      <c r="F70" s="12" t="s">
        <v>2314</v>
      </c>
      <c r="G70" s="12" t="s">
        <v>2310</v>
      </c>
      <c r="H70" s="17"/>
      <c r="I70" s="17"/>
      <c r="J70" s="13" t="n">
        <v>328064</v>
      </c>
      <c r="K70" s="12" t="n">
        <v>7.3</v>
      </c>
      <c r="L70" s="12" t="s">
        <v>169</v>
      </c>
      <c r="M70" s="12" t="s">
        <v>2505</v>
      </c>
    </row>
    <row r="71" customFormat="false" ht="15" hidden="false" customHeight="false" outlineLevel="0" collapsed="false">
      <c r="A71" s="12" t="s">
        <v>2306</v>
      </c>
      <c r="B71" s="12" t="s">
        <v>2506</v>
      </c>
      <c r="C71" s="12" t="s">
        <v>2507</v>
      </c>
      <c r="D71" s="12" t="s">
        <v>189</v>
      </c>
      <c r="E71" s="12" t="n">
        <v>2</v>
      </c>
      <c r="F71" s="12" t="s">
        <v>2387</v>
      </c>
      <c r="G71" s="12" t="s">
        <v>2310</v>
      </c>
      <c r="H71" s="13" t="n">
        <v>4272555</v>
      </c>
      <c r="I71" s="17"/>
      <c r="J71" s="13" t="n">
        <v>345261</v>
      </c>
      <c r="K71" s="12" t="n">
        <v>7.4</v>
      </c>
      <c r="L71" s="12" t="s">
        <v>92</v>
      </c>
      <c r="M71" s="12" t="s">
        <v>2508</v>
      </c>
    </row>
    <row r="72" customFormat="false" ht="15" hidden="false" customHeight="false" outlineLevel="0" collapsed="false">
      <c r="A72" s="12" t="s">
        <v>2306</v>
      </c>
      <c r="B72" s="12" t="s">
        <v>2509</v>
      </c>
      <c r="C72" s="12" t="s">
        <v>2510</v>
      </c>
      <c r="D72" s="12" t="s">
        <v>189</v>
      </c>
      <c r="E72" s="12" t="n">
        <v>2</v>
      </c>
      <c r="F72" s="12" t="s">
        <v>2314</v>
      </c>
      <c r="G72" s="12" t="s">
        <v>2310</v>
      </c>
      <c r="H72" s="17"/>
      <c r="I72" s="17"/>
      <c r="J72" s="13" t="n">
        <v>327215</v>
      </c>
      <c r="K72" s="12" t="n">
        <v>7.4</v>
      </c>
      <c r="L72" s="12" t="s">
        <v>169</v>
      </c>
      <c r="M72" s="12" t="s">
        <v>2511</v>
      </c>
    </row>
    <row r="73" customFormat="false" ht="15" hidden="false" customHeight="false" outlineLevel="0" collapsed="false">
      <c r="A73" s="12" t="s">
        <v>2306</v>
      </c>
      <c r="B73" s="12" t="s">
        <v>2512</v>
      </c>
      <c r="C73" s="12" t="s">
        <v>2513</v>
      </c>
      <c r="D73" s="12" t="s">
        <v>214</v>
      </c>
      <c r="E73" s="12" t="n">
        <v>2</v>
      </c>
      <c r="F73" s="12" t="s">
        <v>2387</v>
      </c>
      <c r="G73" s="12" t="s">
        <v>2310</v>
      </c>
      <c r="H73" s="13" t="n">
        <v>2692328</v>
      </c>
      <c r="I73" s="17"/>
      <c r="J73" s="13" t="n">
        <v>775537</v>
      </c>
      <c r="K73" s="12" t="n">
        <v>7.7</v>
      </c>
      <c r="L73" s="12" t="s">
        <v>92</v>
      </c>
      <c r="M73" s="12" t="s">
        <v>2514</v>
      </c>
    </row>
    <row r="74" customFormat="false" ht="15" hidden="false" customHeight="false" outlineLevel="0" collapsed="false">
      <c r="A74" s="12" t="s">
        <v>2306</v>
      </c>
      <c r="B74" s="12" t="s">
        <v>2515</v>
      </c>
      <c r="C74" s="12" t="s">
        <v>2516</v>
      </c>
      <c r="D74" s="12" t="s">
        <v>207</v>
      </c>
      <c r="E74" s="12" t="n">
        <v>2</v>
      </c>
      <c r="F74" s="12" t="s">
        <v>2314</v>
      </c>
      <c r="G74" s="12" t="s">
        <v>2310</v>
      </c>
      <c r="H74" s="17"/>
      <c r="I74" s="17"/>
      <c r="J74" s="13" t="n">
        <v>325781</v>
      </c>
      <c r="K74" s="12" t="n">
        <v>6.5</v>
      </c>
      <c r="L74" s="12" t="s">
        <v>169</v>
      </c>
      <c r="M74" s="12" t="s">
        <v>2517</v>
      </c>
    </row>
    <row r="75" customFormat="false" ht="15" hidden="false" customHeight="false" outlineLevel="0" collapsed="false">
      <c r="A75" s="12" t="s">
        <v>2306</v>
      </c>
      <c r="B75" s="12" t="s">
        <v>2518</v>
      </c>
      <c r="C75" s="12" t="s">
        <v>2519</v>
      </c>
      <c r="D75" s="12" t="s">
        <v>158</v>
      </c>
      <c r="E75" s="12" t="n">
        <v>2</v>
      </c>
      <c r="F75" s="12" t="s">
        <v>2387</v>
      </c>
      <c r="G75" s="12" t="s">
        <v>2310</v>
      </c>
      <c r="H75" s="13" t="n">
        <v>4887284</v>
      </c>
      <c r="I75" s="17"/>
      <c r="J75" s="13" t="n">
        <v>279128</v>
      </c>
      <c r="K75" s="12" t="n">
        <v>5.8</v>
      </c>
      <c r="L75" s="12" t="s">
        <v>92</v>
      </c>
      <c r="M75" s="12" t="s">
        <v>2520</v>
      </c>
    </row>
    <row r="76" customFormat="false" ht="15" hidden="false" customHeight="false" outlineLevel="0" collapsed="false">
      <c r="A76" s="12" t="s">
        <v>2306</v>
      </c>
      <c r="B76" s="12" t="s">
        <v>2521</v>
      </c>
      <c r="C76" s="12" t="s">
        <v>2522</v>
      </c>
      <c r="D76" s="12" t="s">
        <v>118</v>
      </c>
      <c r="E76" s="12" t="n">
        <v>2</v>
      </c>
      <c r="F76" s="12" t="s">
        <v>2314</v>
      </c>
      <c r="G76" s="12" t="s">
        <v>2310</v>
      </c>
      <c r="H76" s="17"/>
      <c r="I76" s="17"/>
      <c r="J76" s="13" t="n">
        <v>324385</v>
      </c>
      <c r="K76" s="12" t="n">
        <v>6.8</v>
      </c>
      <c r="L76" s="12" t="s">
        <v>169</v>
      </c>
      <c r="M76" s="12" t="s">
        <v>2523</v>
      </c>
    </row>
    <row r="77" customFormat="false" ht="15" hidden="false" customHeight="false" outlineLevel="0" collapsed="false">
      <c r="A77" s="12" t="s">
        <v>2306</v>
      </c>
      <c r="B77" s="12" t="s">
        <v>2524</v>
      </c>
      <c r="C77" s="12" t="s">
        <v>2525</v>
      </c>
      <c r="D77" s="12" t="s">
        <v>207</v>
      </c>
      <c r="E77" s="12" t="n">
        <v>2</v>
      </c>
      <c r="F77" s="12" t="s">
        <v>2314</v>
      </c>
      <c r="G77" s="12" t="s">
        <v>2310</v>
      </c>
      <c r="H77" s="17"/>
      <c r="I77" s="17"/>
      <c r="J77" s="13" t="n">
        <v>321603</v>
      </c>
      <c r="K77" s="12" t="n">
        <v>7.7</v>
      </c>
      <c r="L77" s="12" t="s">
        <v>169</v>
      </c>
      <c r="M77" s="12" t="s">
        <v>2526</v>
      </c>
    </row>
    <row r="78" customFormat="false" ht="15" hidden="false" customHeight="false" outlineLevel="0" collapsed="false">
      <c r="A78" s="12" t="s">
        <v>2306</v>
      </c>
      <c r="B78" s="12" t="s">
        <v>2527</v>
      </c>
      <c r="C78" s="12" t="s">
        <v>2528</v>
      </c>
      <c r="D78" s="12" t="s">
        <v>202</v>
      </c>
      <c r="E78" s="12" t="n">
        <v>2</v>
      </c>
      <c r="F78" s="12" t="s">
        <v>2387</v>
      </c>
      <c r="G78" s="12" t="s">
        <v>2310</v>
      </c>
      <c r="H78" s="13" t="n">
        <v>2587204</v>
      </c>
      <c r="I78" s="17"/>
      <c r="J78" s="13" t="n">
        <v>797147</v>
      </c>
      <c r="K78" s="12" t="n">
        <v>7</v>
      </c>
      <c r="L78" s="12" t="s">
        <v>92</v>
      </c>
      <c r="M78" s="12" t="s">
        <v>2529</v>
      </c>
    </row>
    <row r="79" customFormat="false" ht="15" hidden="false" customHeight="false" outlineLevel="0" collapsed="false">
      <c r="A79" s="12" t="s">
        <v>2306</v>
      </c>
      <c r="B79" s="12" t="s">
        <v>2530</v>
      </c>
      <c r="C79" s="12" t="s">
        <v>1775</v>
      </c>
      <c r="D79" s="12" t="s">
        <v>273</v>
      </c>
      <c r="E79" s="12" t="n">
        <v>2</v>
      </c>
      <c r="F79" s="12" t="s">
        <v>2309</v>
      </c>
      <c r="G79" s="12" t="s">
        <v>2310</v>
      </c>
      <c r="H79" s="17"/>
      <c r="I79" s="17"/>
      <c r="J79" s="13" t="n">
        <v>318930</v>
      </c>
      <c r="K79" s="12" t="n">
        <v>6.6</v>
      </c>
      <c r="L79" s="12" t="s">
        <v>128</v>
      </c>
      <c r="M79" s="12" t="s">
        <v>2531</v>
      </c>
    </row>
    <row r="80" customFormat="false" ht="15" hidden="false" customHeight="false" outlineLevel="0" collapsed="false">
      <c r="A80" s="12" t="s">
        <v>2306</v>
      </c>
      <c r="B80" s="12" t="s">
        <v>2532</v>
      </c>
      <c r="C80" s="12" t="s">
        <v>2533</v>
      </c>
      <c r="D80" s="12" t="s">
        <v>111</v>
      </c>
      <c r="E80" s="12" t="n">
        <v>2</v>
      </c>
      <c r="F80" s="12" t="s">
        <v>2314</v>
      </c>
      <c r="G80" s="12" t="s">
        <v>2310</v>
      </c>
      <c r="H80" s="17"/>
      <c r="I80" s="17"/>
      <c r="J80" s="13" t="n">
        <v>318075</v>
      </c>
      <c r="K80" s="12" t="n">
        <v>7.5</v>
      </c>
      <c r="L80" s="12" t="s">
        <v>169</v>
      </c>
      <c r="M80" s="12" t="s">
        <v>2534</v>
      </c>
    </row>
    <row r="81" customFormat="false" ht="15" hidden="false" customHeight="false" outlineLevel="0" collapsed="false">
      <c r="A81" s="12" t="s">
        <v>2306</v>
      </c>
      <c r="B81" s="12" t="s">
        <v>2535</v>
      </c>
      <c r="C81" s="12" t="s">
        <v>2536</v>
      </c>
      <c r="D81" s="12" t="s">
        <v>175</v>
      </c>
      <c r="E81" s="12" t="n">
        <v>2</v>
      </c>
      <c r="F81" s="12" t="s">
        <v>2314</v>
      </c>
      <c r="G81" s="12" t="s">
        <v>2310</v>
      </c>
      <c r="H81" s="17"/>
      <c r="I81" s="17"/>
      <c r="J81" s="13" t="n">
        <v>314984</v>
      </c>
      <c r="K81" s="12" t="n">
        <v>7.5</v>
      </c>
      <c r="L81" s="12" t="s">
        <v>169</v>
      </c>
      <c r="M81" s="12" t="s">
        <v>2537</v>
      </c>
    </row>
    <row r="82" customFormat="false" ht="15" hidden="false" customHeight="false" outlineLevel="0" collapsed="false">
      <c r="A82" s="12" t="s">
        <v>2306</v>
      </c>
      <c r="B82" s="12" t="s">
        <v>2538</v>
      </c>
      <c r="C82" s="12" t="s">
        <v>2539</v>
      </c>
      <c r="D82" s="12" t="s">
        <v>505</v>
      </c>
      <c r="E82" s="12" t="n">
        <v>2</v>
      </c>
      <c r="F82" s="12" t="s">
        <v>2387</v>
      </c>
      <c r="G82" s="12" t="s">
        <v>2310</v>
      </c>
      <c r="H82" s="13" t="n">
        <v>4429525</v>
      </c>
      <c r="I82" s="17"/>
      <c r="J82" s="13" t="n">
        <v>294985</v>
      </c>
      <c r="K82" s="12" t="n">
        <v>6.8</v>
      </c>
      <c r="L82" s="12" t="s">
        <v>92</v>
      </c>
      <c r="M82" s="12" t="s">
        <v>2540</v>
      </c>
    </row>
    <row r="83" customFormat="false" ht="15" hidden="false" customHeight="false" outlineLevel="0" collapsed="false">
      <c r="A83" s="12" t="s">
        <v>2306</v>
      </c>
      <c r="B83" s="12" t="s">
        <v>2541</v>
      </c>
      <c r="C83" s="12" t="s">
        <v>2542</v>
      </c>
      <c r="D83" s="12" t="s">
        <v>90</v>
      </c>
      <c r="E83" s="12" t="n">
        <v>2</v>
      </c>
      <c r="F83" s="12" t="s">
        <v>2314</v>
      </c>
      <c r="G83" s="12" t="s">
        <v>2310</v>
      </c>
      <c r="H83" s="17"/>
      <c r="I83" s="17"/>
      <c r="J83" s="13" t="n">
        <v>311426</v>
      </c>
      <c r="K83" s="12" t="n">
        <v>7.3</v>
      </c>
      <c r="L83" s="12" t="s">
        <v>169</v>
      </c>
      <c r="M83" s="12" t="s">
        <v>2543</v>
      </c>
    </row>
    <row r="84" customFormat="false" ht="15" hidden="false" customHeight="false" outlineLevel="0" collapsed="false">
      <c r="A84" s="12" t="s">
        <v>2306</v>
      </c>
      <c r="B84" s="12" t="s">
        <v>2544</v>
      </c>
      <c r="C84" s="12" t="s">
        <v>2544</v>
      </c>
      <c r="D84" s="12" t="s">
        <v>251</v>
      </c>
      <c r="E84" s="12" t="n">
        <v>2</v>
      </c>
      <c r="F84" s="12" t="s">
        <v>2314</v>
      </c>
      <c r="G84" s="12" t="s">
        <v>2310</v>
      </c>
      <c r="H84" s="17"/>
      <c r="I84" s="17"/>
      <c r="J84" s="13" t="n">
        <v>310980</v>
      </c>
      <c r="K84" s="12" t="n">
        <v>7.4</v>
      </c>
      <c r="L84" s="12" t="s">
        <v>169</v>
      </c>
      <c r="M84" s="12" t="s">
        <v>2545</v>
      </c>
    </row>
    <row r="85" customFormat="false" ht="15" hidden="false" customHeight="false" outlineLevel="0" collapsed="false">
      <c r="A85" s="12" t="s">
        <v>2306</v>
      </c>
      <c r="B85" s="12" t="s">
        <v>2546</v>
      </c>
      <c r="C85" s="12" t="s">
        <v>2547</v>
      </c>
      <c r="D85" s="12" t="s">
        <v>90</v>
      </c>
      <c r="E85" s="12" t="n">
        <v>2</v>
      </c>
      <c r="F85" s="12" t="s">
        <v>2314</v>
      </c>
      <c r="G85" s="12" t="s">
        <v>2310</v>
      </c>
      <c r="H85" s="17"/>
      <c r="I85" s="17"/>
      <c r="J85" s="13" t="n">
        <v>308521</v>
      </c>
      <c r="K85" s="12" t="n">
        <v>6.6</v>
      </c>
      <c r="L85" s="12" t="s">
        <v>169</v>
      </c>
      <c r="M85" s="12" t="s">
        <v>2548</v>
      </c>
    </row>
    <row r="86" customFormat="false" ht="15" hidden="false" customHeight="false" outlineLevel="0" collapsed="false">
      <c r="A86" s="12" t="s">
        <v>2306</v>
      </c>
      <c r="B86" s="12" t="s">
        <v>2549</v>
      </c>
      <c r="D86" s="12" t="s">
        <v>183</v>
      </c>
      <c r="E86" s="12" t="n">
        <v>1</v>
      </c>
      <c r="F86" s="12" t="s">
        <v>2404</v>
      </c>
      <c r="G86" s="12" t="s">
        <v>2405</v>
      </c>
      <c r="H86" s="13" t="n">
        <v>3719487</v>
      </c>
      <c r="I86" s="17"/>
      <c r="J86" s="17"/>
      <c r="L86" s="12" t="s">
        <v>92</v>
      </c>
    </row>
    <row r="87" customFormat="false" ht="15" hidden="false" customHeight="false" outlineLevel="0" collapsed="false">
      <c r="A87" s="12" t="s">
        <v>2306</v>
      </c>
      <c r="B87" s="12" t="s">
        <v>2550</v>
      </c>
      <c r="C87" s="12" t="s">
        <v>2550</v>
      </c>
      <c r="D87" s="12" t="s">
        <v>101</v>
      </c>
      <c r="E87" s="12" t="n">
        <v>2</v>
      </c>
      <c r="F87" s="12" t="s">
        <v>2314</v>
      </c>
      <c r="G87" s="12" t="s">
        <v>2310</v>
      </c>
      <c r="H87" s="17"/>
      <c r="I87" s="17"/>
      <c r="J87" s="13" t="n">
        <v>302476</v>
      </c>
      <c r="K87" s="12" t="n">
        <v>7.3</v>
      </c>
      <c r="L87" s="12" t="s">
        <v>169</v>
      </c>
      <c r="M87" s="12" t="s">
        <v>2551</v>
      </c>
    </row>
    <row r="88" customFormat="false" ht="15" hidden="false" customHeight="false" outlineLevel="0" collapsed="false">
      <c r="A88" s="12" t="s">
        <v>2306</v>
      </c>
      <c r="B88" s="12" t="s">
        <v>2552</v>
      </c>
      <c r="C88" s="12" t="s">
        <v>2553</v>
      </c>
      <c r="D88" s="12" t="s">
        <v>118</v>
      </c>
      <c r="E88" s="12" t="n">
        <v>2</v>
      </c>
      <c r="F88" s="12" t="s">
        <v>2314</v>
      </c>
      <c r="G88" s="12" t="s">
        <v>2310</v>
      </c>
      <c r="H88" s="17"/>
      <c r="I88" s="17"/>
      <c r="J88" s="13" t="n">
        <v>301294</v>
      </c>
      <c r="K88" s="12" t="n">
        <v>7.6</v>
      </c>
      <c r="L88" s="12" t="s">
        <v>169</v>
      </c>
      <c r="M88" s="12" t="s">
        <v>2554</v>
      </c>
    </row>
    <row r="89" customFormat="false" ht="15" hidden="false" customHeight="false" outlineLevel="0" collapsed="false">
      <c r="A89" s="12" t="s">
        <v>2306</v>
      </c>
      <c r="B89" s="12" t="s">
        <v>2555</v>
      </c>
      <c r="C89" s="12" t="s">
        <v>2556</v>
      </c>
      <c r="D89" s="12" t="s">
        <v>189</v>
      </c>
      <c r="E89" s="12" t="n">
        <v>2</v>
      </c>
      <c r="F89" s="12" t="s">
        <v>2314</v>
      </c>
      <c r="G89" s="12" t="s">
        <v>2310</v>
      </c>
      <c r="H89" s="17"/>
      <c r="I89" s="17"/>
      <c r="J89" s="13" t="n">
        <v>298650</v>
      </c>
      <c r="K89" s="12" t="n">
        <v>6.7</v>
      </c>
      <c r="L89" s="12" t="s">
        <v>169</v>
      </c>
      <c r="M89" s="12" t="s">
        <v>2557</v>
      </c>
    </row>
    <row r="90" customFormat="false" ht="15" hidden="false" customHeight="false" outlineLevel="0" collapsed="false">
      <c r="A90" s="12" t="s">
        <v>2306</v>
      </c>
      <c r="B90" s="12" t="s">
        <v>2558</v>
      </c>
      <c r="C90" s="12" t="s">
        <v>2558</v>
      </c>
      <c r="D90" s="12" t="s">
        <v>251</v>
      </c>
      <c r="E90" s="12" t="n">
        <v>2</v>
      </c>
      <c r="F90" s="12" t="s">
        <v>2314</v>
      </c>
      <c r="G90" s="12" t="s">
        <v>2310</v>
      </c>
      <c r="H90" s="17"/>
      <c r="I90" s="17"/>
      <c r="J90" s="13" t="n">
        <v>296409</v>
      </c>
      <c r="K90" s="12" t="n">
        <v>7.1</v>
      </c>
      <c r="L90" s="12" t="s">
        <v>169</v>
      </c>
      <c r="M90" s="12" t="s">
        <v>2559</v>
      </c>
    </row>
    <row r="91" customFormat="false" ht="15" hidden="false" customHeight="false" outlineLevel="0" collapsed="false">
      <c r="A91" s="12" t="s">
        <v>2306</v>
      </c>
      <c r="B91" s="12" t="s">
        <v>2560</v>
      </c>
      <c r="D91" s="12" t="s">
        <v>358</v>
      </c>
      <c r="E91" s="12" t="n">
        <v>1</v>
      </c>
      <c r="F91" s="12" t="s">
        <v>2404</v>
      </c>
      <c r="G91" s="12" t="s">
        <v>2405</v>
      </c>
      <c r="H91" s="13" t="n">
        <v>3563723</v>
      </c>
      <c r="I91" s="17"/>
      <c r="J91" s="17"/>
      <c r="L91" s="12" t="s">
        <v>92</v>
      </c>
    </row>
    <row r="92" customFormat="false" ht="15" hidden="false" customHeight="false" outlineLevel="0" collapsed="false">
      <c r="A92" s="12" t="s">
        <v>2306</v>
      </c>
      <c r="B92" s="12" t="s">
        <v>2561</v>
      </c>
      <c r="C92" s="12" t="s">
        <v>2562</v>
      </c>
      <c r="D92" s="12" t="s">
        <v>183</v>
      </c>
      <c r="E92" s="12" t="n">
        <v>2</v>
      </c>
      <c r="F92" s="12" t="s">
        <v>2563</v>
      </c>
      <c r="G92" s="12" t="s">
        <v>2310</v>
      </c>
      <c r="H92" s="17"/>
      <c r="I92" s="13" t="n">
        <v>880674609</v>
      </c>
      <c r="J92" s="13" t="n">
        <v>502781</v>
      </c>
      <c r="K92" s="12" t="n">
        <v>6.8</v>
      </c>
      <c r="L92" s="12" t="s">
        <v>92</v>
      </c>
      <c r="M92" s="12" t="s">
        <v>2564</v>
      </c>
    </row>
    <row r="93" customFormat="false" ht="15" hidden="false" customHeight="false" outlineLevel="0" collapsed="false">
      <c r="A93" s="12" t="s">
        <v>2306</v>
      </c>
      <c r="B93" s="12" t="s">
        <v>2565</v>
      </c>
      <c r="C93" s="12" t="s">
        <v>2566</v>
      </c>
      <c r="D93" s="12" t="s">
        <v>1103</v>
      </c>
      <c r="E93" s="12" t="n">
        <v>2</v>
      </c>
      <c r="F93" s="12" t="s">
        <v>2314</v>
      </c>
      <c r="G93" s="12" t="s">
        <v>2310</v>
      </c>
      <c r="H93" s="17"/>
      <c r="I93" s="17"/>
      <c r="J93" s="13" t="n">
        <v>294955</v>
      </c>
      <c r="K93" s="12" t="n">
        <v>6.8</v>
      </c>
      <c r="L93" s="12" t="s">
        <v>169</v>
      </c>
      <c r="M93" s="12" t="s">
        <v>2567</v>
      </c>
    </row>
    <row r="94" customFormat="false" ht="15" hidden="false" customHeight="false" outlineLevel="0" collapsed="false">
      <c r="A94" s="12" t="s">
        <v>2306</v>
      </c>
      <c r="B94" s="12" t="s">
        <v>2568</v>
      </c>
      <c r="C94" s="12" t="s">
        <v>2568</v>
      </c>
      <c r="D94" s="12" t="s">
        <v>251</v>
      </c>
      <c r="E94" s="12" t="n">
        <v>2</v>
      </c>
      <c r="F94" s="12" t="s">
        <v>2314</v>
      </c>
      <c r="G94" s="12" t="s">
        <v>2310</v>
      </c>
      <c r="H94" s="17"/>
      <c r="I94" s="17"/>
      <c r="J94" s="13" t="n">
        <v>289456</v>
      </c>
      <c r="K94" s="12" t="n">
        <v>7.4</v>
      </c>
      <c r="L94" s="12" t="s">
        <v>169</v>
      </c>
      <c r="M94" s="12" t="s">
        <v>2569</v>
      </c>
    </row>
    <row r="95" customFormat="false" ht="15" hidden="false" customHeight="false" outlineLevel="0" collapsed="false">
      <c r="A95" s="12" t="s">
        <v>2306</v>
      </c>
      <c r="B95" s="12" t="s">
        <v>2570</v>
      </c>
      <c r="C95" s="12" t="s">
        <v>2571</v>
      </c>
      <c r="D95" s="12" t="s">
        <v>214</v>
      </c>
      <c r="E95" s="12" t="n">
        <v>2</v>
      </c>
      <c r="F95" s="12" t="s">
        <v>2387</v>
      </c>
      <c r="G95" s="12" t="s">
        <v>2310</v>
      </c>
      <c r="H95" s="13" t="n">
        <v>2484531</v>
      </c>
      <c r="I95" s="17"/>
      <c r="J95" s="13" t="n">
        <v>611048</v>
      </c>
      <c r="K95" s="12" t="n">
        <v>7.6</v>
      </c>
      <c r="L95" s="12" t="s">
        <v>92</v>
      </c>
      <c r="M95" s="12" t="s">
        <v>2572</v>
      </c>
    </row>
    <row r="96" customFormat="false" ht="15" hidden="false" customHeight="false" outlineLevel="0" collapsed="false">
      <c r="A96" s="12" t="s">
        <v>2306</v>
      </c>
      <c r="B96" s="12" t="s">
        <v>2573</v>
      </c>
      <c r="C96" s="12" t="s">
        <v>2574</v>
      </c>
      <c r="D96" s="12" t="s">
        <v>111</v>
      </c>
      <c r="E96" s="12" t="n">
        <v>2</v>
      </c>
      <c r="F96" s="12" t="s">
        <v>2387</v>
      </c>
      <c r="G96" s="12" t="s">
        <v>2310</v>
      </c>
      <c r="H96" s="13" t="n">
        <v>5293026</v>
      </c>
      <c r="I96" s="17"/>
      <c r="J96" s="13" t="n">
        <v>200658</v>
      </c>
      <c r="K96" s="12" t="n">
        <v>5.4</v>
      </c>
      <c r="L96" s="12" t="s">
        <v>92</v>
      </c>
      <c r="M96" s="12" t="s">
        <v>2575</v>
      </c>
    </row>
    <row r="97" customFormat="false" ht="15" hidden="false" customHeight="false" outlineLevel="0" collapsed="false">
      <c r="A97" s="12" t="s">
        <v>2306</v>
      </c>
      <c r="B97" s="12" t="s">
        <v>2576</v>
      </c>
      <c r="C97" s="12" t="s">
        <v>2577</v>
      </c>
      <c r="D97" s="12" t="s">
        <v>111</v>
      </c>
      <c r="E97" s="12" t="n">
        <v>2</v>
      </c>
      <c r="F97" s="12" t="s">
        <v>2314</v>
      </c>
      <c r="G97" s="12" t="s">
        <v>2310</v>
      </c>
      <c r="H97" s="17"/>
      <c r="I97" s="17"/>
      <c r="J97" s="13" t="n">
        <v>285859</v>
      </c>
      <c r="K97" s="12" t="n">
        <v>6.9</v>
      </c>
      <c r="L97" s="12" t="s">
        <v>169</v>
      </c>
      <c r="M97" s="12" t="s">
        <v>2578</v>
      </c>
    </row>
    <row r="98" customFormat="false" ht="15" hidden="false" customHeight="false" outlineLevel="0" collapsed="false">
      <c r="A98" s="12" t="s">
        <v>2306</v>
      </c>
      <c r="B98" s="12" t="s">
        <v>2579</v>
      </c>
      <c r="C98" s="12" t="s">
        <v>2580</v>
      </c>
      <c r="D98" s="12" t="s">
        <v>90</v>
      </c>
      <c r="E98" s="12" t="n">
        <v>2</v>
      </c>
      <c r="F98" s="12" t="s">
        <v>2314</v>
      </c>
      <c r="G98" s="12" t="s">
        <v>2310</v>
      </c>
      <c r="H98" s="17"/>
      <c r="I98" s="17"/>
      <c r="J98" s="13" t="n">
        <v>285541</v>
      </c>
      <c r="K98" s="12" t="n">
        <v>6.5</v>
      </c>
      <c r="L98" s="12" t="s">
        <v>169</v>
      </c>
      <c r="M98" s="12" t="s">
        <v>2581</v>
      </c>
    </row>
    <row r="99" customFormat="false" ht="15" hidden="false" customHeight="false" outlineLevel="0" collapsed="false">
      <c r="A99" s="12" t="s">
        <v>2306</v>
      </c>
      <c r="B99" s="12" t="s">
        <v>2582</v>
      </c>
      <c r="C99" s="12" t="s">
        <v>2583</v>
      </c>
      <c r="D99" s="12" t="s">
        <v>189</v>
      </c>
      <c r="E99" s="12" t="n">
        <v>2</v>
      </c>
      <c r="F99" s="12" t="s">
        <v>2314</v>
      </c>
      <c r="G99" s="12" t="s">
        <v>2310</v>
      </c>
      <c r="H99" s="17"/>
      <c r="I99" s="17"/>
      <c r="J99" s="13" t="n">
        <v>282664</v>
      </c>
      <c r="K99" s="12" t="n">
        <v>7.6</v>
      </c>
      <c r="L99" s="12" t="s">
        <v>169</v>
      </c>
      <c r="M99" s="12" t="s">
        <v>2584</v>
      </c>
    </row>
    <row r="100" customFormat="false" ht="15" hidden="false" customHeight="false" outlineLevel="0" collapsed="false">
      <c r="A100" s="12" t="s">
        <v>2306</v>
      </c>
      <c r="B100" s="12" t="s">
        <v>2585</v>
      </c>
      <c r="C100" s="12" t="s">
        <v>2586</v>
      </c>
      <c r="D100" s="12" t="s">
        <v>207</v>
      </c>
      <c r="E100" s="12" t="n">
        <v>2</v>
      </c>
      <c r="F100" s="12" t="s">
        <v>2314</v>
      </c>
      <c r="G100" s="12" t="s">
        <v>2310</v>
      </c>
      <c r="H100" s="17"/>
      <c r="I100" s="17"/>
      <c r="J100" s="13" t="n">
        <v>281018</v>
      </c>
      <c r="K100" s="12" t="n">
        <v>6.6</v>
      </c>
      <c r="L100" s="12" t="s">
        <v>169</v>
      </c>
      <c r="M100" s="12" t="s">
        <v>2587</v>
      </c>
    </row>
    <row r="101" customFormat="false" ht="15" hidden="false" customHeight="false" outlineLevel="0" collapsed="false">
      <c r="A101" s="12" t="s">
        <v>2306</v>
      </c>
      <c r="B101" s="12" t="s">
        <v>2588</v>
      </c>
      <c r="C101" s="12" t="s">
        <v>2589</v>
      </c>
      <c r="D101" s="12" t="s">
        <v>140</v>
      </c>
      <c r="E101" s="12" t="n">
        <v>2</v>
      </c>
      <c r="F101" s="12" t="s">
        <v>2387</v>
      </c>
      <c r="G101" s="12" t="s">
        <v>2310</v>
      </c>
      <c r="H101" s="13" t="n">
        <v>3166183</v>
      </c>
      <c r="I101" s="17"/>
      <c r="J101" s="13" t="n">
        <v>336946</v>
      </c>
      <c r="K101" s="12" t="n">
        <v>6.6</v>
      </c>
      <c r="L101" s="12" t="s">
        <v>92</v>
      </c>
      <c r="M101" s="12" t="s">
        <v>2590</v>
      </c>
    </row>
    <row r="102" customFormat="false" ht="15" hidden="false" customHeight="false" outlineLevel="0" collapsed="false">
      <c r="A102" s="12" t="s">
        <v>2306</v>
      </c>
      <c r="B102" s="12" t="s">
        <v>2591</v>
      </c>
      <c r="D102" s="12" t="s">
        <v>183</v>
      </c>
      <c r="E102" s="12" t="n">
        <v>1</v>
      </c>
      <c r="F102" s="12" t="s">
        <v>2404</v>
      </c>
      <c r="G102" s="12" t="s">
        <v>2405</v>
      </c>
      <c r="H102" s="13" t="n">
        <v>3335670</v>
      </c>
      <c r="I102" s="17"/>
      <c r="J102" s="17"/>
      <c r="L102" s="12" t="s">
        <v>92</v>
      </c>
    </row>
    <row r="103" customFormat="false" ht="15" hidden="false" customHeight="false" outlineLevel="0" collapsed="false">
      <c r="A103" s="12" t="s">
        <v>2306</v>
      </c>
      <c r="B103" s="12" t="s">
        <v>2592</v>
      </c>
      <c r="C103" s="12" t="s">
        <v>2593</v>
      </c>
      <c r="D103" s="12" t="s">
        <v>127</v>
      </c>
      <c r="E103" s="12" t="n">
        <v>2</v>
      </c>
      <c r="F103" s="12" t="s">
        <v>2387</v>
      </c>
      <c r="G103" s="12" t="s">
        <v>2310</v>
      </c>
      <c r="H103" s="13" t="n">
        <v>2860458</v>
      </c>
      <c r="I103" s="17"/>
      <c r="J103" s="13" t="n">
        <v>380112</v>
      </c>
      <c r="K103" s="12" t="n">
        <v>5.7</v>
      </c>
      <c r="L103" s="12" t="s">
        <v>92</v>
      </c>
      <c r="M103" s="12" t="s">
        <v>2594</v>
      </c>
    </row>
    <row r="104" customFormat="false" ht="15" hidden="false" customHeight="false" outlineLevel="0" collapsed="false">
      <c r="A104" s="12" t="s">
        <v>2306</v>
      </c>
      <c r="B104" s="12" t="s">
        <v>2595</v>
      </c>
      <c r="C104" s="12" t="s">
        <v>2596</v>
      </c>
      <c r="D104" s="12" t="s">
        <v>251</v>
      </c>
      <c r="E104" s="12" t="n">
        <v>2</v>
      </c>
      <c r="F104" s="12" t="s">
        <v>2314</v>
      </c>
      <c r="G104" s="12" t="s">
        <v>2310</v>
      </c>
      <c r="H104" s="17"/>
      <c r="I104" s="17"/>
      <c r="J104" s="13" t="n">
        <v>275763</v>
      </c>
      <c r="K104" s="12" t="n">
        <v>6.8</v>
      </c>
      <c r="L104" s="12" t="s">
        <v>169</v>
      </c>
      <c r="M104" s="12" t="s">
        <v>2597</v>
      </c>
    </row>
    <row r="105" customFormat="false" ht="15" hidden="false" customHeight="false" outlineLevel="0" collapsed="false">
      <c r="A105" s="12" t="s">
        <v>2306</v>
      </c>
      <c r="B105" s="12" t="s">
        <v>2598</v>
      </c>
      <c r="C105" s="12" t="s">
        <v>2599</v>
      </c>
      <c r="D105" s="12" t="s">
        <v>251</v>
      </c>
      <c r="E105" s="12" t="n">
        <v>2</v>
      </c>
      <c r="F105" s="12" t="s">
        <v>2314</v>
      </c>
      <c r="G105" s="12" t="s">
        <v>2310</v>
      </c>
      <c r="H105" s="17"/>
      <c r="I105" s="17"/>
      <c r="J105" s="13" t="n">
        <v>275288</v>
      </c>
      <c r="K105" s="12" t="n">
        <v>7</v>
      </c>
      <c r="L105" s="12" t="s">
        <v>169</v>
      </c>
      <c r="M105" s="12" t="s">
        <v>2600</v>
      </c>
    </row>
    <row r="106" customFormat="false" ht="15" hidden="false" customHeight="false" outlineLevel="0" collapsed="false">
      <c r="A106" s="12" t="s">
        <v>2306</v>
      </c>
      <c r="B106" s="12" t="s">
        <v>2601</v>
      </c>
      <c r="C106" s="12" t="s">
        <v>2602</v>
      </c>
      <c r="D106" s="12" t="s">
        <v>175</v>
      </c>
      <c r="E106" s="12" t="n">
        <v>2</v>
      </c>
      <c r="F106" s="12" t="s">
        <v>2314</v>
      </c>
      <c r="G106" s="12" t="s">
        <v>2310</v>
      </c>
      <c r="H106" s="17"/>
      <c r="I106" s="17"/>
      <c r="J106" s="13" t="n">
        <v>275030</v>
      </c>
      <c r="K106" s="12" t="n">
        <v>7.9</v>
      </c>
      <c r="L106" s="12" t="s">
        <v>169</v>
      </c>
      <c r="M106" s="12" t="s">
        <v>2603</v>
      </c>
    </row>
    <row r="107" customFormat="false" ht="15" hidden="false" customHeight="false" outlineLevel="0" collapsed="false">
      <c r="A107" s="12" t="s">
        <v>2306</v>
      </c>
      <c r="B107" s="12" t="s">
        <v>2604</v>
      </c>
      <c r="C107" s="12" t="s">
        <v>2604</v>
      </c>
      <c r="D107" s="12" t="s">
        <v>175</v>
      </c>
      <c r="E107" s="12" t="n">
        <v>2</v>
      </c>
      <c r="F107" s="12" t="s">
        <v>2314</v>
      </c>
      <c r="G107" s="12" t="s">
        <v>2310</v>
      </c>
      <c r="H107" s="17"/>
      <c r="I107" s="17"/>
      <c r="J107" s="13" t="n">
        <v>272685</v>
      </c>
      <c r="K107" s="12" t="n">
        <v>7</v>
      </c>
      <c r="L107" s="12" t="s">
        <v>169</v>
      </c>
      <c r="M107" s="12" t="s">
        <v>2605</v>
      </c>
    </row>
    <row r="108" customFormat="false" ht="15" hidden="false" customHeight="false" outlineLevel="0" collapsed="false">
      <c r="A108" s="12" t="s">
        <v>2306</v>
      </c>
      <c r="B108" s="12" t="s">
        <v>2606</v>
      </c>
      <c r="C108" s="12" t="s">
        <v>2607</v>
      </c>
      <c r="D108" s="12" t="s">
        <v>189</v>
      </c>
      <c r="E108" s="12" t="n">
        <v>2</v>
      </c>
      <c r="F108" s="12" t="s">
        <v>2314</v>
      </c>
      <c r="G108" s="12" t="s">
        <v>2310</v>
      </c>
      <c r="H108" s="17"/>
      <c r="I108" s="17"/>
      <c r="J108" s="13" t="n">
        <v>272399</v>
      </c>
      <c r="K108" s="12" t="n">
        <v>7</v>
      </c>
      <c r="L108" s="12" t="s">
        <v>169</v>
      </c>
      <c r="M108" s="12" t="s">
        <v>2608</v>
      </c>
    </row>
    <row r="109" customFormat="false" ht="15" hidden="false" customHeight="false" outlineLevel="0" collapsed="false">
      <c r="A109" s="12" t="s">
        <v>2306</v>
      </c>
      <c r="B109" s="12" t="s">
        <v>2609</v>
      </c>
      <c r="C109" s="12" t="s">
        <v>2610</v>
      </c>
      <c r="D109" s="12" t="s">
        <v>207</v>
      </c>
      <c r="E109" s="12" t="n">
        <v>2</v>
      </c>
      <c r="F109" s="12" t="s">
        <v>2314</v>
      </c>
      <c r="G109" s="12" t="s">
        <v>2310</v>
      </c>
      <c r="H109" s="17"/>
      <c r="I109" s="17"/>
      <c r="J109" s="13" t="n">
        <v>271414</v>
      </c>
      <c r="K109" s="12" t="n">
        <v>6.6</v>
      </c>
      <c r="L109" s="12" t="s">
        <v>169</v>
      </c>
      <c r="M109" s="12" t="s">
        <v>2611</v>
      </c>
    </row>
    <row r="110" customFormat="false" ht="15" hidden="false" customHeight="false" outlineLevel="0" collapsed="false">
      <c r="A110" s="12" t="s">
        <v>2306</v>
      </c>
      <c r="B110" s="12" t="s">
        <v>2612</v>
      </c>
      <c r="C110" s="12" t="s">
        <v>2613</v>
      </c>
      <c r="D110" s="12" t="s">
        <v>134</v>
      </c>
      <c r="E110" s="12" t="n">
        <v>2</v>
      </c>
      <c r="F110" s="12" t="s">
        <v>2387</v>
      </c>
      <c r="G110" s="12" t="s">
        <v>2310</v>
      </c>
      <c r="H110" s="13" t="n">
        <v>2083246</v>
      </c>
      <c r="I110" s="17"/>
      <c r="J110" s="13" t="n">
        <v>756151</v>
      </c>
      <c r="K110" s="12" t="n">
        <v>7.8</v>
      </c>
      <c r="L110" s="12" t="s">
        <v>92</v>
      </c>
      <c r="M110" s="12" t="s">
        <v>2614</v>
      </c>
    </row>
    <row r="111" customFormat="false" ht="15" hidden="false" customHeight="false" outlineLevel="0" collapsed="false">
      <c r="A111" s="12" t="s">
        <v>2306</v>
      </c>
      <c r="B111" s="12" t="s">
        <v>2615</v>
      </c>
      <c r="C111" s="12" t="s">
        <v>2616</v>
      </c>
      <c r="D111" s="12" t="s">
        <v>90</v>
      </c>
      <c r="E111" s="12" t="n">
        <v>2</v>
      </c>
      <c r="F111" s="12" t="s">
        <v>2314</v>
      </c>
      <c r="G111" s="12" t="s">
        <v>2310</v>
      </c>
      <c r="H111" s="17"/>
      <c r="I111" s="17"/>
      <c r="J111" s="13" t="n">
        <v>268354</v>
      </c>
      <c r="K111" s="12" t="n">
        <v>6.9</v>
      </c>
      <c r="L111" s="12" t="s">
        <v>169</v>
      </c>
      <c r="M111" s="12" t="s">
        <v>2617</v>
      </c>
    </row>
    <row r="112" customFormat="false" ht="15" hidden="false" customHeight="false" outlineLevel="0" collapsed="false">
      <c r="A112" s="12" t="s">
        <v>2306</v>
      </c>
      <c r="B112" s="12" t="s">
        <v>2618</v>
      </c>
      <c r="C112" s="12" t="s">
        <v>2619</v>
      </c>
      <c r="D112" s="12" t="s">
        <v>111</v>
      </c>
      <c r="E112" s="12" t="n">
        <v>2</v>
      </c>
      <c r="F112" s="12" t="s">
        <v>2314</v>
      </c>
      <c r="G112" s="12" t="s">
        <v>2310</v>
      </c>
      <c r="H112" s="17"/>
      <c r="I112" s="17"/>
      <c r="J112" s="13" t="n">
        <v>265560</v>
      </c>
      <c r="K112" s="12" t="n">
        <v>6.3</v>
      </c>
      <c r="L112" s="12" t="s">
        <v>169</v>
      </c>
      <c r="M112" s="12" t="s">
        <v>2620</v>
      </c>
    </row>
    <row r="113" customFormat="false" ht="15" hidden="false" customHeight="false" outlineLevel="0" collapsed="false">
      <c r="A113" s="12" t="s">
        <v>2306</v>
      </c>
      <c r="B113" s="12" t="s">
        <v>2621</v>
      </c>
      <c r="D113" s="12" t="s">
        <v>202</v>
      </c>
      <c r="E113" s="12" t="n">
        <v>1</v>
      </c>
      <c r="F113" s="12" t="s">
        <v>2404</v>
      </c>
      <c r="G113" s="12" t="s">
        <v>2405</v>
      </c>
      <c r="H113" s="13" t="n">
        <v>3214071</v>
      </c>
      <c r="I113" s="17"/>
      <c r="J113" s="17"/>
      <c r="L113" s="12" t="s">
        <v>92</v>
      </c>
    </row>
    <row r="114" customFormat="false" ht="15" hidden="false" customHeight="false" outlineLevel="0" collapsed="false">
      <c r="A114" s="12" t="s">
        <v>2306</v>
      </c>
      <c r="B114" s="12" t="s">
        <v>2622</v>
      </c>
      <c r="C114" s="12" t="s">
        <v>2623</v>
      </c>
      <c r="D114" s="12" t="s">
        <v>90</v>
      </c>
      <c r="E114" s="12" t="n">
        <v>2</v>
      </c>
      <c r="F114" s="12" t="s">
        <v>2387</v>
      </c>
      <c r="G114" s="12" t="s">
        <v>2310</v>
      </c>
      <c r="H114" s="13" t="n">
        <v>4399733</v>
      </c>
      <c r="I114" s="17"/>
      <c r="J114" s="13" t="n">
        <v>209909</v>
      </c>
      <c r="K114" s="12" t="n">
        <v>7</v>
      </c>
      <c r="L114" s="12" t="s">
        <v>92</v>
      </c>
      <c r="M114" s="12" t="s">
        <v>2624</v>
      </c>
    </row>
    <row r="115" customFormat="false" ht="15" hidden="false" customHeight="false" outlineLevel="0" collapsed="false">
      <c r="A115" s="12" t="s">
        <v>2306</v>
      </c>
      <c r="B115" s="12" t="s">
        <v>2625</v>
      </c>
      <c r="C115" s="12" t="s">
        <v>2626</v>
      </c>
      <c r="D115" s="12" t="s">
        <v>505</v>
      </c>
      <c r="E115" s="12" t="n">
        <v>2</v>
      </c>
      <c r="F115" s="12" t="s">
        <v>2314</v>
      </c>
      <c r="G115" s="12" t="s">
        <v>2310</v>
      </c>
      <c r="H115" s="17"/>
      <c r="I115" s="17"/>
      <c r="J115" s="13" t="n">
        <v>262725</v>
      </c>
      <c r="K115" s="12" t="n">
        <v>7.3</v>
      </c>
      <c r="L115" s="12" t="s">
        <v>169</v>
      </c>
      <c r="M115" s="12" t="s">
        <v>2627</v>
      </c>
    </row>
    <row r="116" customFormat="false" ht="15" hidden="false" customHeight="false" outlineLevel="0" collapsed="false">
      <c r="A116" s="12" t="s">
        <v>2306</v>
      </c>
      <c r="B116" s="12" t="s">
        <v>2628</v>
      </c>
      <c r="C116" s="12" t="s">
        <v>2629</v>
      </c>
      <c r="D116" s="12" t="s">
        <v>111</v>
      </c>
      <c r="E116" s="12" t="n">
        <v>2</v>
      </c>
      <c r="F116" s="12" t="s">
        <v>2314</v>
      </c>
      <c r="G116" s="12" t="s">
        <v>2310</v>
      </c>
      <c r="H116" s="17"/>
      <c r="I116" s="17"/>
      <c r="J116" s="13" t="n">
        <v>261888</v>
      </c>
      <c r="K116" s="12" t="n">
        <v>7.5</v>
      </c>
      <c r="L116" s="12" t="s">
        <v>169</v>
      </c>
      <c r="M116" s="12" t="s">
        <v>2630</v>
      </c>
    </row>
    <row r="117" customFormat="false" ht="15" hidden="false" customHeight="false" outlineLevel="0" collapsed="false">
      <c r="A117" s="12" t="s">
        <v>2306</v>
      </c>
      <c r="B117" s="12" t="s">
        <v>2631</v>
      </c>
      <c r="C117" s="12" t="s">
        <v>2632</v>
      </c>
      <c r="D117" s="12" t="s">
        <v>358</v>
      </c>
      <c r="E117" s="12" t="n">
        <v>2</v>
      </c>
      <c r="F117" s="12" t="s">
        <v>2309</v>
      </c>
      <c r="G117" s="12" t="s">
        <v>2310</v>
      </c>
      <c r="H117" s="17"/>
      <c r="I117" s="17"/>
      <c r="J117" s="13" t="n">
        <v>261119</v>
      </c>
      <c r="K117" s="12" t="n">
        <v>8.3</v>
      </c>
      <c r="L117" s="12" t="s">
        <v>128</v>
      </c>
      <c r="M117" s="12" t="s">
        <v>2633</v>
      </c>
    </row>
    <row r="118" customFormat="false" ht="15" hidden="false" customHeight="false" outlineLevel="0" collapsed="false">
      <c r="A118" s="12" t="s">
        <v>2306</v>
      </c>
      <c r="B118" s="12" t="s">
        <v>2634</v>
      </c>
      <c r="C118" s="12" t="s">
        <v>2635</v>
      </c>
      <c r="D118" s="12" t="s">
        <v>189</v>
      </c>
      <c r="E118" s="12" t="n">
        <v>2</v>
      </c>
      <c r="F118" s="12" t="s">
        <v>2314</v>
      </c>
      <c r="G118" s="12" t="s">
        <v>2310</v>
      </c>
      <c r="H118" s="17"/>
      <c r="I118" s="17"/>
      <c r="J118" s="13" t="n">
        <v>261041</v>
      </c>
      <c r="K118" s="12" t="n">
        <v>6.8</v>
      </c>
      <c r="L118" s="12" t="s">
        <v>169</v>
      </c>
      <c r="M118" s="12" t="s">
        <v>2636</v>
      </c>
    </row>
    <row r="119" customFormat="false" ht="15" hidden="false" customHeight="false" outlineLevel="0" collapsed="false">
      <c r="A119" s="12" t="s">
        <v>2306</v>
      </c>
      <c r="B119" s="12" t="s">
        <v>2637</v>
      </c>
      <c r="C119" s="12" t="s">
        <v>2637</v>
      </c>
      <c r="D119" s="12" t="s">
        <v>189</v>
      </c>
      <c r="E119" s="12" t="n">
        <v>2</v>
      </c>
      <c r="F119" s="12" t="s">
        <v>2314</v>
      </c>
      <c r="G119" s="12" t="s">
        <v>2310</v>
      </c>
      <c r="H119" s="17"/>
      <c r="I119" s="17"/>
      <c r="J119" s="13" t="n">
        <v>260909</v>
      </c>
      <c r="K119" s="12" t="n">
        <v>6.6</v>
      </c>
      <c r="L119" s="12" t="s">
        <v>169</v>
      </c>
      <c r="M119" s="12" t="s">
        <v>2638</v>
      </c>
    </row>
    <row r="120" customFormat="false" ht="15" hidden="false" customHeight="false" outlineLevel="0" collapsed="false">
      <c r="A120" s="12" t="s">
        <v>2306</v>
      </c>
      <c r="B120" s="12" t="s">
        <v>2639</v>
      </c>
      <c r="C120" s="12" t="s">
        <v>2640</v>
      </c>
      <c r="D120" s="12" t="s">
        <v>1103</v>
      </c>
      <c r="E120" s="12" t="n">
        <v>2</v>
      </c>
      <c r="F120" s="12" t="s">
        <v>2314</v>
      </c>
      <c r="G120" s="12" t="s">
        <v>2310</v>
      </c>
      <c r="H120" s="17"/>
      <c r="I120" s="17"/>
      <c r="J120" s="13" t="n">
        <v>260644</v>
      </c>
      <c r="K120" s="12" t="n">
        <v>7.5</v>
      </c>
      <c r="L120" s="12" t="s">
        <v>169</v>
      </c>
      <c r="M120" s="12" t="s">
        <v>2641</v>
      </c>
    </row>
    <row r="121" customFormat="false" ht="15" hidden="false" customHeight="false" outlineLevel="0" collapsed="false">
      <c r="A121" s="12" t="s">
        <v>2306</v>
      </c>
      <c r="B121" s="12" t="s">
        <v>2642</v>
      </c>
      <c r="C121" s="12" t="s">
        <v>2643</v>
      </c>
      <c r="D121" s="12" t="s">
        <v>396</v>
      </c>
      <c r="E121" s="12" t="n">
        <v>2</v>
      </c>
      <c r="F121" s="12" t="s">
        <v>2387</v>
      </c>
      <c r="G121" s="12" t="s">
        <v>2310</v>
      </c>
      <c r="H121" s="13" t="n">
        <v>2029936</v>
      </c>
      <c r="I121" s="17"/>
      <c r="J121" s="13" t="n">
        <v>698230</v>
      </c>
      <c r="K121" s="12" t="n">
        <v>7.8</v>
      </c>
      <c r="L121" s="12" t="s">
        <v>92</v>
      </c>
      <c r="M121" s="12" t="s">
        <v>2644</v>
      </c>
    </row>
    <row r="122" customFormat="false" ht="15" hidden="false" customHeight="false" outlineLevel="0" collapsed="false">
      <c r="A122" s="12" t="s">
        <v>2306</v>
      </c>
      <c r="B122" s="12" t="s">
        <v>2645</v>
      </c>
      <c r="C122" s="12" t="s">
        <v>2646</v>
      </c>
      <c r="D122" s="12" t="s">
        <v>1103</v>
      </c>
      <c r="E122" s="12" t="n">
        <v>2</v>
      </c>
      <c r="F122" s="12" t="s">
        <v>2314</v>
      </c>
      <c r="G122" s="12" t="s">
        <v>2310</v>
      </c>
      <c r="H122" s="17"/>
      <c r="I122" s="17"/>
      <c r="J122" s="13" t="n">
        <v>256214</v>
      </c>
      <c r="K122" s="12" t="n">
        <v>6.7</v>
      </c>
      <c r="L122" s="12" t="s">
        <v>169</v>
      </c>
      <c r="M122" s="12" t="s">
        <v>2647</v>
      </c>
    </row>
    <row r="123" customFormat="false" ht="15" hidden="false" customHeight="false" outlineLevel="0" collapsed="false">
      <c r="A123" s="12" t="s">
        <v>2306</v>
      </c>
      <c r="B123" s="12" t="s">
        <v>2648</v>
      </c>
      <c r="C123" s="12" t="s">
        <v>2649</v>
      </c>
      <c r="D123" s="12" t="s">
        <v>189</v>
      </c>
      <c r="E123" s="12" t="n">
        <v>2</v>
      </c>
      <c r="F123" s="12" t="s">
        <v>2314</v>
      </c>
      <c r="G123" s="12" t="s">
        <v>2310</v>
      </c>
      <c r="H123" s="17"/>
      <c r="I123" s="17"/>
      <c r="J123" s="13" t="n">
        <v>253910</v>
      </c>
      <c r="K123" s="12" t="n">
        <v>7.8</v>
      </c>
      <c r="L123" s="12" t="s">
        <v>169</v>
      </c>
      <c r="M123" s="12" t="s">
        <v>2650</v>
      </c>
    </row>
    <row r="124" customFormat="false" ht="15" hidden="false" customHeight="false" outlineLevel="0" collapsed="false">
      <c r="A124" s="12" t="s">
        <v>2306</v>
      </c>
      <c r="B124" s="12" t="s">
        <v>2651</v>
      </c>
      <c r="C124" s="12" t="s">
        <v>2652</v>
      </c>
      <c r="D124" s="12" t="s">
        <v>183</v>
      </c>
      <c r="E124" s="12" t="n">
        <v>2</v>
      </c>
      <c r="F124" s="12" t="s">
        <v>2387</v>
      </c>
      <c r="G124" s="12" t="s">
        <v>2310</v>
      </c>
      <c r="H124" s="13" t="n">
        <v>4199697</v>
      </c>
      <c r="I124" s="17"/>
      <c r="J124" s="13" t="n">
        <v>207269</v>
      </c>
      <c r="K124" s="12" t="n">
        <v>6.9</v>
      </c>
      <c r="L124" s="12" t="s">
        <v>92</v>
      </c>
      <c r="M124" s="12" t="s">
        <v>2653</v>
      </c>
    </row>
    <row r="125" customFormat="false" ht="15" hidden="false" customHeight="false" outlineLevel="0" collapsed="false">
      <c r="A125" s="12" t="s">
        <v>2306</v>
      </c>
      <c r="B125" s="12" t="s">
        <v>2654</v>
      </c>
      <c r="C125" s="12" t="s">
        <v>2655</v>
      </c>
      <c r="D125" s="12" t="s">
        <v>118</v>
      </c>
      <c r="E125" s="12" t="n">
        <v>2</v>
      </c>
      <c r="F125" s="12" t="s">
        <v>2314</v>
      </c>
      <c r="G125" s="12" t="s">
        <v>2310</v>
      </c>
      <c r="H125" s="17"/>
      <c r="I125" s="17"/>
      <c r="J125" s="13" t="n">
        <v>251261</v>
      </c>
      <c r="K125" s="12" t="n">
        <v>6.5</v>
      </c>
      <c r="L125" s="12" t="s">
        <v>169</v>
      </c>
      <c r="M125" s="12" t="s">
        <v>2656</v>
      </c>
    </row>
    <row r="126" customFormat="false" ht="15" hidden="false" customHeight="false" outlineLevel="0" collapsed="false">
      <c r="A126" s="12" t="s">
        <v>2306</v>
      </c>
      <c r="B126" s="12" t="s">
        <v>2657</v>
      </c>
      <c r="D126" s="12" t="s">
        <v>127</v>
      </c>
      <c r="E126" s="12" t="n">
        <v>2</v>
      </c>
      <c r="F126" s="12" t="s">
        <v>2387</v>
      </c>
      <c r="G126" s="12" t="s">
        <v>2310</v>
      </c>
      <c r="H126" s="13" t="n">
        <v>2499894</v>
      </c>
      <c r="I126" s="17"/>
      <c r="J126" s="13" t="n">
        <v>414437</v>
      </c>
      <c r="K126" s="12" t="n">
        <v>7</v>
      </c>
      <c r="L126" s="12" t="s">
        <v>92</v>
      </c>
      <c r="M126" s="12" t="s">
        <v>2658</v>
      </c>
    </row>
    <row r="127" customFormat="false" ht="15" hidden="false" customHeight="false" outlineLevel="0" collapsed="false">
      <c r="A127" s="12" t="s">
        <v>2306</v>
      </c>
      <c r="B127" s="12" t="s">
        <v>2659</v>
      </c>
      <c r="C127" s="12" t="s">
        <v>2660</v>
      </c>
      <c r="D127" s="12" t="s">
        <v>1103</v>
      </c>
      <c r="E127" s="12" t="n">
        <v>2</v>
      </c>
      <c r="F127" s="12" t="s">
        <v>2314</v>
      </c>
      <c r="G127" s="12" t="s">
        <v>2310</v>
      </c>
      <c r="H127" s="17"/>
      <c r="I127" s="17"/>
      <c r="J127" s="13" t="n">
        <v>250837</v>
      </c>
      <c r="K127" s="12" t="n">
        <v>8.2</v>
      </c>
      <c r="L127" s="12" t="s">
        <v>169</v>
      </c>
      <c r="M127" s="12" t="s">
        <v>2661</v>
      </c>
    </row>
    <row r="128" customFormat="false" ht="15" hidden="false" customHeight="false" outlineLevel="0" collapsed="false">
      <c r="A128" s="12" t="s">
        <v>2306</v>
      </c>
      <c r="B128" s="12" t="s">
        <v>2662</v>
      </c>
      <c r="C128" s="12" t="s">
        <v>2663</v>
      </c>
      <c r="D128" s="12" t="s">
        <v>202</v>
      </c>
      <c r="E128" s="12" t="n">
        <v>2</v>
      </c>
      <c r="F128" s="12" t="s">
        <v>2387</v>
      </c>
      <c r="G128" s="12" t="s">
        <v>2310</v>
      </c>
      <c r="H128" s="13" t="n">
        <v>3716154</v>
      </c>
      <c r="I128" s="17"/>
      <c r="J128" s="13" t="n">
        <v>228669</v>
      </c>
      <c r="K128" s="12" t="n">
        <v>6.1</v>
      </c>
      <c r="L128" s="12" t="s">
        <v>92</v>
      </c>
      <c r="M128" s="12" t="s">
        <v>2664</v>
      </c>
    </row>
    <row r="129" customFormat="false" ht="15" hidden="false" customHeight="false" outlineLevel="0" collapsed="false">
      <c r="A129" s="12" t="s">
        <v>2306</v>
      </c>
      <c r="B129" s="12" t="s">
        <v>2665</v>
      </c>
      <c r="C129" s="12" t="s">
        <v>2666</v>
      </c>
      <c r="D129" s="12" t="s">
        <v>189</v>
      </c>
      <c r="E129" s="12" t="n">
        <v>2</v>
      </c>
      <c r="F129" s="12" t="s">
        <v>2314</v>
      </c>
      <c r="G129" s="12" t="s">
        <v>2310</v>
      </c>
      <c r="H129" s="17"/>
      <c r="I129" s="17"/>
      <c r="J129" s="13" t="n">
        <v>249859</v>
      </c>
      <c r="K129" s="12" t="n">
        <v>6.9</v>
      </c>
      <c r="L129" s="12" t="s">
        <v>169</v>
      </c>
      <c r="M129" s="12" t="s">
        <v>2667</v>
      </c>
    </row>
    <row r="130" customFormat="false" ht="15" hidden="false" customHeight="false" outlineLevel="0" collapsed="false">
      <c r="A130" s="12" t="s">
        <v>2306</v>
      </c>
      <c r="B130" s="12" t="s">
        <v>2668</v>
      </c>
      <c r="C130" s="12" t="s">
        <v>2669</v>
      </c>
      <c r="D130" s="12" t="s">
        <v>358</v>
      </c>
      <c r="E130" s="12" t="n">
        <v>2</v>
      </c>
      <c r="F130" s="12" t="s">
        <v>2387</v>
      </c>
      <c r="G130" s="12" t="s">
        <v>2310</v>
      </c>
      <c r="H130" s="13" t="n">
        <v>11146723</v>
      </c>
      <c r="I130" s="17"/>
      <c r="J130" s="13" t="n">
        <v>93406</v>
      </c>
      <c r="K130" s="12" t="n">
        <v>8</v>
      </c>
      <c r="L130" s="12" t="s">
        <v>92</v>
      </c>
      <c r="M130" s="12" t="s">
        <v>2670</v>
      </c>
    </row>
    <row r="131" customFormat="false" ht="15" hidden="false" customHeight="false" outlineLevel="0" collapsed="false">
      <c r="A131" s="12" t="s">
        <v>2306</v>
      </c>
      <c r="B131" s="12" t="s">
        <v>2671</v>
      </c>
      <c r="C131" s="12" t="s">
        <v>2672</v>
      </c>
      <c r="D131" s="12" t="s">
        <v>90</v>
      </c>
      <c r="E131" s="12" t="n">
        <v>2</v>
      </c>
      <c r="F131" s="12" t="s">
        <v>2314</v>
      </c>
      <c r="G131" s="12" t="s">
        <v>2310</v>
      </c>
      <c r="H131" s="17"/>
      <c r="I131" s="17"/>
      <c r="J131" s="13" t="n">
        <v>249261</v>
      </c>
      <c r="K131" s="12" t="n">
        <v>7.3</v>
      </c>
      <c r="L131" s="12" t="s">
        <v>169</v>
      </c>
      <c r="M131" s="12" t="s">
        <v>2673</v>
      </c>
    </row>
    <row r="132" customFormat="false" ht="15" hidden="false" customHeight="false" outlineLevel="0" collapsed="false">
      <c r="A132" s="12" t="s">
        <v>2306</v>
      </c>
      <c r="B132" s="12" t="s">
        <v>2674</v>
      </c>
      <c r="C132" s="12" t="s">
        <v>2675</v>
      </c>
      <c r="D132" s="12" t="s">
        <v>175</v>
      </c>
      <c r="E132" s="12" t="n">
        <v>2</v>
      </c>
      <c r="F132" s="12" t="s">
        <v>2314</v>
      </c>
      <c r="G132" s="12" t="s">
        <v>2310</v>
      </c>
      <c r="H132" s="17"/>
      <c r="I132" s="17"/>
      <c r="J132" s="13" t="n">
        <v>248430</v>
      </c>
      <c r="K132" s="12" t="n">
        <v>6.4</v>
      </c>
      <c r="L132" s="12" t="s">
        <v>169</v>
      </c>
      <c r="M132" s="12" t="s">
        <v>2676</v>
      </c>
    </row>
    <row r="133" customFormat="false" ht="15" hidden="false" customHeight="false" outlineLevel="0" collapsed="false">
      <c r="A133" s="12" t="s">
        <v>2306</v>
      </c>
      <c r="B133" s="12" t="s">
        <v>2677</v>
      </c>
      <c r="C133" s="12" t="s">
        <v>2678</v>
      </c>
      <c r="D133" s="12" t="s">
        <v>207</v>
      </c>
      <c r="E133" s="12" t="n">
        <v>2</v>
      </c>
      <c r="F133" s="12" t="s">
        <v>2387</v>
      </c>
      <c r="G133" s="12" t="s">
        <v>2310</v>
      </c>
      <c r="H133" s="13" t="n">
        <v>4183535</v>
      </c>
      <c r="I133" s="17"/>
      <c r="J133" s="13" t="n">
        <v>199993</v>
      </c>
      <c r="K133" s="12" t="n">
        <v>7.9</v>
      </c>
      <c r="L133" s="12" t="s">
        <v>92</v>
      </c>
      <c r="M133" s="12" t="s">
        <v>2679</v>
      </c>
    </row>
    <row r="134" customFormat="false" ht="15" hidden="false" customHeight="false" outlineLevel="0" collapsed="false">
      <c r="A134" s="12" t="s">
        <v>2306</v>
      </c>
      <c r="B134" s="12" t="s">
        <v>2680</v>
      </c>
      <c r="C134" s="12" t="s">
        <v>2681</v>
      </c>
      <c r="D134" s="12" t="s">
        <v>101</v>
      </c>
      <c r="E134" s="12" t="n">
        <v>2</v>
      </c>
      <c r="F134" s="12" t="s">
        <v>2314</v>
      </c>
      <c r="G134" s="12" t="s">
        <v>2310</v>
      </c>
      <c r="H134" s="17"/>
      <c r="I134" s="17"/>
      <c r="J134" s="13" t="n">
        <v>245418</v>
      </c>
      <c r="K134" s="12" t="n">
        <v>6.8</v>
      </c>
      <c r="L134" s="12" t="s">
        <v>169</v>
      </c>
      <c r="M134" s="12" t="s">
        <v>2682</v>
      </c>
    </row>
    <row r="135" customFormat="false" ht="15" hidden="false" customHeight="false" outlineLevel="0" collapsed="false">
      <c r="A135" s="12" t="s">
        <v>2306</v>
      </c>
      <c r="B135" s="12" t="s">
        <v>2683</v>
      </c>
      <c r="C135" s="12" t="s">
        <v>2684</v>
      </c>
      <c r="D135" s="12" t="s">
        <v>111</v>
      </c>
      <c r="E135" s="12" t="n">
        <v>2</v>
      </c>
      <c r="F135" s="12" t="s">
        <v>2314</v>
      </c>
      <c r="G135" s="12" t="s">
        <v>2310</v>
      </c>
      <c r="H135" s="17"/>
      <c r="I135" s="17"/>
      <c r="J135" s="13" t="n">
        <v>244692</v>
      </c>
      <c r="K135" s="12" t="n">
        <v>6.3</v>
      </c>
      <c r="L135" s="12" t="s">
        <v>169</v>
      </c>
      <c r="M135" s="12" t="s">
        <v>2685</v>
      </c>
    </row>
    <row r="136" customFormat="false" ht="15" hidden="false" customHeight="false" outlineLevel="0" collapsed="false">
      <c r="A136" s="12" t="s">
        <v>2306</v>
      </c>
      <c r="B136" s="12" t="s">
        <v>2686</v>
      </c>
      <c r="C136" s="12" t="s">
        <v>2687</v>
      </c>
      <c r="D136" s="12" t="s">
        <v>101</v>
      </c>
      <c r="E136" s="12" t="n">
        <v>2</v>
      </c>
      <c r="F136" s="12" t="s">
        <v>2688</v>
      </c>
      <c r="G136" s="12" t="s">
        <v>2310</v>
      </c>
      <c r="H136" s="17"/>
      <c r="I136" s="17"/>
      <c r="J136" s="13" t="n">
        <v>244036</v>
      </c>
      <c r="K136" s="12" t="n">
        <v>7</v>
      </c>
      <c r="L136" s="12" t="s">
        <v>674</v>
      </c>
      <c r="M136" s="12" t="s">
        <v>2689</v>
      </c>
    </row>
    <row r="137" customFormat="false" ht="15" hidden="false" customHeight="false" outlineLevel="0" collapsed="false">
      <c r="A137" s="12" t="s">
        <v>2306</v>
      </c>
      <c r="B137" s="12" t="s">
        <v>2690</v>
      </c>
      <c r="C137" s="12" t="s">
        <v>2691</v>
      </c>
      <c r="D137" s="12" t="s">
        <v>90</v>
      </c>
      <c r="E137" s="12" t="n">
        <v>2</v>
      </c>
      <c r="F137" s="12" t="s">
        <v>2387</v>
      </c>
      <c r="G137" s="12" t="s">
        <v>2310</v>
      </c>
      <c r="H137" s="13" t="n">
        <v>5786301</v>
      </c>
      <c r="I137" s="17"/>
      <c r="J137" s="13" t="n">
        <v>134641</v>
      </c>
      <c r="K137" s="12" t="n">
        <v>6.6</v>
      </c>
      <c r="L137" s="12" t="s">
        <v>92</v>
      </c>
      <c r="M137" s="12" t="s">
        <v>2692</v>
      </c>
    </row>
    <row r="138" customFormat="false" ht="15" hidden="false" customHeight="false" outlineLevel="0" collapsed="false">
      <c r="A138" s="12" t="s">
        <v>2306</v>
      </c>
      <c r="B138" s="12" t="s">
        <v>2693</v>
      </c>
      <c r="C138" s="12" t="s">
        <v>2694</v>
      </c>
      <c r="D138" s="12" t="s">
        <v>158</v>
      </c>
      <c r="E138" s="12" t="n">
        <v>2</v>
      </c>
      <c r="F138" s="12" t="s">
        <v>2387</v>
      </c>
      <c r="G138" s="12" t="s">
        <v>2310</v>
      </c>
      <c r="H138" s="13" t="n">
        <v>3366763</v>
      </c>
      <c r="I138" s="17"/>
      <c r="J138" s="13" t="n">
        <v>232351</v>
      </c>
      <c r="K138" s="12" t="n">
        <v>5.8</v>
      </c>
      <c r="L138" s="12" t="s">
        <v>92</v>
      </c>
      <c r="M138" s="12" t="s">
        <v>2695</v>
      </c>
    </row>
    <row r="139" customFormat="false" ht="15" hidden="false" customHeight="false" outlineLevel="0" collapsed="false">
      <c r="A139" s="12" t="s">
        <v>2306</v>
      </c>
      <c r="B139" s="12" t="s">
        <v>2696</v>
      </c>
      <c r="C139" s="12" t="s">
        <v>2697</v>
      </c>
      <c r="D139" s="12" t="s">
        <v>90</v>
      </c>
      <c r="E139" s="12" t="n">
        <v>2</v>
      </c>
      <c r="F139" s="12" t="s">
        <v>2387</v>
      </c>
      <c r="G139" s="12" t="s">
        <v>2310</v>
      </c>
      <c r="H139" s="13" t="n">
        <v>3330607</v>
      </c>
      <c r="I139" s="17"/>
      <c r="J139" s="13" t="n">
        <v>234779</v>
      </c>
      <c r="K139" s="12" t="n">
        <v>5.7</v>
      </c>
      <c r="L139" s="12" t="s">
        <v>92</v>
      </c>
      <c r="M139" s="12" t="s">
        <v>2698</v>
      </c>
    </row>
    <row r="140" customFormat="false" ht="15" hidden="false" customHeight="false" outlineLevel="0" collapsed="false">
      <c r="A140" s="12" t="s">
        <v>2306</v>
      </c>
      <c r="B140" s="12" t="s">
        <v>2699</v>
      </c>
      <c r="C140" s="12" t="s">
        <v>2700</v>
      </c>
      <c r="D140" s="12" t="s">
        <v>207</v>
      </c>
      <c r="E140" s="12" t="n">
        <v>2</v>
      </c>
      <c r="F140" s="12" t="s">
        <v>2314</v>
      </c>
      <c r="G140" s="12" t="s">
        <v>2310</v>
      </c>
      <c r="H140" s="17"/>
      <c r="I140" s="17"/>
      <c r="J140" s="13" t="n">
        <v>242175</v>
      </c>
      <c r="K140" s="12" t="n">
        <v>6.3</v>
      </c>
      <c r="L140" s="12" t="s">
        <v>169</v>
      </c>
      <c r="M140" s="12" t="s">
        <v>2701</v>
      </c>
    </row>
    <row r="141" customFormat="false" ht="15" hidden="false" customHeight="false" outlineLevel="0" collapsed="false">
      <c r="A141" s="12" t="s">
        <v>2306</v>
      </c>
      <c r="B141" s="12" t="s">
        <v>2702</v>
      </c>
      <c r="C141" s="12" t="s">
        <v>2703</v>
      </c>
      <c r="D141" s="12" t="s">
        <v>202</v>
      </c>
      <c r="E141" s="12" t="n">
        <v>2</v>
      </c>
      <c r="F141" s="12" t="s">
        <v>2563</v>
      </c>
      <c r="G141" s="12" t="s">
        <v>2310</v>
      </c>
      <c r="H141" s="17"/>
      <c r="I141" s="13" t="n">
        <v>723192705</v>
      </c>
      <c r="J141" s="13" t="n">
        <v>907907</v>
      </c>
      <c r="K141" s="12" t="n">
        <v>7.7</v>
      </c>
      <c r="L141" s="12" t="s">
        <v>92</v>
      </c>
      <c r="M141" s="12" t="s">
        <v>2704</v>
      </c>
    </row>
    <row r="142" customFormat="false" ht="15" hidden="false" customHeight="false" outlineLevel="0" collapsed="false">
      <c r="A142" s="12" t="s">
        <v>2306</v>
      </c>
      <c r="B142" s="12" t="s">
        <v>2705</v>
      </c>
      <c r="C142" s="12" t="s">
        <v>2706</v>
      </c>
      <c r="D142" s="12" t="s">
        <v>251</v>
      </c>
      <c r="E142" s="12" t="n">
        <v>2</v>
      </c>
      <c r="F142" s="12" t="s">
        <v>2314</v>
      </c>
      <c r="G142" s="12" t="s">
        <v>2310</v>
      </c>
      <c r="H142" s="17"/>
      <c r="I142" s="17"/>
      <c r="J142" s="13" t="n">
        <v>241540</v>
      </c>
      <c r="K142" s="12" t="n">
        <v>7</v>
      </c>
      <c r="L142" s="12" t="s">
        <v>169</v>
      </c>
      <c r="M142" s="12" t="s">
        <v>2707</v>
      </c>
    </row>
    <row r="143" customFormat="false" ht="15" hidden="false" customHeight="false" outlineLevel="0" collapsed="false">
      <c r="A143" s="12" t="s">
        <v>2306</v>
      </c>
      <c r="B143" s="12" t="s">
        <v>2708</v>
      </c>
      <c r="C143" s="12" t="s">
        <v>2709</v>
      </c>
      <c r="D143" s="12" t="s">
        <v>251</v>
      </c>
      <c r="E143" s="12" t="n">
        <v>2</v>
      </c>
      <c r="F143" s="12" t="s">
        <v>2314</v>
      </c>
      <c r="G143" s="12" t="s">
        <v>2310</v>
      </c>
      <c r="H143" s="17"/>
      <c r="I143" s="17"/>
      <c r="J143" s="13" t="n">
        <v>240002</v>
      </c>
      <c r="K143" s="12" t="n">
        <v>8.1</v>
      </c>
      <c r="L143" s="12" t="s">
        <v>169</v>
      </c>
      <c r="M143" s="12" t="s">
        <v>2710</v>
      </c>
    </row>
    <row r="144" customFormat="false" ht="15" hidden="false" customHeight="false" outlineLevel="0" collapsed="false">
      <c r="A144" s="12" t="s">
        <v>2306</v>
      </c>
      <c r="B144" s="12" t="s">
        <v>2711</v>
      </c>
      <c r="C144" s="12" t="s">
        <v>2712</v>
      </c>
      <c r="D144" s="12" t="s">
        <v>111</v>
      </c>
      <c r="E144" s="12" t="n">
        <v>2</v>
      </c>
      <c r="F144" s="12" t="s">
        <v>2314</v>
      </c>
      <c r="G144" s="12" t="s">
        <v>2310</v>
      </c>
      <c r="H144" s="17"/>
      <c r="I144" s="17"/>
      <c r="J144" s="13" t="n">
        <v>239241</v>
      </c>
      <c r="K144" s="12" t="n">
        <v>7.5</v>
      </c>
      <c r="L144" s="12" t="s">
        <v>169</v>
      </c>
      <c r="M144" s="12" t="s">
        <v>2713</v>
      </c>
    </row>
    <row r="145" customFormat="false" ht="15" hidden="false" customHeight="false" outlineLevel="0" collapsed="false">
      <c r="A145" s="12" t="s">
        <v>2306</v>
      </c>
      <c r="B145" s="12" t="s">
        <v>2714</v>
      </c>
      <c r="D145" s="12" t="s">
        <v>251</v>
      </c>
      <c r="E145" s="12" t="n">
        <v>1</v>
      </c>
      <c r="F145" s="12" t="s">
        <v>2404</v>
      </c>
      <c r="G145" s="12" t="s">
        <v>2405</v>
      </c>
      <c r="H145" s="13" t="n">
        <v>2987012</v>
      </c>
      <c r="I145" s="17"/>
      <c r="J145" s="17"/>
      <c r="L145" s="12" t="s">
        <v>92</v>
      </c>
    </row>
    <row r="146" customFormat="false" ht="15" hidden="false" customHeight="false" outlineLevel="0" collapsed="false">
      <c r="A146" s="12" t="s">
        <v>2306</v>
      </c>
      <c r="B146" s="12" t="s">
        <v>2715</v>
      </c>
      <c r="C146" s="12" t="s">
        <v>2716</v>
      </c>
      <c r="D146" s="12" t="s">
        <v>175</v>
      </c>
      <c r="E146" s="12" t="n">
        <v>2</v>
      </c>
      <c r="F146" s="12" t="s">
        <v>2314</v>
      </c>
      <c r="G146" s="12" t="s">
        <v>2310</v>
      </c>
      <c r="H146" s="17"/>
      <c r="I146" s="17"/>
      <c r="J146" s="13" t="n">
        <v>238959</v>
      </c>
      <c r="K146" s="12" t="n">
        <v>7.6</v>
      </c>
      <c r="L146" s="12" t="s">
        <v>169</v>
      </c>
      <c r="M146" s="12" t="s">
        <v>2717</v>
      </c>
    </row>
    <row r="147" customFormat="false" ht="15" hidden="false" customHeight="false" outlineLevel="0" collapsed="false">
      <c r="A147" s="12" t="s">
        <v>2306</v>
      </c>
      <c r="B147" s="12" t="s">
        <v>2718</v>
      </c>
      <c r="C147" s="12" t="s">
        <v>2719</v>
      </c>
      <c r="D147" s="12" t="s">
        <v>175</v>
      </c>
      <c r="E147" s="12" t="n">
        <v>2</v>
      </c>
      <c r="F147" s="12" t="s">
        <v>2314</v>
      </c>
      <c r="G147" s="12" t="s">
        <v>2310</v>
      </c>
      <c r="H147" s="17"/>
      <c r="I147" s="17"/>
      <c r="J147" s="13" t="n">
        <v>237675</v>
      </c>
      <c r="K147" s="12" t="n">
        <v>6.5</v>
      </c>
      <c r="L147" s="12" t="s">
        <v>169</v>
      </c>
      <c r="M147" s="12" t="s">
        <v>2720</v>
      </c>
    </row>
    <row r="148" customFormat="false" ht="15" hidden="false" customHeight="false" outlineLevel="0" collapsed="false">
      <c r="A148" s="12" t="s">
        <v>2306</v>
      </c>
      <c r="B148" s="12" t="s">
        <v>2721</v>
      </c>
      <c r="C148" s="12" t="s">
        <v>2722</v>
      </c>
      <c r="D148" s="12" t="s">
        <v>251</v>
      </c>
      <c r="E148" s="12" t="n">
        <v>2</v>
      </c>
      <c r="F148" s="12" t="s">
        <v>2314</v>
      </c>
      <c r="G148" s="12" t="s">
        <v>2310</v>
      </c>
      <c r="H148" s="17"/>
      <c r="I148" s="17"/>
      <c r="J148" s="13" t="n">
        <v>234360</v>
      </c>
      <c r="K148" s="12" t="n">
        <v>6.5</v>
      </c>
      <c r="L148" s="12" t="s">
        <v>169</v>
      </c>
      <c r="M148" s="12" t="s">
        <v>2723</v>
      </c>
    </row>
    <row r="149" customFormat="false" ht="15" hidden="false" customHeight="false" outlineLevel="0" collapsed="false">
      <c r="A149" s="12" t="s">
        <v>2306</v>
      </c>
      <c r="B149" s="12" t="s">
        <v>2724</v>
      </c>
      <c r="C149" s="12" t="s">
        <v>2725</v>
      </c>
      <c r="D149" s="12" t="s">
        <v>90</v>
      </c>
      <c r="E149" s="12" t="n">
        <v>2</v>
      </c>
      <c r="F149" s="12" t="s">
        <v>2314</v>
      </c>
      <c r="G149" s="12" t="s">
        <v>2310</v>
      </c>
      <c r="H149" s="17"/>
      <c r="I149" s="17"/>
      <c r="J149" s="13" t="n">
        <v>233076</v>
      </c>
      <c r="K149" s="12" t="n">
        <v>6</v>
      </c>
      <c r="L149" s="12" t="s">
        <v>169</v>
      </c>
      <c r="M149" s="12" t="s">
        <v>2726</v>
      </c>
    </row>
    <row r="150" customFormat="false" ht="15" hidden="false" customHeight="false" outlineLevel="0" collapsed="false">
      <c r="A150" s="12" t="s">
        <v>2306</v>
      </c>
      <c r="B150" s="12" t="s">
        <v>2727</v>
      </c>
      <c r="D150" s="12" t="s">
        <v>158</v>
      </c>
      <c r="E150" s="12" t="n">
        <v>2</v>
      </c>
      <c r="F150" s="12" t="s">
        <v>2387</v>
      </c>
      <c r="G150" s="12" t="s">
        <v>2310</v>
      </c>
      <c r="H150" s="13" t="n">
        <v>3712314</v>
      </c>
      <c r="I150" s="17"/>
      <c r="J150" s="13" t="n">
        <v>200026</v>
      </c>
      <c r="K150" s="12" t="n">
        <v>5.5</v>
      </c>
      <c r="L150" s="12" t="s">
        <v>92</v>
      </c>
      <c r="M150" s="12" t="s">
        <v>2728</v>
      </c>
    </row>
    <row r="151" customFormat="false" ht="15" hidden="false" customHeight="false" outlineLevel="0" collapsed="false">
      <c r="A151" s="12" t="s">
        <v>2306</v>
      </c>
      <c r="B151" s="12" t="s">
        <v>2729</v>
      </c>
      <c r="C151" s="12" t="s">
        <v>2730</v>
      </c>
      <c r="D151" s="12" t="s">
        <v>111</v>
      </c>
      <c r="E151" s="12" t="n">
        <v>2</v>
      </c>
      <c r="F151" s="12" t="s">
        <v>2314</v>
      </c>
      <c r="G151" s="12" t="s">
        <v>2310</v>
      </c>
      <c r="H151" s="17"/>
      <c r="I151" s="17"/>
      <c r="J151" s="13" t="n">
        <v>232934</v>
      </c>
      <c r="K151" s="12" t="n">
        <v>5.7</v>
      </c>
      <c r="L151" s="12" t="s">
        <v>169</v>
      </c>
      <c r="M151" s="12" t="s">
        <v>2731</v>
      </c>
    </row>
    <row r="152" customFormat="false" ht="15" hidden="false" customHeight="false" outlineLevel="0" collapsed="false">
      <c r="A152" s="12" t="s">
        <v>2306</v>
      </c>
      <c r="B152" s="12" t="s">
        <v>2732</v>
      </c>
      <c r="C152" s="12" t="s">
        <v>2732</v>
      </c>
      <c r="D152" s="12" t="s">
        <v>175</v>
      </c>
      <c r="E152" s="12" t="n">
        <v>2</v>
      </c>
      <c r="F152" s="12" t="s">
        <v>2314</v>
      </c>
      <c r="G152" s="12" t="s">
        <v>2310</v>
      </c>
      <c r="H152" s="17"/>
      <c r="I152" s="17"/>
      <c r="J152" s="13" t="n">
        <v>232616</v>
      </c>
      <c r="K152" s="12" t="n">
        <v>7.6</v>
      </c>
      <c r="L152" s="12" t="s">
        <v>169</v>
      </c>
      <c r="M152" s="12" t="s">
        <v>2733</v>
      </c>
    </row>
    <row r="153" customFormat="false" ht="15" hidden="false" customHeight="false" outlineLevel="0" collapsed="false">
      <c r="A153" s="12" t="s">
        <v>2306</v>
      </c>
      <c r="B153" s="12" t="s">
        <v>2734</v>
      </c>
      <c r="D153" s="12" t="s">
        <v>500</v>
      </c>
      <c r="E153" s="12" t="n">
        <v>2</v>
      </c>
      <c r="F153" s="12" t="s">
        <v>2387</v>
      </c>
      <c r="G153" s="12" t="s">
        <v>2310</v>
      </c>
      <c r="H153" s="13" t="n">
        <v>2271721</v>
      </c>
      <c r="I153" s="17"/>
      <c r="J153" s="13" t="n">
        <v>393590</v>
      </c>
      <c r="K153" s="12" t="n">
        <v>6.5</v>
      </c>
      <c r="L153" s="12" t="s">
        <v>92</v>
      </c>
      <c r="M153" s="12" t="s">
        <v>2735</v>
      </c>
    </row>
    <row r="154" customFormat="false" ht="15" hidden="false" customHeight="false" outlineLevel="0" collapsed="false">
      <c r="A154" s="12" t="s">
        <v>2306</v>
      </c>
      <c r="B154" s="12" t="s">
        <v>2736</v>
      </c>
      <c r="C154" s="12" t="s">
        <v>2737</v>
      </c>
      <c r="D154" s="12" t="s">
        <v>183</v>
      </c>
      <c r="E154" s="12" t="n">
        <v>2</v>
      </c>
      <c r="F154" s="12" t="s">
        <v>2387</v>
      </c>
      <c r="G154" s="12" t="s">
        <v>2310</v>
      </c>
      <c r="H154" s="13" t="n">
        <v>2819817</v>
      </c>
      <c r="I154" s="17"/>
      <c r="J154" s="13" t="n">
        <v>274875</v>
      </c>
      <c r="K154" s="12" t="n">
        <v>6.2</v>
      </c>
      <c r="L154" s="12" t="s">
        <v>92</v>
      </c>
      <c r="M154" s="12" t="s">
        <v>2738</v>
      </c>
    </row>
    <row r="155" customFormat="false" ht="15" hidden="false" customHeight="false" outlineLevel="0" collapsed="false">
      <c r="A155" s="12" t="s">
        <v>2306</v>
      </c>
      <c r="B155" s="12" t="s">
        <v>2739</v>
      </c>
      <c r="C155" s="12" t="s">
        <v>2740</v>
      </c>
      <c r="D155" s="12" t="s">
        <v>1103</v>
      </c>
      <c r="E155" s="12" t="n">
        <v>2</v>
      </c>
      <c r="F155" s="12" t="s">
        <v>2314</v>
      </c>
      <c r="G155" s="12" t="s">
        <v>2310</v>
      </c>
      <c r="H155" s="17"/>
      <c r="I155" s="17"/>
      <c r="J155" s="13" t="n">
        <v>231742</v>
      </c>
      <c r="K155" s="12" t="n">
        <v>7.7</v>
      </c>
      <c r="L155" s="12" t="s">
        <v>169</v>
      </c>
      <c r="M155" s="12" t="s">
        <v>2741</v>
      </c>
    </row>
    <row r="156" customFormat="false" ht="15" hidden="false" customHeight="false" outlineLevel="0" collapsed="false">
      <c r="A156" s="12" t="s">
        <v>2306</v>
      </c>
      <c r="B156" s="12" t="s">
        <v>2742</v>
      </c>
      <c r="C156" s="12" t="s">
        <v>2743</v>
      </c>
      <c r="D156" s="12" t="s">
        <v>140</v>
      </c>
      <c r="E156" s="12" t="n">
        <v>2</v>
      </c>
      <c r="F156" s="12" t="s">
        <v>2387</v>
      </c>
      <c r="G156" s="12" t="s">
        <v>2310</v>
      </c>
      <c r="H156" s="13" t="n">
        <v>2522062</v>
      </c>
      <c r="I156" s="17"/>
      <c r="J156" s="13" t="n">
        <v>320826</v>
      </c>
      <c r="K156" s="12" t="n">
        <v>7.1</v>
      </c>
      <c r="L156" s="12" t="s">
        <v>92</v>
      </c>
      <c r="M156" s="12" t="s">
        <v>2744</v>
      </c>
    </row>
    <row r="157" customFormat="false" ht="15" hidden="false" customHeight="false" outlineLevel="0" collapsed="false">
      <c r="A157" s="12" t="s">
        <v>2306</v>
      </c>
      <c r="B157" s="12" t="s">
        <v>2745</v>
      </c>
      <c r="C157" s="12" t="s">
        <v>2746</v>
      </c>
      <c r="D157" s="12" t="s">
        <v>118</v>
      </c>
      <c r="E157" s="12" t="n">
        <v>2</v>
      </c>
      <c r="F157" s="12" t="s">
        <v>2314</v>
      </c>
      <c r="G157" s="12" t="s">
        <v>2310</v>
      </c>
      <c r="H157" s="17"/>
      <c r="I157" s="17"/>
      <c r="J157" s="13" t="n">
        <v>230451</v>
      </c>
      <c r="K157" s="12" t="n">
        <v>6.5</v>
      </c>
      <c r="L157" s="12" t="s">
        <v>169</v>
      </c>
      <c r="M157" s="12" t="s">
        <v>2747</v>
      </c>
    </row>
    <row r="158" customFormat="false" ht="15" hidden="false" customHeight="false" outlineLevel="0" collapsed="false">
      <c r="A158" s="12" t="s">
        <v>2306</v>
      </c>
      <c r="B158" s="12" t="s">
        <v>2748</v>
      </c>
      <c r="C158" s="12" t="s">
        <v>2749</v>
      </c>
      <c r="D158" s="12" t="s">
        <v>90</v>
      </c>
      <c r="E158" s="12" t="n">
        <v>2</v>
      </c>
      <c r="F158" s="12" t="s">
        <v>2314</v>
      </c>
      <c r="G158" s="12" t="s">
        <v>2310</v>
      </c>
      <c r="H158" s="17"/>
      <c r="I158" s="17"/>
      <c r="J158" s="13" t="n">
        <v>230386</v>
      </c>
      <c r="K158" s="12" t="n">
        <v>6.6</v>
      </c>
      <c r="L158" s="12" t="s">
        <v>169</v>
      </c>
      <c r="M158" s="12" t="s">
        <v>2750</v>
      </c>
    </row>
    <row r="159" customFormat="false" ht="15" hidden="false" customHeight="false" outlineLevel="0" collapsed="false">
      <c r="A159" s="12" t="s">
        <v>2306</v>
      </c>
      <c r="B159" s="12" t="s">
        <v>2751</v>
      </c>
      <c r="C159" s="12" t="s">
        <v>2752</v>
      </c>
      <c r="D159" s="12" t="s">
        <v>505</v>
      </c>
      <c r="E159" s="12" t="n">
        <v>2</v>
      </c>
      <c r="F159" s="12" t="s">
        <v>2314</v>
      </c>
      <c r="G159" s="12" t="s">
        <v>2310</v>
      </c>
      <c r="H159" s="17"/>
      <c r="I159" s="17"/>
      <c r="J159" s="13" t="n">
        <v>229675</v>
      </c>
      <c r="K159" s="12" t="n">
        <v>6.6</v>
      </c>
      <c r="L159" s="12" t="s">
        <v>169</v>
      </c>
      <c r="M159" s="12" t="s">
        <v>2753</v>
      </c>
    </row>
    <row r="160" customFormat="false" ht="15" hidden="false" customHeight="false" outlineLevel="0" collapsed="false">
      <c r="A160" s="12" t="s">
        <v>2306</v>
      </c>
      <c r="B160" s="12" t="s">
        <v>2754</v>
      </c>
      <c r="C160" s="12" t="s">
        <v>2755</v>
      </c>
      <c r="D160" s="12" t="s">
        <v>140</v>
      </c>
      <c r="E160" s="12" t="n">
        <v>2</v>
      </c>
      <c r="F160" s="12" t="s">
        <v>2387</v>
      </c>
      <c r="G160" s="12" t="s">
        <v>2310</v>
      </c>
      <c r="H160" s="13" t="n">
        <v>2518398</v>
      </c>
      <c r="I160" s="17"/>
      <c r="J160" s="13" t="n">
        <v>317376</v>
      </c>
      <c r="K160" s="12" t="n">
        <v>6.1</v>
      </c>
      <c r="L160" s="12" t="s">
        <v>92</v>
      </c>
      <c r="M160" s="12" t="s">
        <v>2756</v>
      </c>
    </row>
    <row r="161" customFormat="false" ht="15" hidden="false" customHeight="false" outlineLevel="0" collapsed="false">
      <c r="A161" s="12" t="s">
        <v>2306</v>
      </c>
      <c r="B161" s="12" t="s">
        <v>2757</v>
      </c>
      <c r="C161" s="12" t="s">
        <v>2758</v>
      </c>
      <c r="D161" s="12" t="s">
        <v>127</v>
      </c>
      <c r="E161" s="12" t="n">
        <v>2</v>
      </c>
      <c r="F161" s="12" t="s">
        <v>2387</v>
      </c>
      <c r="G161" s="12" t="s">
        <v>2310</v>
      </c>
      <c r="H161" s="13" t="n">
        <v>2323009</v>
      </c>
      <c r="I161" s="17"/>
      <c r="J161" s="13" t="n">
        <v>362917</v>
      </c>
      <c r="K161" s="12" t="n">
        <v>7.3</v>
      </c>
      <c r="L161" s="12" t="s">
        <v>92</v>
      </c>
      <c r="M161" s="12" t="s">
        <v>2759</v>
      </c>
    </row>
    <row r="162" customFormat="false" ht="15" hidden="false" customHeight="false" outlineLevel="0" collapsed="false">
      <c r="A162" s="12" t="s">
        <v>2306</v>
      </c>
      <c r="B162" s="12" t="s">
        <v>2760</v>
      </c>
      <c r="C162" s="12" t="s">
        <v>2761</v>
      </c>
      <c r="D162" s="12" t="s">
        <v>189</v>
      </c>
      <c r="E162" s="12" t="n">
        <v>2</v>
      </c>
      <c r="F162" s="12" t="s">
        <v>2314</v>
      </c>
      <c r="G162" s="12" t="s">
        <v>2310</v>
      </c>
      <c r="H162" s="17"/>
      <c r="I162" s="17"/>
      <c r="J162" s="13" t="n">
        <v>229641</v>
      </c>
      <c r="K162" s="12" t="n">
        <v>6.1</v>
      </c>
      <c r="L162" s="12" t="s">
        <v>169</v>
      </c>
      <c r="M162" s="12" t="s">
        <v>2762</v>
      </c>
    </row>
    <row r="163" customFormat="false" ht="15" hidden="false" customHeight="false" outlineLevel="0" collapsed="false">
      <c r="A163" s="12" t="s">
        <v>2306</v>
      </c>
      <c r="B163" s="12" t="s">
        <v>2763</v>
      </c>
      <c r="C163" s="12" t="s">
        <v>2764</v>
      </c>
      <c r="D163" s="12" t="s">
        <v>175</v>
      </c>
      <c r="E163" s="12" t="n">
        <v>2</v>
      </c>
      <c r="F163" s="12" t="s">
        <v>2314</v>
      </c>
      <c r="G163" s="12" t="s">
        <v>2310</v>
      </c>
      <c r="H163" s="17"/>
      <c r="I163" s="17"/>
      <c r="J163" s="13" t="n">
        <v>228564</v>
      </c>
      <c r="K163" s="12" t="n">
        <v>6.7</v>
      </c>
      <c r="L163" s="12" t="s">
        <v>169</v>
      </c>
      <c r="M163" s="12" t="s">
        <v>2765</v>
      </c>
    </row>
    <row r="164" customFormat="false" ht="15" hidden="false" customHeight="false" outlineLevel="0" collapsed="false">
      <c r="A164" s="12" t="s">
        <v>2306</v>
      </c>
      <c r="B164" s="12" t="s">
        <v>2766</v>
      </c>
      <c r="C164" s="12" t="s">
        <v>2767</v>
      </c>
      <c r="D164" s="12" t="s">
        <v>118</v>
      </c>
      <c r="E164" s="12" t="n">
        <v>2</v>
      </c>
      <c r="F164" s="12" t="s">
        <v>2314</v>
      </c>
      <c r="G164" s="12" t="s">
        <v>2310</v>
      </c>
      <c r="H164" s="17"/>
      <c r="I164" s="17"/>
      <c r="J164" s="13" t="n">
        <v>227964</v>
      </c>
      <c r="K164" s="12" t="n">
        <v>7.8</v>
      </c>
      <c r="L164" s="12" t="s">
        <v>169</v>
      </c>
      <c r="M164" s="12" t="s">
        <v>2768</v>
      </c>
    </row>
    <row r="165" customFormat="false" ht="15" hidden="false" customHeight="false" outlineLevel="0" collapsed="false">
      <c r="A165" s="12" t="s">
        <v>2306</v>
      </c>
      <c r="B165" s="12" t="s">
        <v>2769</v>
      </c>
      <c r="C165" s="12" t="s">
        <v>2770</v>
      </c>
      <c r="D165" s="12" t="s">
        <v>321</v>
      </c>
      <c r="E165" s="12" t="n">
        <v>2</v>
      </c>
      <c r="F165" s="12" t="s">
        <v>2387</v>
      </c>
      <c r="G165" s="12" t="s">
        <v>2310</v>
      </c>
      <c r="H165" s="13" t="n">
        <v>1842347</v>
      </c>
      <c r="I165" s="17"/>
      <c r="J165" s="13" t="n">
        <v>536562</v>
      </c>
      <c r="K165" s="12" t="n">
        <v>5.4</v>
      </c>
      <c r="L165" s="12" t="s">
        <v>92</v>
      </c>
      <c r="M165" s="12" t="s">
        <v>2771</v>
      </c>
    </row>
    <row r="166" customFormat="false" ht="15" hidden="false" customHeight="false" outlineLevel="0" collapsed="false">
      <c r="A166" s="12" t="s">
        <v>2306</v>
      </c>
      <c r="B166" s="12" t="s">
        <v>2772</v>
      </c>
      <c r="C166" s="12" t="s">
        <v>2773</v>
      </c>
      <c r="D166" s="12" t="s">
        <v>118</v>
      </c>
      <c r="E166" s="12" t="n">
        <v>2</v>
      </c>
      <c r="F166" s="12" t="s">
        <v>2314</v>
      </c>
      <c r="G166" s="12" t="s">
        <v>2310</v>
      </c>
      <c r="H166" s="17"/>
      <c r="I166" s="17"/>
      <c r="J166" s="13" t="n">
        <v>227317</v>
      </c>
      <c r="K166" s="12" t="n">
        <v>7.1</v>
      </c>
      <c r="L166" s="12" t="s">
        <v>169</v>
      </c>
      <c r="M166" s="12" t="s">
        <v>2774</v>
      </c>
    </row>
    <row r="167" customFormat="false" ht="15" hidden="false" customHeight="false" outlineLevel="0" collapsed="false">
      <c r="A167" s="12" t="s">
        <v>2306</v>
      </c>
      <c r="B167" s="12" t="s">
        <v>2775</v>
      </c>
      <c r="C167" s="12" t="s">
        <v>2776</v>
      </c>
      <c r="D167" s="12" t="s">
        <v>90</v>
      </c>
      <c r="E167" s="12" t="n">
        <v>2</v>
      </c>
      <c r="F167" s="12" t="s">
        <v>2387</v>
      </c>
      <c r="G167" s="12" t="s">
        <v>2310</v>
      </c>
      <c r="H167" s="13" t="n">
        <v>2743585</v>
      </c>
      <c r="I167" s="17"/>
      <c r="J167" s="13" t="n">
        <v>262047</v>
      </c>
      <c r="K167" s="12" t="n">
        <v>6.4</v>
      </c>
      <c r="L167" s="12" t="s">
        <v>92</v>
      </c>
      <c r="M167" s="12" t="s">
        <v>2777</v>
      </c>
    </row>
    <row r="168" customFormat="false" ht="15" hidden="false" customHeight="false" outlineLevel="0" collapsed="false">
      <c r="A168" s="12" t="s">
        <v>2306</v>
      </c>
      <c r="B168" s="12" t="s">
        <v>2778</v>
      </c>
      <c r="C168" s="12" t="s">
        <v>2779</v>
      </c>
      <c r="D168" s="12" t="s">
        <v>358</v>
      </c>
      <c r="E168" s="12" t="n">
        <v>2</v>
      </c>
      <c r="F168" s="12" t="s">
        <v>2387</v>
      </c>
      <c r="G168" s="12" t="s">
        <v>2310</v>
      </c>
      <c r="H168" s="13" t="n">
        <v>2502709</v>
      </c>
      <c r="I168" s="17"/>
      <c r="J168" s="13" t="n">
        <v>308270</v>
      </c>
      <c r="K168" s="12" t="n">
        <v>5.8</v>
      </c>
      <c r="L168" s="12" t="s">
        <v>92</v>
      </c>
      <c r="M168" s="12" t="s">
        <v>2780</v>
      </c>
    </row>
    <row r="169" customFormat="false" ht="15" hidden="false" customHeight="false" outlineLevel="0" collapsed="false">
      <c r="A169" s="12" t="s">
        <v>2306</v>
      </c>
      <c r="B169" s="12" t="s">
        <v>2781</v>
      </c>
      <c r="C169" s="12" t="s">
        <v>2782</v>
      </c>
      <c r="D169" s="12" t="s">
        <v>202</v>
      </c>
      <c r="E169" s="12" t="n">
        <v>2</v>
      </c>
      <c r="F169" s="12" t="s">
        <v>2387</v>
      </c>
      <c r="G169" s="12" t="s">
        <v>2310</v>
      </c>
      <c r="H169" s="13" t="n">
        <v>2785598</v>
      </c>
      <c r="I169" s="17"/>
      <c r="J169" s="13" t="n">
        <v>255736</v>
      </c>
      <c r="K169" s="12" t="n">
        <v>7.1</v>
      </c>
      <c r="L169" s="12" t="s">
        <v>92</v>
      </c>
      <c r="M169" s="12" t="s">
        <v>2783</v>
      </c>
    </row>
    <row r="170" customFormat="false" ht="15" hidden="false" customHeight="false" outlineLevel="0" collapsed="false">
      <c r="A170" s="12" t="s">
        <v>2306</v>
      </c>
      <c r="B170" s="12" t="s">
        <v>2784</v>
      </c>
      <c r="C170" s="12" t="s">
        <v>2785</v>
      </c>
      <c r="D170" s="12" t="s">
        <v>134</v>
      </c>
      <c r="E170" s="12" t="n">
        <v>2</v>
      </c>
      <c r="F170" s="12" t="s">
        <v>2387</v>
      </c>
      <c r="G170" s="12" t="s">
        <v>2310</v>
      </c>
      <c r="H170" s="13" t="n">
        <v>2308197</v>
      </c>
      <c r="I170" s="17"/>
      <c r="J170" s="13" t="n">
        <v>341498</v>
      </c>
      <c r="K170" s="12" t="n">
        <v>6.5</v>
      </c>
      <c r="L170" s="12" t="s">
        <v>92</v>
      </c>
      <c r="M170" s="12" t="s">
        <v>2786</v>
      </c>
    </row>
    <row r="171" customFormat="false" ht="15" hidden="false" customHeight="false" outlineLevel="0" collapsed="false">
      <c r="A171" s="12" t="s">
        <v>2306</v>
      </c>
      <c r="B171" s="12" t="s">
        <v>2787</v>
      </c>
      <c r="C171" s="12" t="s">
        <v>2788</v>
      </c>
      <c r="D171" s="12" t="s">
        <v>101</v>
      </c>
      <c r="E171" s="12" t="n">
        <v>2</v>
      </c>
      <c r="F171" s="12" t="s">
        <v>2314</v>
      </c>
      <c r="G171" s="12" t="s">
        <v>2310</v>
      </c>
      <c r="H171" s="17"/>
      <c r="I171" s="17"/>
      <c r="J171" s="13" t="n">
        <v>223757</v>
      </c>
      <c r="K171" s="12" t="n">
        <v>6.1</v>
      </c>
      <c r="L171" s="12" t="s">
        <v>169</v>
      </c>
      <c r="M171" s="12" t="s">
        <v>2789</v>
      </c>
    </row>
    <row r="172" customFormat="false" ht="15" hidden="false" customHeight="false" outlineLevel="0" collapsed="false">
      <c r="A172" s="12" t="s">
        <v>2306</v>
      </c>
      <c r="B172" s="12" t="s">
        <v>2790</v>
      </c>
      <c r="C172" s="12" t="s">
        <v>2791</v>
      </c>
      <c r="D172" s="12" t="s">
        <v>146</v>
      </c>
      <c r="E172" s="12" t="n">
        <v>2</v>
      </c>
      <c r="F172" s="12" t="s">
        <v>2387</v>
      </c>
      <c r="G172" s="12" t="s">
        <v>2310</v>
      </c>
      <c r="H172" s="13" t="n">
        <v>1613546</v>
      </c>
      <c r="I172" s="17"/>
      <c r="J172" s="13" t="n">
        <v>633251</v>
      </c>
      <c r="K172" s="12" t="n">
        <v>8</v>
      </c>
      <c r="L172" s="12" t="s">
        <v>92</v>
      </c>
      <c r="M172" s="12" t="s">
        <v>2792</v>
      </c>
    </row>
    <row r="173" customFormat="false" ht="15" hidden="false" customHeight="false" outlineLevel="0" collapsed="false">
      <c r="A173" s="12" t="s">
        <v>2306</v>
      </c>
      <c r="B173" s="12" t="s">
        <v>2793</v>
      </c>
      <c r="C173" s="12" t="s">
        <v>2794</v>
      </c>
      <c r="D173" s="12" t="s">
        <v>158</v>
      </c>
      <c r="E173" s="12" t="n">
        <v>2</v>
      </c>
      <c r="F173" s="12" t="s">
        <v>2387</v>
      </c>
      <c r="G173" s="12" t="s">
        <v>2310</v>
      </c>
      <c r="H173" s="13" t="n">
        <v>2816702</v>
      </c>
      <c r="I173" s="17"/>
      <c r="J173" s="13" t="n">
        <v>251000</v>
      </c>
      <c r="K173" s="12" t="n">
        <v>6.1</v>
      </c>
      <c r="L173" s="12" t="s">
        <v>92</v>
      </c>
      <c r="M173" s="12" t="s">
        <v>2795</v>
      </c>
    </row>
    <row r="174" customFormat="false" ht="15" hidden="false" customHeight="false" outlineLevel="0" collapsed="false">
      <c r="A174" s="12" t="s">
        <v>2306</v>
      </c>
      <c r="B174" s="12" t="s">
        <v>2796</v>
      </c>
      <c r="D174" s="12" t="s">
        <v>158</v>
      </c>
      <c r="E174" s="12" t="n">
        <v>1</v>
      </c>
      <c r="F174" s="12" t="s">
        <v>2404</v>
      </c>
      <c r="G174" s="12" t="s">
        <v>2405</v>
      </c>
      <c r="H174" s="13" t="n">
        <v>2839023</v>
      </c>
      <c r="I174" s="17"/>
      <c r="J174" s="17"/>
      <c r="L174" s="12" t="s">
        <v>92</v>
      </c>
    </row>
    <row r="175" customFormat="false" ht="15" hidden="false" customHeight="false" outlineLevel="0" collapsed="false">
      <c r="A175" s="12" t="s">
        <v>2306</v>
      </c>
      <c r="B175" s="12" t="s">
        <v>2797</v>
      </c>
      <c r="D175" s="12" t="s">
        <v>158</v>
      </c>
      <c r="E175" s="12" t="n">
        <v>2</v>
      </c>
      <c r="F175" s="12" t="s">
        <v>2387</v>
      </c>
      <c r="G175" s="12" t="s">
        <v>2310</v>
      </c>
      <c r="H175" s="13" t="n">
        <v>5212811</v>
      </c>
      <c r="I175" s="17"/>
      <c r="J175" s="13" t="n">
        <v>113878</v>
      </c>
      <c r="K175" s="12" t="n">
        <v>6.3</v>
      </c>
      <c r="L175" s="12" t="s">
        <v>92</v>
      </c>
      <c r="M175" s="12" t="s">
        <v>2798</v>
      </c>
    </row>
    <row r="176" customFormat="false" ht="15" hidden="false" customHeight="false" outlineLevel="0" collapsed="false">
      <c r="A176" s="12" t="s">
        <v>2306</v>
      </c>
      <c r="B176" s="12" t="s">
        <v>2799</v>
      </c>
      <c r="C176" s="12" t="s">
        <v>2800</v>
      </c>
      <c r="D176" s="12" t="s">
        <v>175</v>
      </c>
      <c r="E176" s="12" t="n">
        <v>2</v>
      </c>
      <c r="F176" s="12" t="s">
        <v>2314</v>
      </c>
      <c r="G176" s="12" t="s">
        <v>2310</v>
      </c>
      <c r="H176" s="17"/>
      <c r="I176" s="17"/>
      <c r="J176" s="13" t="n">
        <v>223349</v>
      </c>
      <c r="K176" s="12" t="n">
        <v>6.3</v>
      </c>
      <c r="L176" s="12" t="s">
        <v>169</v>
      </c>
      <c r="M176" s="12" t="s">
        <v>2801</v>
      </c>
    </row>
    <row r="177" customFormat="false" ht="15" hidden="false" customHeight="false" outlineLevel="0" collapsed="false">
      <c r="A177" s="12" t="s">
        <v>2306</v>
      </c>
      <c r="B177" s="12" t="s">
        <v>2802</v>
      </c>
      <c r="C177" s="12" t="s">
        <v>2802</v>
      </c>
      <c r="D177" s="12" t="s">
        <v>1103</v>
      </c>
      <c r="E177" s="12" t="n">
        <v>2</v>
      </c>
      <c r="F177" s="12" t="s">
        <v>2314</v>
      </c>
      <c r="G177" s="12" t="s">
        <v>2310</v>
      </c>
      <c r="H177" s="17"/>
      <c r="I177" s="17"/>
      <c r="J177" s="13" t="n">
        <v>222814</v>
      </c>
      <c r="K177" s="12" t="n">
        <v>7.3</v>
      </c>
      <c r="L177" s="12" t="s">
        <v>169</v>
      </c>
      <c r="M177" s="12" t="s">
        <v>2803</v>
      </c>
    </row>
    <row r="178" customFormat="false" ht="15" hidden="false" customHeight="false" outlineLevel="0" collapsed="false">
      <c r="A178" s="12" t="s">
        <v>2306</v>
      </c>
      <c r="B178" s="12" t="s">
        <v>2804</v>
      </c>
      <c r="C178" s="12" t="s">
        <v>2805</v>
      </c>
      <c r="D178" s="12" t="s">
        <v>500</v>
      </c>
      <c r="E178" s="12" t="n">
        <v>2</v>
      </c>
      <c r="F178" s="12" t="s">
        <v>2309</v>
      </c>
      <c r="G178" s="12" t="s">
        <v>2310</v>
      </c>
      <c r="H178" s="17"/>
      <c r="I178" s="17"/>
      <c r="J178" s="13" t="n">
        <v>222755</v>
      </c>
      <c r="K178" s="12" t="n">
        <v>6.5</v>
      </c>
      <c r="L178" s="12" t="s">
        <v>128</v>
      </c>
      <c r="M178" s="12" t="s">
        <v>2806</v>
      </c>
    </row>
    <row r="179" customFormat="false" ht="15" hidden="false" customHeight="false" outlineLevel="0" collapsed="false">
      <c r="A179" s="12" t="s">
        <v>2306</v>
      </c>
      <c r="B179" s="12" t="s">
        <v>2807</v>
      </c>
      <c r="C179" s="12" t="s">
        <v>2808</v>
      </c>
      <c r="D179" s="12" t="s">
        <v>207</v>
      </c>
      <c r="E179" s="12" t="n">
        <v>2</v>
      </c>
      <c r="F179" s="12" t="s">
        <v>2314</v>
      </c>
      <c r="G179" s="12" t="s">
        <v>2310</v>
      </c>
      <c r="H179" s="17"/>
      <c r="I179" s="17"/>
      <c r="J179" s="13" t="n">
        <v>222702</v>
      </c>
      <c r="K179" s="12" t="n">
        <v>6.7</v>
      </c>
      <c r="L179" s="12" t="s">
        <v>169</v>
      </c>
      <c r="M179" s="12" t="s">
        <v>2809</v>
      </c>
    </row>
    <row r="180" customFormat="false" ht="15" hidden="false" customHeight="false" outlineLevel="0" collapsed="false">
      <c r="A180" s="12" t="s">
        <v>2306</v>
      </c>
      <c r="B180" s="12" t="s">
        <v>2810</v>
      </c>
      <c r="C180" s="12" t="s">
        <v>2811</v>
      </c>
      <c r="D180" s="12" t="s">
        <v>396</v>
      </c>
      <c r="E180" s="12" t="n">
        <v>2</v>
      </c>
      <c r="F180" s="12" t="s">
        <v>2387</v>
      </c>
      <c r="G180" s="12" t="s">
        <v>2310</v>
      </c>
      <c r="H180" s="13" t="n">
        <v>1892094</v>
      </c>
      <c r="I180" s="17"/>
      <c r="J180" s="13" t="n">
        <v>472422</v>
      </c>
      <c r="K180" s="12" t="n">
        <v>7.3</v>
      </c>
      <c r="L180" s="12" t="s">
        <v>92</v>
      </c>
      <c r="M180" s="12" t="s">
        <v>2812</v>
      </c>
    </row>
    <row r="181" customFormat="false" ht="15" hidden="false" customHeight="false" outlineLevel="0" collapsed="false">
      <c r="A181" s="12" t="s">
        <v>2306</v>
      </c>
      <c r="B181" s="12" t="s">
        <v>2813</v>
      </c>
      <c r="C181" s="12" t="s">
        <v>2814</v>
      </c>
      <c r="D181" s="12" t="s">
        <v>118</v>
      </c>
      <c r="E181" s="12" t="n">
        <v>2</v>
      </c>
      <c r="F181" s="12" t="s">
        <v>2314</v>
      </c>
      <c r="G181" s="12" t="s">
        <v>2310</v>
      </c>
      <c r="H181" s="17"/>
      <c r="I181" s="17"/>
      <c r="J181" s="13" t="n">
        <v>221113</v>
      </c>
      <c r="K181" s="12" t="n">
        <v>7.2</v>
      </c>
      <c r="L181" s="12" t="s">
        <v>169</v>
      </c>
      <c r="M181" s="12" t="s">
        <v>2815</v>
      </c>
    </row>
    <row r="182" customFormat="false" ht="15" hidden="false" customHeight="false" outlineLevel="0" collapsed="false">
      <c r="A182" s="12" t="s">
        <v>2306</v>
      </c>
      <c r="B182" s="12" t="s">
        <v>2816</v>
      </c>
      <c r="C182" s="12" t="s">
        <v>2817</v>
      </c>
      <c r="D182" s="12" t="s">
        <v>111</v>
      </c>
      <c r="E182" s="12" t="n">
        <v>2</v>
      </c>
      <c r="F182" s="12" t="s">
        <v>2314</v>
      </c>
      <c r="G182" s="12" t="s">
        <v>2310</v>
      </c>
      <c r="H182" s="17"/>
      <c r="I182" s="17"/>
      <c r="J182" s="13" t="n">
        <v>220184</v>
      </c>
      <c r="K182" s="12" t="n">
        <v>6.6</v>
      </c>
      <c r="L182" s="12" t="s">
        <v>169</v>
      </c>
      <c r="M182" s="12" t="s">
        <v>2818</v>
      </c>
    </row>
    <row r="183" customFormat="false" ht="15" hidden="false" customHeight="false" outlineLevel="0" collapsed="false">
      <c r="A183" s="12" t="s">
        <v>2306</v>
      </c>
      <c r="B183" s="12" t="s">
        <v>2819</v>
      </c>
      <c r="C183" s="12" t="s">
        <v>2820</v>
      </c>
      <c r="D183" s="12" t="s">
        <v>111</v>
      </c>
      <c r="E183" s="12" t="n">
        <v>2</v>
      </c>
      <c r="F183" s="12" t="s">
        <v>2314</v>
      </c>
      <c r="G183" s="12" t="s">
        <v>2310</v>
      </c>
      <c r="H183" s="17"/>
      <c r="I183" s="17"/>
      <c r="J183" s="13" t="n">
        <v>220140</v>
      </c>
      <c r="K183" s="12" t="n">
        <v>7.3</v>
      </c>
      <c r="L183" s="12" t="s">
        <v>169</v>
      </c>
      <c r="M183" s="12" t="s">
        <v>2821</v>
      </c>
    </row>
    <row r="184" customFormat="false" ht="15" hidden="false" customHeight="false" outlineLevel="0" collapsed="false">
      <c r="A184" s="12" t="s">
        <v>2306</v>
      </c>
      <c r="B184" s="12" t="s">
        <v>2822</v>
      </c>
      <c r="C184" s="12" t="s">
        <v>2823</v>
      </c>
      <c r="D184" s="12" t="s">
        <v>111</v>
      </c>
      <c r="E184" s="12" t="n">
        <v>2</v>
      </c>
      <c r="F184" s="12" t="s">
        <v>2387</v>
      </c>
      <c r="G184" s="12" t="s">
        <v>2310</v>
      </c>
      <c r="H184" s="13" t="n">
        <v>5375364</v>
      </c>
      <c r="I184" s="17"/>
      <c r="J184" s="13" t="n">
        <v>102922</v>
      </c>
      <c r="K184" s="12" t="n">
        <v>6.3</v>
      </c>
      <c r="L184" s="12" t="s">
        <v>92</v>
      </c>
      <c r="M184" s="12" t="s">
        <v>2824</v>
      </c>
    </row>
    <row r="185" customFormat="false" ht="15" hidden="false" customHeight="false" outlineLevel="0" collapsed="false">
      <c r="A185" s="12" t="s">
        <v>2306</v>
      </c>
      <c r="B185" s="12" t="s">
        <v>2825</v>
      </c>
      <c r="C185" s="12" t="s">
        <v>2825</v>
      </c>
      <c r="D185" s="12" t="s">
        <v>1103</v>
      </c>
      <c r="E185" s="12" t="n">
        <v>2</v>
      </c>
      <c r="F185" s="12" t="s">
        <v>2314</v>
      </c>
      <c r="G185" s="12" t="s">
        <v>2310</v>
      </c>
      <c r="H185" s="17"/>
      <c r="I185" s="17"/>
      <c r="J185" s="13" t="n">
        <v>220074</v>
      </c>
      <c r="K185" s="12" t="n">
        <v>7.4</v>
      </c>
      <c r="L185" s="12" t="s">
        <v>169</v>
      </c>
      <c r="M185" s="12" t="s">
        <v>2826</v>
      </c>
    </row>
    <row r="186" customFormat="false" ht="15" hidden="false" customHeight="false" outlineLevel="0" collapsed="false">
      <c r="A186" s="12" t="s">
        <v>2306</v>
      </c>
      <c r="B186" s="12" t="s">
        <v>2827</v>
      </c>
      <c r="C186" s="12" t="s">
        <v>2828</v>
      </c>
      <c r="D186" s="12" t="s">
        <v>207</v>
      </c>
      <c r="E186" s="12" t="n">
        <v>2</v>
      </c>
      <c r="F186" s="12" t="s">
        <v>2314</v>
      </c>
      <c r="G186" s="12" t="s">
        <v>2310</v>
      </c>
      <c r="H186" s="17"/>
      <c r="I186" s="17"/>
      <c r="J186" s="13" t="n">
        <v>219532</v>
      </c>
      <c r="K186" s="12" t="n">
        <v>7</v>
      </c>
      <c r="L186" s="12" t="s">
        <v>169</v>
      </c>
      <c r="M186" s="12" t="s">
        <v>2829</v>
      </c>
    </row>
    <row r="187" customFormat="false" ht="15" hidden="false" customHeight="false" outlineLevel="0" collapsed="false">
      <c r="A187" s="12" t="s">
        <v>2306</v>
      </c>
      <c r="B187" s="12" t="s">
        <v>2830</v>
      </c>
      <c r="C187" s="12" t="s">
        <v>2831</v>
      </c>
      <c r="D187" s="12" t="s">
        <v>207</v>
      </c>
      <c r="E187" s="12" t="n">
        <v>2</v>
      </c>
      <c r="F187" s="12" t="s">
        <v>2387</v>
      </c>
      <c r="G187" s="12" t="s">
        <v>2310</v>
      </c>
      <c r="H187" s="13" t="n">
        <v>4628437</v>
      </c>
      <c r="I187" s="17"/>
      <c r="J187" s="13" t="n">
        <v>123438</v>
      </c>
      <c r="K187" s="12" t="n">
        <v>4.6</v>
      </c>
      <c r="L187" s="12" t="s">
        <v>92</v>
      </c>
      <c r="M187" s="12" t="s">
        <v>2832</v>
      </c>
    </row>
    <row r="188" customFormat="false" ht="15" hidden="false" customHeight="false" outlineLevel="0" collapsed="false">
      <c r="A188" s="12" t="s">
        <v>2306</v>
      </c>
      <c r="B188" s="12" t="s">
        <v>2833</v>
      </c>
      <c r="C188" s="12" t="s">
        <v>2834</v>
      </c>
      <c r="D188" s="12" t="s">
        <v>118</v>
      </c>
      <c r="E188" s="12" t="n">
        <v>2</v>
      </c>
      <c r="F188" s="12" t="s">
        <v>2314</v>
      </c>
      <c r="G188" s="12" t="s">
        <v>2310</v>
      </c>
      <c r="H188" s="17"/>
      <c r="I188" s="17"/>
      <c r="J188" s="13" t="n">
        <v>216525</v>
      </c>
      <c r="K188" s="12" t="n">
        <v>6.3</v>
      </c>
      <c r="L188" s="12" t="s">
        <v>169</v>
      </c>
      <c r="M188" s="12" t="s">
        <v>2835</v>
      </c>
    </row>
    <row r="189" customFormat="false" ht="15" hidden="false" customHeight="false" outlineLevel="0" collapsed="false">
      <c r="A189" s="12" t="s">
        <v>2306</v>
      </c>
      <c r="B189" s="12" t="s">
        <v>2836</v>
      </c>
      <c r="C189" s="12" t="s">
        <v>2837</v>
      </c>
      <c r="D189" s="12" t="s">
        <v>111</v>
      </c>
      <c r="E189" s="12" t="n">
        <v>2</v>
      </c>
      <c r="F189" s="12" t="s">
        <v>2314</v>
      </c>
      <c r="G189" s="12" t="s">
        <v>2310</v>
      </c>
      <c r="H189" s="17"/>
      <c r="I189" s="17"/>
      <c r="J189" s="13" t="n">
        <v>215240</v>
      </c>
      <c r="K189" s="12" t="n">
        <v>7.8</v>
      </c>
      <c r="L189" s="12" t="s">
        <v>169</v>
      </c>
      <c r="M189" s="12" t="s">
        <v>2838</v>
      </c>
    </row>
    <row r="190" customFormat="false" ht="15" hidden="false" customHeight="false" outlineLevel="0" collapsed="false">
      <c r="A190" s="12" t="s">
        <v>2306</v>
      </c>
      <c r="B190" s="12" t="s">
        <v>2839</v>
      </c>
      <c r="C190" s="12" t="s">
        <v>2839</v>
      </c>
      <c r="D190" s="12" t="s">
        <v>1103</v>
      </c>
      <c r="E190" s="12" t="n">
        <v>2</v>
      </c>
      <c r="F190" s="12" t="s">
        <v>2314</v>
      </c>
      <c r="G190" s="12" t="s">
        <v>2310</v>
      </c>
      <c r="H190" s="17"/>
      <c r="I190" s="17"/>
      <c r="J190" s="13" t="n">
        <v>213269</v>
      </c>
      <c r="K190" s="12" t="n">
        <v>6.7</v>
      </c>
      <c r="L190" s="12" t="s">
        <v>169</v>
      </c>
      <c r="M190" s="12" t="s">
        <v>2840</v>
      </c>
    </row>
    <row r="191" customFormat="false" ht="15" hidden="false" customHeight="false" outlineLevel="0" collapsed="false">
      <c r="A191" s="12" t="s">
        <v>2306</v>
      </c>
      <c r="B191" s="12" t="s">
        <v>2841</v>
      </c>
      <c r="C191" s="12" t="s">
        <v>2842</v>
      </c>
      <c r="D191" s="12" t="s">
        <v>90</v>
      </c>
      <c r="E191" s="12" t="n">
        <v>2</v>
      </c>
      <c r="F191" s="12" t="s">
        <v>2314</v>
      </c>
      <c r="G191" s="12" t="s">
        <v>2310</v>
      </c>
      <c r="H191" s="17"/>
      <c r="I191" s="17"/>
      <c r="J191" s="13" t="n">
        <v>212581</v>
      </c>
      <c r="K191" s="12" t="n">
        <v>7.3</v>
      </c>
      <c r="L191" s="12" t="s">
        <v>169</v>
      </c>
      <c r="M191" s="12" t="s">
        <v>2843</v>
      </c>
    </row>
    <row r="192" customFormat="false" ht="15" hidden="false" customHeight="false" outlineLevel="0" collapsed="false">
      <c r="A192" s="12" t="s">
        <v>2306</v>
      </c>
      <c r="B192" s="12" t="s">
        <v>2844</v>
      </c>
      <c r="C192" s="12" t="s">
        <v>2845</v>
      </c>
      <c r="D192" s="12" t="s">
        <v>111</v>
      </c>
      <c r="E192" s="12" t="n">
        <v>2</v>
      </c>
      <c r="F192" s="12" t="s">
        <v>2314</v>
      </c>
      <c r="G192" s="12" t="s">
        <v>2310</v>
      </c>
      <c r="H192" s="17"/>
      <c r="I192" s="17"/>
      <c r="J192" s="13" t="n">
        <v>212396</v>
      </c>
      <c r="K192" s="12" t="n">
        <v>6.9</v>
      </c>
      <c r="L192" s="12" t="s">
        <v>169</v>
      </c>
      <c r="M192" s="12" t="s">
        <v>2846</v>
      </c>
    </row>
    <row r="193" customFormat="false" ht="15" hidden="false" customHeight="false" outlineLevel="0" collapsed="false">
      <c r="A193" s="12" t="s">
        <v>2306</v>
      </c>
      <c r="B193" s="12" t="s">
        <v>2847</v>
      </c>
      <c r="C193" s="12" t="s">
        <v>2848</v>
      </c>
      <c r="D193" s="12" t="s">
        <v>207</v>
      </c>
      <c r="E193" s="12" t="n">
        <v>2</v>
      </c>
      <c r="F193" s="12" t="s">
        <v>2314</v>
      </c>
      <c r="G193" s="12" t="s">
        <v>2310</v>
      </c>
      <c r="H193" s="17"/>
      <c r="I193" s="17"/>
      <c r="J193" s="13" t="n">
        <v>211896</v>
      </c>
      <c r="K193" s="12" t="n">
        <v>6.4</v>
      </c>
      <c r="L193" s="12" t="s">
        <v>169</v>
      </c>
      <c r="M193" s="12" t="s">
        <v>2849</v>
      </c>
    </row>
    <row r="194" customFormat="false" ht="15" hidden="false" customHeight="false" outlineLevel="0" collapsed="false">
      <c r="A194" s="12" t="s">
        <v>2306</v>
      </c>
      <c r="B194" s="12" t="s">
        <v>2850</v>
      </c>
      <c r="C194" s="12" t="s">
        <v>2851</v>
      </c>
      <c r="D194" s="12" t="s">
        <v>101</v>
      </c>
      <c r="E194" s="12" t="n">
        <v>2</v>
      </c>
      <c r="F194" s="12" t="s">
        <v>2314</v>
      </c>
      <c r="G194" s="12" t="s">
        <v>2310</v>
      </c>
      <c r="H194" s="17"/>
      <c r="I194" s="17"/>
      <c r="J194" s="13" t="n">
        <v>211297</v>
      </c>
      <c r="K194" s="12" t="n">
        <v>7.3</v>
      </c>
      <c r="L194" s="12" t="s">
        <v>169</v>
      </c>
      <c r="M194" s="12" t="s">
        <v>2852</v>
      </c>
    </row>
    <row r="195" customFormat="false" ht="15" hidden="false" customHeight="false" outlineLevel="0" collapsed="false">
      <c r="A195" s="12" t="s">
        <v>2306</v>
      </c>
      <c r="B195" s="12" t="s">
        <v>2853</v>
      </c>
      <c r="C195" s="12" t="s">
        <v>2854</v>
      </c>
      <c r="D195" s="12" t="s">
        <v>1103</v>
      </c>
      <c r="E195" s="12" t="n">
        <v>2</v>
      </c>
      <c r="F195" s="12" t="s">
        <v>2314</v>
      </c>
      <c r="G195" s="12" t="s">
        <v>2310</v>
      </c>
      <c r="H195" s="17"/>
      <c r="I195" s="17"/>
      <c r="J195" s="13" t="n">
        <v>207684</v>
      </c>
      <c r="K195" s="12" t="n">
        <v>7.7</v>
      </c>
      <c r="L195" s="12" t="s">
        <v>169</v>
      </c>
      <c r="M195" s="12" t="s">
        <v>2855</v>
      </c>
    </row>
    <row r="196" customFormat="false" ht="15" hidden="false" customHeight="false" outlineLevel="0" collapsed="false">
      <c r="A196" s="12" t="s">
        <v>2306</v>
      </c>
      <c r="B196" s="12" t="s">
        <v>2856</v>
      </c>
      <c r="C196" s="12" t="s">
        <v>2857</v>
      </c>
      <c r="D196" s="12" t="s">
        <v>505</v>
      </c>
      <c r="E196" s="12" t="n">
        <v>2</v>
      </c>
      <c r="F196" s="12" t="s">
        <v>2387</v>
      </c>
      <c r="G196" s="12" t="s">
        <v>2310</v>
      </c>
      <c r="H196" s="13" t="n">
        <v>1912840</v>
      </c>
      <c r="I196" s="17"/>
      <c r="J196" s="13" t="n">
        <v>398862</v>
      </c>
      <c r="K196" s="12" t="n">
        <v>2.2</v>
      </c>
      <c r="L196" s="12" t="s">
        <v>92</v>
      </c>
      <c r="M196" s="12" t="s">
        <v>2858</v>
      </c>
    </row>
    <row r="197" customFormat="false" ht="15" hidden="false" customHeight="false" outlineLevel="0" collapsed="false">
      <c r="A197" s="12" t="s">
        <v>2306</v>
      </c>
      <c r="B197" s="12" t="s">
        <v>2859</v>
      </c>
      <c r="C197" s="12" t="s">
        <v>2860</v>
      </c>
      <c r="D197" s="12" t="s">
        <v>175</v>
      </c>
      <c r="E197" s="12" t="n">
        <v>2</v>
      </c>
      <c r="F197" s="12" t="s">
        <v>2314</v>
      </c>
      <c r="G197" s="12" t="s">
        <v>2310</v>
      </c>
      <c r="H197" s="17"/>
      <c r="I197" s="17"/>
      <c r="J197" s="13" t="n">
        <v>206247</v>
      </c>
      <c r="K197" s="12" t="n">
        <v>6.7</v>
      </c>
      <c r="L197" s="12" t="s">
        <v>169</v>
      </c>
      <c r="M197" s="12" t="s">
        <v>2861</v>
      </c>
    </row>
    <row r="198" customFormat="false" ht="15" hidden="false" customHeight="false" outlineLevel="0" collapsed="false">
      <c r="A198" s="12" t="s">
        <v>2306</v>
      </c>
      <c r="B198" s="12" t="s">
        <v>2862</v>
      </c>
      <c r="C198" s="12" t="s">
        <v>2863</v>
      </c>
      <c r="D198" s="12" t="s">
        <v>189</v>
      </c>
      <c r="E198" s="12" t="n">
        <v>2</v>
      </c>
      <c r="F198" s="12" t="s">
        <v>2387</v>
      </c>
      <c r="G198" s="12" t="s">
        <v>2310</v>
      </c>
      <c r="H198" s="13" t="n">
        <v>5260450</v>
      </c>
      <c r="I198" s="17"/>
      <c r="J198" s="13" t="n">
        <v>88429</v>
      </c>
      <c r="K198" s="12" t="n">
        <v>5.7</v>
      </c>
      <c r="L198" s="12" t="s">
        <v>92</v>
      </c>
      <c r="M198" s="12" t="s">
        <v>2864</v>
      </c>
    </row>
    <row r="199" customFormat="false" ht="15" hidden="false" customHeight="false" outlineLevel="0" collapsed="false">
      <c r="A199" s="12" t="s">
        <v>2306</v>
      </c>
      <c r="B199" s="12" t="s">
        <v>2865</v>
      </c>
      <c r="C199" s="12" t="s">
        <v>2866</v>
      </c>
      <c r="D199" s="12" t="s">
        <v>101</v>
      </c>
      <c r="E199" s="12" t="n">
        <v>2</v>
      </c>
      <c r="F199" s="12" t="s">
        <v>2314</v>
      </c>
      <c r="G199" s="12" t="s">
        <v>2310</v>
      </c>
      <c r="H199" s="17"/>
      <c r="I199" s="17"/>
      <c r="J199" s="13" t="n">
        <v>203458</v>
      </c>
      <c r="K199" s="12" t="n">
        <v>5.8</v>
      </c>
      <c r="L199" s="12" t="s">
        <v>169</v>
      </c>
      <c r="M199" s="12" t="s">
        <v>2867</v>
      </c>
    </row>
    <row r="200" customFormat="false" ht="15" hidden="false" customHeight="false" outlineLevel="0" collapsed="false">
      <c r="A200" s="12" t="s">
        <v>2306</v>
      </c>
      <c r="B200" s="12" t="s">
        <v>2868</v>
      </c>
      <c r="C200" s="12" t="s">
        <v>2869</v>
      </c>
      <c r="D200" s="12" t="s">
        <v>101</v>
      </c>
      <c r="E200" s="12" t="n">
        <v>2</v>
      </c>
      <c r="F200" s="12" t="s">
        <v>2314</v>
      </c>
      <c r="G200" s="12" t="s">
        <v>2310</v>
      </c>
      <c r="H200" s="17"/>
      <c r="I200" s="17"/>
      <c r="J200" s="13" t="n">
        <v>202994</v>
      </c>
      <c r="K200" s="12" t="n">
        <v>7</v>
      </c>
      <c r="L200" s="12" t="s">
        <v>169</v>
      </c>
      <c r="M200" s="12" t="s">
        <v>2870</v>
      </c>
    </row>
    <row r="201" customFormat="false" ht="15" hidden="false" customHeight="false" outlineLevel="0" collapsed="false">
      <c r="A201" s="12" t="s">
        <v>2306</v>
      </c>
      <c r="B201" s="12" t="s">
        <v>2871</v>
      </c>
      <c r="C201" s="12" t="s">
        <v>2872</v>
      </c>
      <c r="D201" s="12" t="s">
        <v>189</v>
      </c>
      <c r="E201" s="12" t="n">
        <v>2</v>
      </c>
      <c r="F201" s="12" t="s">
        <v>2314</v>
      </c>
      <c r="G201" s="12" t="s">
        <v>2310</v>
      </c>
      <c r="H201" s="17"/>
      <c r="I201" s="17"/>
      <c r="J201" s="13" t="n">
        <v>202184</v>
      </c>
      <c r="K201" s="12" t="n">
        <v>5.2</v>
      </c>
      <c r="L201" s="12" t="s">
        <v>169</v>
      </c>
      <c r="M201" s="12" t="s">
        <v>2873</v>
      </c>
    </row>
    <row r="202" customFormat="false" ht="15" hidden="false" customHeight="false" outlineLevel="0" collapsed="false">
      <c r="A202" s="12" t="s">
        <v>2306</v>
      </c>
      <c r="B202" s="12" t="s">
        <v>2874</v>
      </c>
      <c r="C202" s="12" t="s">
        <v>2875</v>
      </c>
      <c r="D202" s="12" t="s">
        <v>500</v>
      </c>
      <c r="E202" s="12" t="n">
        <v>2</v>
      </c>
      <c r="F202" s="12" t="s">
        <v>2387</v>
      </c>
      <c r="G202" s="12" t="s">
        <v>2310</v>
      </c>
      <c r="H202" s="13" t="n">
        <v>1427996</v>
      </c>
      <c r="I202" s="17"/>
      <c r="J202" s="13" t="n">
        <v>574917</v>
      </c>
      <c r="K202" s="12" t="n">
        <v>7</v>
      </c>
      <c r="L202" s="12" t="s">
        <v>92</v>
      </c>
      <c r="M202" s="12" t="s">
        <v>2876</v>
      </c>
    </row>
    <row r="203" customFormat="false" ht="15" hidden="false" customHeight="false" outlineLevel="0" collapsed="false">
      <c r="A203" s="12" t="s">
        <v>2306</v>
      </c>
      <c r="B203" s="12" t="s">
        <v>2877</v>
      </c>
      <c r="C203" s="12" t="s">
        <v>2878</v>
      </c>
      <c r="D203" s="12" t="s">
        <v>134</v>
      </c>
      <c r="E203" s="12" t="n">
        <v>2</v>
      </c>
      <c r="F203" s="12" t="s">
        <v>2387</v>
      </c>
      <c r="G203" s="12" t="s">
        <v>2310</v>
      </c>
      <c r="H203" s="13" t="n">
        <v>2602771</v>
      </c>
      <c r="I203" s="17"/>
      <c r="J203" s="13" t="n">
        <v>232964</v>
      </c>
      <c r="K203" s="12" t="n">
        <v>6</v>
      </c>
      <c r="L203" s="12" t="s">
        <v>92</v>
      </c>
      <c r="M203" s="12" t="s">
        <v>2879</v>
      </c>
    </row>
    <row r="204" customFormat="false" ht="15" hidden="false" customHeight="false" outlineLevel="0" collapsed="false">
      <c r="A204" s="12" t="s">
        <v>2306</v>
      </c>
      <c r="B204" s="12" t="s">
        <v>2880</v>
      </c>
      <c r="C204" s="12" t="s">
        <v>2880</v>
      </c>
      <c r="D204" s="12" t="s">
        <v>251</v>
      </c>
      <c r="E204" s="12" t="n">
        <v>2</v>
      </c>
      <c r="F204" s="12" t="s">
        <v>2314</v>
      </c>
      <c r="G204" s="12" t="s">
        <v>2310</v>
      </c>
      <c r="H204" s="17"/>
      <c r="I204" s="17"/>
      <c r="J204" s="13" t="n">
        <v>201348</v>
      </c>
      <c r="K204" s="12" t="n">
        <v>6.5</v>
      </c>
      <c r="L204" s="12" t="s">
        <v>169</v>
      </c>
      <c r="M204" s="12" t="s">
        <v>2881</v>
      </c>
    </row>
    <row r="205" customFormat="false" ht="15" hidden="false" customHeight="false" outlineLevel="0" collapsed="false">
      <c r="A205" s="12" t="s">
        <v>2306</v>
      </c>
      <c r="B205" s="12" t="s">
        <v>2882</v>
      </c>
      <c r="C205" s="12" t="s">
        <v>2883</v>
      </c>
      <c r="D205" s="12" t="s">
        <v>90</v>
      </c>
      <c r="E205" s="12" t="n">
        <v>2</v>
      </c>
      <c r="F205" s="12" t="s">
        <v>2314</v>
      </c>
      <c r="G205" s="12" t="s">
        <v>2310</v>
      </c>
      <c r="H205" s="17"/>
      <c r="I205" s="17"/>
      <c r="J205" s="13" t="n">
        <v>200260</v>
      </c>
      <c r="K205" s="12" t="n">
        <v>6.5</v>
      </c>
      <c r="L205" s="12" t="s">
        <v>169</v>
      </c>
      <c r="M205" s="12" t="s">
        <v>2884</v>
      </c>
    </row>
    <row r="206" customFormat="false" ht="15" hidden="false" customHeight="false" outlineLevel="0" collapsed="false">
      <c r="A206" s="12" t="s">
        <v>2306</v>
      </c>
      <c r="B206" s="12" t="s">
        <v>2885</v>
      </c>
      <c r="C206" s="12" t="s">
        <v>2886</v>
      </c>
      <c r="D206" s="12" t="s">
        <v>183</v>
      </c>
      <c r="E206" s="12" t="n">
        <v>2</v>
      </c>
      <c r="F206" s="12" t="s">
        <v>2387</v>
      </c>
      <c r="G206" s="12" t="s">
        <v>2310</v>
      </c>
      <c r="H206" s="13" t="n">
        <v>3272742</v>
      </c>
      <c r="I206" s="17"/>
      <c r="J206" s="13" t="n">
        <v>166529</v>
      </c>
      <c r="K206" s="12" t="n">
        <v>6.6</v>
      </c>
      <c r="L206" s="12" t="s">
        <v>92</v>
      </c>
      <c r="M206" s="12" t="s">
        <v>2887</v>
      </c>
    </row>
    <row r="207" customFormat="false" ht="15" hidden="false" customHeight="false" outlineLevel="0" collapsed="false">
      <c r="A207" s="12" t="s">
        <v>2306</v>
      </c>
      <c r="B207" s="12" t="s">
        <v>2888</v>
      </c>
      <c r="C207" s="12" t="s">
        <v>2889</v>
      </c>
      <c r="D207" s="12" t="s">
        <v>396</v>
      </c>
      <c r="E207" s="12" t="n">
        <v>2</v>
      </c>
      <c r="F207" s="12" t="s">
        <v>2387</v>
      </c>
      <c r="G207" s="12" t="s">
        <v>2310</v>
      </c>
      <c r="H207" s="13" t="n">
        <v>1711990</v>
      </c>
      <c r="I207" s="17"/>
      <c r="J207" s="13" t="n">
        <v>433781</v>
      </c>
      <c r="K207" s="12" t="n">
        <v>7.6</v>
      </c>
      <c r="L207" s="12" t="s">
        <v>92</v>
      </c>
      <c r="M207" s="12" t="s">
        <v>2890</v>
      </c>
    </row>
    <row r="208" customFormat="false" ht="15" hidden="false" customHeight="false" outlineLevel="0" collapsed="false">
      <c r="A208" s="12" t="s">
        <v>2306</v>
      </c>
      <c r="B208" s="12" t="s">
        <v>2891</v>
      </c>
      <c r="C208" s="12" t="s">
        <v>2892</v>
      </c>
      <c r="D208" s="12" t="s">
        <v>251</v>
      </c>
      <c r="E208" s="12" t="n">
        <v>2</v>
      </c>
      <c r="F208" s="12" t="s">
        <v>2314</v>
      </c>
      <c r="G208" s="12" t="s">
        <v>2310</v>
      </c>
      <c r="H208" s="17"/>
      <c r="I208" s="17"/>
      <c r="J208" s="13" t="n">
        <v>199734</v>
      </c>
      <c r="K208" s="12" t="n">
        <v>6.5</v>
      </c>
      <c r="L208" s="12" t="s">
        <v>169</v>
      </c>
      <c r="M208" s="12" t="s">
        <v>2893</v>
      </c>
    </row>
    <row r="209" customFormat="false" ht="15" hidden="false" customHeight="false" outlineLevel="0" collapsed="false">
      <c r="A209" s="12" t="s">
        <v>2306</v>
      </c>
      <c r="B209" s="12" t="s">
        <v>2894</v>
      </c>
      <c r="C209" s="12" t="s">
        <v>2895</v>
      </c>
      <c r="D209" s="12" t="s">
        <v>146</v>
      </c>
      <c r="E209" s="12" t="n">
        <v>2</v>
      </c>
      <c r="F209" s="12" t="s">
        <v>2387</v>
      </c>
      <c r="G209" s="12" t="s">
        <v>2310</v>
      </c>
      <c r="H209" s="13" t="n">
        <v>2124445</v>
      </c>
      <c r="I209" s="17"/>
      <c r="J209" s="13" t="n">
        <v>303816</v>
      </c>
      <c r="K209" s="12" t="n">
        <v>5.6</v>
      </c>
      <c r="L209" s="12" t="s">
        <v>92</v>
      </c>
      <c r="M209" s="12" t="s">
        <v>2896</v>
      </c>
    </row>
    <row r="210" customFormat="false" ht="15" hidden="false" customHeight="false" outlineLevel="0" collapsed="false">
      <c r="A210" s="12" t="s">
        <v>2306</v>
      </c>
      <c r="B210" s="12" t="s">
        <v>2897</v>
      </c>
      <c r="C210" s="12" t="s">
        <v>2898</v>
      </c>
      <c r="D210" s="12" t="s">
        <v>101</v>
      </c>
      <c r="E210" s="12" t="n">
        <v>2</v>
      </c>
      <c r="F210" s="12" t="s">
        <v>2688</v>
      </c>
      <c r="G210" s="12" t="s">
        <v>2310</v>
      </c>
      <c r="H210" s="17"/>
      <c r="I210" s="17"/>
      <c r="J210" s="13" t="n">
        <v>199319</v>
      </c>
      <c r="K210" s="12" t="n">
        <v>6.3</v>
      </c>
      <c r="L210" s="12" t="s">
        <v>674</v>
      </c>
      <c r="M210" s="12" t="s">
        <v>2899</v>
      </c>
    </row>
    <row r="211" customFormat="false" ht="15" hidden="false" customHeight="false" outlineLevel="0" collapsed="false">
      <c r="A211" s="12" t="s">
        <v>2306</v>
      </c>
      <c r="B211" s="12" t="s">
        <v>2900</v>
      </c>
      <c r="C211" s="12" t="s">
        <v>2901</v>
      </c>
      <c r="D211" s="12" t="s">
        <v>207</v>
      </c>
      <c r="E211" s="12" t="n">
        <v>2</v>
      </c>
      <c r="F211" s="12" t="s">
        <v>2314</v>
      </c>
      <c r="G211" s="12" t="s">
        <v>2310</v>
      </c>
      <c r="H211" s="17"/>
      <c r="I211" s="17"/>
      <c r="J211" s="13" t="n">
        <v>198393</v>
      </c>
      <c r="K211" s="12" t="n">
        <v>7.3</v>
      </c>
      <c r="L211" s="12" t="s">
        <v>169</v>
      </c>
      <c r="M211" s="12" t="s">
        <v>2902</v>
      </c>
    </row>
    <row r="212" customFormat="false" ht="15" hidden="false" customHeight="false" outlineLevel="0" collapsed="false">
      <c r="A212" s="12" t="s">
        <v>2306</v>
      </c>
      <c r="B212" s="12" t="s">
        <v>2903</v>
      </c>
      <c r="C212" s="12" t="s">
        <v>2904</v>
      </c>
      <c r="D212" s="12" t="s">
        <v>189</v>
      </c>
      <c r="E212" s="12" t="n">
        <v>2</v>
      </c>
      <c r="F212" s="12" t="s">
        <v>2387</v>
      </c>
      <c r="G212" s="12" t="s">
        <v>2310</v>
      </c>
      <c r="H212" s="13" t="n">
        <v>3597713</v>
      </c>
      <c r="I212" s="17"/>
      <c r="J212" s="13" t="n">
        <v>143025</v>
      </c>
      <c r="K212" s="12" t="n">
        <v>6.7</v>
      </c>
      <c r="L212" s="12" t="s">
        <v>92</v>
      </c>
      <c r="M212" s="12" t="s">
        <v>2905</v>
      </c>
    </row>
    <row r="213" customFormat="false" ht="15" hidden="false" customHeight="false" outlineLevel="0" collapsed="false">
      <c r="A213" s="12" t="s">
        <v>2306</v>
      </c>
      <c r="B213" s="12" t="s">
        <v>2906</v>
      </c>
      <c r="D213" s="12" t="s">
        <v>183</v>
      </c>
      <c r="E213" s="12" t="n">
        <v>1</v>
      </c>
      <c r="F213" s="12" t="s">
        <v>2404</v>
      </c>
      <c r="G213" s="12" t="s">
        <v>2405</v>
      </c>
      <c r="H213" s="13" t="n">
        <v>2639935</v>
      </c>
      <c r="I213" s="17"/>
      <c r="J213" s="17"/>
      <c r="L213" s="12" t="s">
        <v>92</v>
      </c>
    </row>
    <row r="214" customFormat="false" ht="15" hidden="false" customHeight="false" outlineLevel="0" collapsed="false">
      <c r="A214" s="12" t="s">
        <v>2306</v>
      </c>
      <c r="B214" s="12" t="s">
        <v>2907</v>
      </c>
      <c r="C214" s="12" t="s">
        <v>2908</v>
      </c>
      <c r="D214" s="12" t="s">
        <v>207</v>
      </c>
      <c r="E214" s="12" t="n">
        <v>2</v>
      </c>
      <c r="F214" s="12" t="s">
        <v>2387</v>
      </c>
      <c r="G214" s="12" t="s">
        <v>2310</v>
      </c>
      <c r="H214" s="13" t="n">
        <v>3228749</v>
      </c>
      <c r="I214" s="17"/>
      <c r="J214" s="13" t="n">
        <v>162542</v>
      </c>
      <c r="K214" s="12" t="n">
        <v>6.3</v>
      </c>
      <c r="L214" s="12" t="s">
        <v>92</v>
      </c>
      <c r="M214" s="12" t="s">
        <v>2909</v>
      </c>
    </row>
    <row r="215" customFormat="false" ht="15" hidden="false" customHeight="false" outlineLevel="0" collapsed="false">
      <c r="A215" s="12" t="s">
        <v>2306</v>
      </c>
      <c r="B215" s="12" t="s">
        <v>2910</v>
      </c>
      <c r="C215" s="12" t="s">
        <v>2911</v>
      </c>
      <c r="D215" s="12" t="s">
        <v>111</v>
      </c>
      <c r="E215" s="12" t="n">
        <v>2</v>
      </c>
      <c r="F215" s="12" t="s">
        <v>2314</v>
      </c>
      <c r="G215" s="12" t="s">
        <v>2310</v>
      </c>
      <c r="H215" s="17"/>
      <c r="I215" s="17"/>
      <c r="J215" s="13" t="n">
        <v>195481</v>
      </c>
      <c r="K215" s="12" t="n">
        <v>7.6</v>
      </c>
      <c r="L215" s="12" t="s">
        <v>169</v>
      </c>
      <c r="M215" s="12" t="s">
        <v>2912</v>
      </c>
    </row>
    <row r="216" customFormat="false" ht="15" hidden="false" customHeight="false" outlineLevel="0" collapsed="false">
      <c r="A216" s="12" t="s">
        <v>2306</v>
      </c>
      <c r="B216" s="12" t="s">
        <v>2913</v>
      </c>
      <c r="C216" s="12" t="s">
        <v>2914</v>
      </c>
      <c r="D216" s="12" t="s">
        <v>175</v>
      </c>
      <c r="E216" s="12" t="n">
        <v>2</v>
      </c>
      <c r="F216" s="12" t="s">
        <v>2314</v>
      </c>
      <c r="G216" s="12" t="s">
        <v>2310</v>
      </c>
      <c r="H216" s="17"/>
      <c r="I216" s="17"/>
      <c r="J216" s="13" t="n">
        <v>193563</v>
      </c>
      <c r="K216" s="12" t="n">
        <v>7.3</v>
      </c>
      <c r="L216" s="12" t="s">
        <v>169</v>
      </c>
      <c r="M216" s="12" t="s">
        <v>2915</v>
      </c>
    </row>
    <row r="217" customFormat="false" ht="15" hidden="false" customHeight="false" outlineLevel="0" collapsed="false">
      <c r="A217" s="12" t="s">
        <v>2306</v>
      </c>
      <c r="B217" s="12" t="s">
        <v>2916</v>
      </c>
      <c r="C217" s="12" t="s">
        <v>2917</v>
      </c>
      <c r="D217" s="12" t="s">
        <v>358</v>
      </c>
      <c r="E217" s="12" t="n">
        <v>2</v>
      </c>
      <c r="F217" s="12" t="s">
        <v>2387</v>
      </c>
      <c r="G217" s="12" t="s">
        <v>2310</v>
      </c>
      <c r="H217" s="13" t="n">
        <v>1989213</v>
      </c>
      <c r="I217" s="17"/>
      <c r="J217" s="13" t="n">
        <v>320260</v>
      </c>
      <c r="K217" s="12" t="n">
        <v>6.5</v>
      </c>
      <c r="L217" s="12" t="s">
        <v>92</v>
      </c>
      <c r="M217" s="12" t="s">
        <v>2918</v>
      </c>
    </row>
    <row r="218" customFormat="false" ht="15" hidden="false" customHeight="false" outlineLevel="0" collapsed="false">
      <c r="A218" s="12" t="s">
        <v>2306</v>
      </c>
      <c r="B218" s="12" t="s">
        <v>2919</v>
      </c>
      <c r="C218" s="12" t="s">
        <v>2920</v>
      </c>
      <c r="D218" s="12" t="s">
        <v>251</v>
      </c>
      <c r="E218" s="12" t="n">
        <v>2</v>
      </c>
      <c r="F218" s="12" t="s">
        <v>2314</v>
      </c>
      <c r="G218" s="12" t="s">
        <v>2310</v>
      </c>
      <c r="H218" s="17"/>
      <c r="I218" s="17"/>
      <c r="J218" s="13" t="n">
        <v>192556</v>
      </c>
      <c r="K218" s="12" t="n">
        <v>6.2</v>
      </c>
      <c r="L218" s="12" t="s">
        <v>169</v>
      </c>
      <c r="M218" s="12" t="s">
        <v>2921</v>
      </c>
    </row>
    <row r="219" customFormat="false" ht="15" hidden="false" customHeight="false" outlineLevel="0" collapsed="false">
      <c r="A219" s="12" t="s">
        <v>2306</v>
      </c>
      <c r="B219" s="12" t="s">
        <v>2922</v>
      </c>
      <c r="C219" s="12" t="s">
        <v>2923</v>
      </c>
      <c r="D219" s="12" t="s">
        <v>111</v>
      </c>
      <c r="E219" s="12" t="n">
        <v>2</v>
      </c>
      <c r="F219" s="12" t="s">
        <v>2314</v>
      </c>
      <c r="G219" s="12" t="s">
        <v>2310</v>
      </c>
      <c r="H219" s="17"/>
      <c r="I219" s="17"/>
      <c r="J219" s="13" t="n">
        <v>192359</v>
      </c>
      <c r="K219" s="12" t="n">
        <v>6.7</v>
      </c>
      <c r="L219" s="12" t="s">
        <v>169</v>
      </c>
      <c r="M219" s="12" t="s">
        <v>2924</v>
      </c>
    </row>
    <row r="220" customFormat="false" ht="15" hidden="false" customHeight="false" outlineLevel="0" collapsed="false">
      <c r="A220" s="12" t="s">
        <v>2306</v>
      </c>
      <c r="B220" s="12" t="s">
        <v>2925</v>
      </c>
      <c r="C220" s="12" t="s">
        <v>2926</v>
      </c>
      <c r="D220" s="12" t="s">
        <v>175</v>
      </c>
      <c r="E220" s="12" t="n">
        <v>2</v>
      </c>
      <c r="F220" s="12" t="s">
        <v>2314</v>
      </c>
      <c r="G220" s="12" t="s">
        <v>2310</v>
      </c>
      <c r="H220" s="17"/>
      <c r="I220" s="17"/>
      <c r="J220" s="13" t="n">
        <v>191758</v>
      </c>
      <c r="K220" s="12" t="n">
        <v>6.3</v>
      </c>
      <c r="L220" s="12" t="s">
        <v>169</v>
      </c>
      <c r="M220" s="12" t="s">
        <v>2927</v>
      </c>
    </row>
    <row r="221" customFormat="false" ht="15" hidden="false" customHeight="false" outlineLevel="0" collapsed="false">
      <c r="A221" s="12" t="s">
        <v>2306</v>
      </c>
      <c r="B221" s="12" t="s">
        <v>2928</v>
      </c>
      <c r="C221" s="12" t="s">
        <v>2929</v>
      </c>
      <c r="D221" s="12" t="s">
        <v>286</v>
      </c>
      <c r="E221" s="12" t="n">
        <v>2</v>
      </c>
      <c r="F221" s="12" t="s">
        <v>2387</v>
      </c>
      <c r="G221" s="12" t="s">
        <v>2310</v>
      </c>
      <c r="H221" s="13" t="n">
        <v>1601274</v>
      </c>
      <c r="I221" s="17"/>
      <c r="J221" s="13" t="n">
        <v>407765</v>
      </c>
      <c r="K221" s="12" t="n">
        <v>7.1</v>
      </c>
      <c r="L221" s="12" t="s">
        <v>92</v>
      </c>
      <c r="M221" s="12" t="s">
        <v>2930</v>
      </c>
    </row>
    <row r="222" customFormat="false" ht="15" hidden="false" customHeight="false" outlineLevel="0" collapsed="false">
      <c r="A222" s="12" t="s">
        <v>2306</v>
      </c>
      <c r="B222" s="12" t="s">
        <v>2931</v>
      </c>
      <c r="C222" s="12" t="s">
        <v>2932</v>
      </c>
      <c r="D222" s="12" t="s">
        <v>207</v>
      </c>
      <c r="E222" s="12" t="n">
        <v>2</v>
      </c>
      <c r="F222" s="12" t="s">
        <v>2387</v>
      </c>
      <c r="G222" s="12" t="s">
        <v>2310</v>
      </c>
      <c r="H222" s="13" t="n">
        <v>2957275</v>
      </c>
      <c r="I222" s="17"/>
      <c r="J222" s="13" t="n">
        <v>173731</v>
      </c>
      <c r="K222" s="12" t="n">
        <v>6.5</v>
      </c>
      <c r="L222" s="12" t="s">
        <v>92</v>
      </c>
      <c r="M222" s="12" t="s">
        <v>2933</v>
      </c>
    </row>
    <row r="223" customFormat="false" ht="15" hidden="false" customHeight="false" outlineLevel="0" collapsed="false">
      <c r="A223" s="12" t="s">
        <v>2306</v>
      </c>
      <c r="B223" s="12" t="s">
        <v>2934</v>
      </c>
      <c r="C223" s="12" t="s">
        <v>2935</v>
      </c>
      <c r="D223" s="12" t="s">
        <v>111</v>
      </c>
      <c r="E223" s="12" t="n">
        <v>2</v>
      </c>
      <c r="F223" s="12" t="s">
        <v>2387</v>
      </c>
      <c r="G223" s="12" t="s">
        <v>2310</v>
      </c>
      <c r="H223" s="13" t="n">
        <v>12184373</v>
      </c>
      <c r="I223" s="17"/>
      <c r="J223" s="13" t="n">
        <v>23236</v>
      </c>
      <c r="K223" s="12" t="n">
        <v>2.4</v>
      </c>
      <c r="L223" s="12" t="s">
        <v>92</v>
      </c>
      <c r="M223" s="12" t="s">
        <v>2936</v>
      </c>
    </row>
    <row r="224" customFormat="false" ht="15" hidden="false" customHeight="false" outlineLevel="0" collapsed="false">
      <c r="A224" s="12" t="s">
        <v>2306</v>
      </c>
      <c r="B224" s="12" t="s">
        <v>2937</v>
      </c>
      <c r="C224" s="12" t="s">
        <v>2938</v>
      </c>
      <c r="D224" s="12" t="s">
        <v>90</v>
      </c>
      <c r="E224" s="12" t="n">
        <v>2</v>
      </c>
      <c r="F224" s="12" t="s">
        <v>2314</v>
      </c>
      <c r="G224" s="12" t="s">
        <v>2310</v>
      </c>
      <c r="H224" s="17"/>
      <c r="I224" s="17"/>
      <c r="J224" s="13" t="n">
        <v>189671</v>
      </c>
      <c r="K224" s="12" t="n">
        <v>7.7</v>
      </c>
      <c r="L224" s="12" t="s">
        <v>169</v>
      </c>
      <c r="M224" s="12" t="s">
        <v>2939</v>
      </c>
    </row>
    <row r="225" customFormat="false" ht="15" hidden="false" customHeight="false" outlineLevel="0" collapsed="false">
      <c r="A225" s="12" t="s">
        <v>2306</v>
      </c>
      <c r="B225" s="12" t="s">
        <v>2940</v>
      </c>
      <c r="C225" s="12" t="s">
        <v>2940</v>
      </c>
      <c r="D225" s="12" t="s">
        <v>111</v>
      </c>
      <c r="E225" s="12" t="n">
        <v>2</v>
      </c>
      <c r="F225" s="12" t="s">
        <v>2314</v>
      </c>
      <c r="G225" s="12" t="s">
        <v>2310</v>
      </c>
      <c r="H225" s="17"/>
      <c r="I225" s="17"/>
      <c r="J225" s="13" t="n">
        <v>189494</v>
      </c>
      <c r="K225" s="12" t="n">
        <v>6.5</v>
      </c>
      <c r="L225" s="12" t="s">
        <v>169</v>
      </c>
      <c r="M225" s="12" t="s">
        <v>2941</v>
      </c>
    </row>
    <row r="226" customFormat="false" ht="15" hidden="false" customHeight="false" outlineLevel="0" collapsed="false">
      <c r="A226" s="12" t="s">
        <v>2306</v>
      </c>
      <c r="B226" s="12" t="s">
        <v>2942</v>
      </c>
      <c r="C226" s="12" t="s">
        <v>2943</v>
      </c>
      <c r="D226" s="12" t="s">
        <v>111</v>
      </c>
      <c r="E226" s="12" t="n">
        <v>2</v>
      </c>
      <c r="F226" s="12" t="s">
        <v>2314</v>
      </c>
      <c r="G226" s="12" t="s">
        <v>2310</v>
      </c>
      <c r="H226" s="17"/>
      <c r="I226" s="17"/>
      <c r="J226" s="13" t="n">
        <v>187690</v>
      </c>
      <c r="K226" s="12" t="n">
        <v>7.2</v>
      </c>
      <c r="L226" s="12" t="s">
        <v>169</v>
      </c>
      <c r="M226" s="12" t="s">
        <v>2944</v>
      </c>
    </row>
    <row r="227" customFormat="false" ht="15" hidden="false" customHeight="false" outlineLevel="0" collapsed="false">
      <c r="A227" s="12" t="s">
        <v>2306</v>
      </c>
      <c r="B227" s="12" t="s">
        <v>2945</v>
      </c>
      <c r="D227" s="12" t="s">
        <v>273</v>
      </c>
      <c r="E227" s="12" t="n">
        <v>2</v>
      </c>
      <c r="F227" s="12" t="s">
        <v>2387</v>
      </c>
      <c r="G227" s="12" t="s">
        <v>2310</v>
      </c>
      <c r="H227" s="13" t="n">
        <v>3175875</v>
      </c>
      <c r="I227" s="17"/>
      <c r="J227" s="13" t="n">
        <v>144557</v>
      </c>
      <c r="K227" s="12" t="n">
        <v>5.4</v>
      </c>
      <c r="L227" s="12" t="s">
        <v>92</v>
      </c>
      <c r="M227" s="12" t="s">
        <v>2946</v>
      </c>
    </row>
    <row r="228" customFormat="false" ht="15" hidden="false" customHeight="false" outlineLevel="0" collapsed="false">
      <c r="A228" s="12" t="s">
        <v>2306</v>
      </c>
      <c r="B228" s="12" t="s">
        <v>2947</v>
      </c>
      <c r="C228" s="12" t="s">
        <v>2948</v>
      </c>
      <c r="D228" s="12" t="s">
        <v>90</v>
      </c>
      <c r="E228" s="12" t="n">
        <v>2</v>
      </c>
      <c r="F228" s="12" t="s">
        <v>2314</v>
      </c>
      <c r="G228" s="12" t="s">
        <v>2310</v>
      </c>
      <c r="H228" s="17"/>
      <c r="I228" s="17"/>
      <c r="J228" s="13" t="n">
        <v>187654</v>
      </c>
      <c r="K228" s="12" t="n">
        <v>6.8</v>
      </c>
      <c r="L228" s="12" t="s">
        <v>169</v>
      </c>
      <c r="M228" s="12" t="s">
        <v>2949</v>
      </c>
    </row>
    <row r="229" customFormat="false" ht="15" hidden="false" customHeight="false" outlineLevel="0" collapsed="false">
      <c r="A229" s="12" t="s">
        <v>2306</v>
      </c>
      <c r="B229" s="12" t="s">
        <v>2950</v>
      </c>
      <c r="C229" s="12" t="s">
        <v>2951</v>
      </c>
      <c r="D229" s="12" t="s">
        <v>101</v>
      </c>
      <c r="E229" s="12" t="n">
        <v>2</v>
      </c>
      <c r="F229" s="12" t="s">
        <v>2314</v>
      </c>
      <c r="G229" s="12" t="s">
        <v>2310</v>
      </c>
      <c r="H229" s="17"/>
      <c r="I229" s="17"/>
      <c r="J229" s="13" t="n">
        <v>187438</v>
      </c>
      <c r="K229" s="12" t="n">
        <v>5.8</v>
      </c>
      <c r="L229" s="12" t="s">
        <v>169</v>
      </c>
      <c r="M229" s="12" t="s">
        <v>2952</v>
      </c>
    </row>
    <row r="230" customFormat="false" ht="15" hidden="false" customHeight="false" outlineLevel="0" collapsed="false">
      <c r="A230" s="12" t="s">
        <v>2306</v>
      </c>
      <c r="B230" s="12" t="s">
        <v>2953</v>
      </c>
      <c r="C230" s="12" t="s">
        <v>2954</v>
      </c>
      <c r="D230" s="12" t="s">
        <v>158</v>
      </c>
      <c r="E230" s="12" t="n">
        <v>2</v>
      </c>
      <c r="F230" s="12" t="s">
        <v>2387</v>
      </c>
      <c r="G230" s="12" t="s">
        <v>2310</v>
      </c>
      <c r="H230" s="13" t="n">
        <v>3042283</v>
      </c>
      <c r="I230" s="17"/>
      <c r="J230" s="13" t="n">
        <v>155552</v>
      </c>
      <c r="K230" s="12" t="n">
        <v>5.6</v>
      </c>
      <c r="L230" s="12" t="s">
        <v>92</v>
      </c>
      <c r="M230" s="12" t="s">
        <v>2955</v>
      </c>
    </row>
    <row r="231" customFormat="false" ht="15" hidden="false" customHeight="false" outlineLevel="0" collapsed="false">
      <c r="A231" s="12" t="s">
        <v>2306</v>
      </c>
      <c r="B231" s="12" t="s">
        <v>2956</v>
      </c>
      <c r="C231" s="12" t="s">
        <v>2957</v>
      </c>
      <c r="D231" s="12" t="s">
        <v>251</v>
      </c>
      <c r="E231" s="12" t="n">
        <v>2</v>
      </c>
      <c r="F231" s="12" t="s">
        <v>2314</v>
      </c>
      <c r="G231" s="12" t="s">
        <v>2310</v>
      </c>
      <c r="H231" s="17"/>
      <c r="I231" s="17"/>
      <c r="J231" s="13" t="n">
        <v>185553</v>
      </c>
      <c r="K231" s="12" t="n">
        <v>7</v>
      </c>
      <c r="L231" s="12" t="s">
        <v>169</v>
      </c>
      <c r="M231" s="12" t="s">
        <v>2958</v>
      </c>
    </row>
    <row r="232" customFormat="false" ht="15" hidden="false" customHeight="false" outlineLevel="0" collapsed="false">
      <c r="A232" s="12" t="s">
        <v>2306</v>
      </c>
      <c r="B232" s="12" t="s">
        <v>2959</v>
      </c>
      <c r="C232" s="12" t="s">
        <v>2960</v>
      </c>
      <c r="D232" s="12" t="s">
        <v>101</v>
      </c>
      <c r="E232" s="12" t="n">
        <v>2</v>
      </c>
      <c r="F232" s="12" t="s">
        <v>2688</v>
      </c>
      <c r="G232" s="12" t="s">
        <v>2310</v>
      </c>
      <c r="H232" s="17"/>
      <c r="I232" s="17"/>
      <c r="J232" s="13" t="n">
        <v>185148</v>
      </c>
      <c r="K232" s="12" t="n">
        <v>7</v>
      </c>
      <c r="L232" s="12" t="s">
        <v>674</v>
      </c>
      <c r="M232" s="12" t="s">
        <v>2961</v>
      </c>
    </row>
    <row r="233" customFormat="false" ht="15" hidden="false" customHeight="false" outlineLevel="0" collapsed="false">
      <c r="A233" s="12" t="s">
        <v>2306</v>
      </c>
      <c r="B233" s="12" t="s">
        <v>2962</v>
      </c>
      <c r="C233" s="12" t="s">
        <v>2963</v>
      </c>
      <c r="D233" s="12" t="s">
        <v>251</v>
      </c>
      <c r="E233" s="12" t="n">
        <v>2</v>
      </c>
      <c r="F233" s="12" t="s">
        <v>2314</v>
      </c>
      <c r="G233" s="12" t="s">
        <v>2310</v>
      </c>
      <c r="H233" s="17"/>
      <c r="I233" s="17"/>
      <c r="J233" s="13" t="n">
        <v>183931</v>
      </c>
      <c r="K233" s="12" t="n">
        <v>6.2</v>
      </c>
      <c r="L233" s="12" t="s">
        <v>169</v>
      </c>
      <c r="M233" s="12" t="s">
        <v>2964</v>
      </c>
    </row>
    <row r="234" customFormat="false" ht="15" hidden="false" customHeight="false" outlineLevel="0" collapsed="false">
      <c r="A234" s="12" t="s">
        <v>2306</v>
      </c>
      <c r="B234" s="12" t="s">
        <v>2965</v>
      </c>
      <c r="C234" s="12" t="s">
        <v>2966</v>
      </c>
      <c r="D234" s="12" t="s">
        <v>140</v>
      </c>
      <c r="E234" s="12" t="n">
        <v>2</v>
      </c>
      <c r="F234" s="12" t="s">
        <v>2387</v>
      </c>
      <c r="G234" s="12" t="s">
        <v>2310</v>
      </c>
      <c r="H234" s="13" t="n">
        <v>2480920</v>
      </c>
      <c r="I234" s="17"/>
      <c r="J234" s="13" t="n">
        <v>205353</v>
      </c>
      <c r="K234" s="12" t="n">
        <v>5.7</v>
      </c>
      <c r="L234" s="12" t="s">
        <v>92</v>
      </c>
      <c r="M234" s="12" t="s">
        <v>2967</v>
      </c>
    </row>
    <row r="235" customFormat="false" ht="15" hidden="false" customHeight="false" outlineLevel="0" collapsed="false">
      <c r="A235" s="12" t="s">
        <v>2306</v>
      </c>
      <c r="B235" s="12" t="s">
        <v>2968</v>
      </c>
      <c r="C235" s="12" t="s">
        <v>2969</v>
      </c>
      <c r="D235" s="12" t="s">
        <v>505</v>
      </c>
      <c r="E235" s="12" t="n">
        <v>2</v>
      </c>
      <c r="F235" s="12" t="s">
        <v>2314</v>
      </c>
      <c r="G235" s="12" t="s">
        <v>2310</v>
      </c>
      <c r="H235" s="17"/>
      <c r="I235" s="17"/>
      <c r="J235" s="13" t="n">
        <v>182587</v>
      </c>
      <c r="K235" s="12" t="n">
        <v>6.7</v>
      </c>
      <c r="L235" s="12" t="s">
        <v>169</v>
      </c>
      <c r="M235" s="12" t="s">
        <v>2970</v>
      </c>
    </row>
    <row r="236" customFormat="false" ht="15" hidden="false" customHeight="false" outlineLevel="0" collapsed="false">
      <c r="A236" s="12" t="s">
        <v>2306</v>
      </c>
      <c r="B236" s="12" t="s">
        <v>2971</v>
      </c>
      <c r="C236" s="12" t="s">
        <v>2972</v>
      </c>
      <c r="D236" s="12" t="s">
        <v>358</v>
      </c>
      <c r="E236" s="12" t="n">
        <v>2</v>
      </c>
      <c r="F236" s="12" t="s">
        <v>2387</v>
      </c>
      <c r="G236" s="12" t="s">
        <v>2310</v>
      </c>
      <c r="H236" s="13" t="n">
        <v>5155971</v>
      </c>
      <c r="I236" s="17"/>
      <c r="J236" s="13" t="n">
        <v>62490</v>
      </c>
      <c r="K236" s="12" t="n">
        <v>4.6</v>
      </c>
      <c r="L236" s="12" t="s">
        <v>92</v>
      </c>
      <c r="M236" s="12" t="s">
        <v>2973</v>
      </c>
    </row>
    <row r="237" customFormat="false" ht="15" hidden="false" customHeight="false" outlineLevel="0" collapsed="false">
      <c r="A237" s="12" t="s">
        <v>2306</v>
      </c>
      <c r="B237" s="12" t="s">
        <v>2974</v>
      </c>
      <c r="C237" s="12" t="s">
        <v>2975</v>
      </c>
      <c r="D237" s="12" t="s">
        <v>321</v>
      </c>
      <c r="E237" s="12" t="n">
        <v>2</v>
      </c>
      <c r="F237" s="12" t="s">
        <v>2387</v>
      </c>
      <c r="G237" s="12" t="s">
        <v>2310</v>
      </c>
      <c r="H237" s="13" t="n">
        <v>1090715</v>
      </c>
      <c r="I237" s="17"/>
      <c r="J237" s="13" t="n">
        <v>579814</v>
      </c>
      <c r="K237" s="12" t="n">
        <v>6.6</v>
      </c>
      <c r="L237" s="12" t="s">
        <v>92</v>
      </c>
      <c r="M237" s="12" t="s">
        <v>2976</v>
      </c>
    </row>
    <row r="238" customFormat="false" ht="15" hidden="false" customHeight="false" outlineLevel="0" collapsed="false">
      <c r="A238" s="12" t="s">
        <v>2306</v>
      </c>
      <c r="B238" s="12" t="s">
        <v>2977</v>
      </c>
      <c r="C238" s="12" t="s">
        <v>2978</v>
      </c>
      <c r="D238" s="12" t="s">
        <v>118</v>
      </c>
      <c r="E238" s="12" t="n">
        <v>2</v>
      </c>
      <c r="F238" s="12" t="s">
        <v>2314</v>
      </c>
      <c r="G238" s="12" t="s">
        <v>2310</v>
      </c>
      <c r="H238" s="17"/>
      <c r="I238" s="17"/>
      <c r="J238" s="13" t="n">
        <v>182075</v>
      </c>
      <c r="K238" s="12" t="n">
        <v>7</v>
      </c>
      <c r="L238" s="12" t="s">
        <v>169</v>
      </c>
      <c r="M238" s="12" t="s">
        <v>2979</v>
      </c>
    </row>
    <row r="239" customFormat="false" ht="15" hidden="false" customHeight="false" outlineLevel="0" collapsed="false">
      <c r="A239" s="12" t="s">
        <v>2306</v>
      </c>
      <c r="B239" s="12" t="s">
        <v>2980</v>
      </c>
      <c r="C239" s="12" t="s">
        <v>2981</v>
      </c>
      <c r="D239" s="12" t="s">
        <v>134</v>
      </c>
      <c r="E239" s="12" t="n">
        <v>2</v>
      </c>
      <c r="F239" s="12" t="s">
        <v>2387</v>
      </c>
      <c r="G239" s="12" t="s">
        <v>2310</v>
      </c>
      <c r="H239" s="13" t="n">
        <v>1460499</v>
      </c>
      <c r="I239" s="17"/>
      <c r="J239" s="13" t="n">
        <v>405026</v>
      </c>
      <c r="K239" s="12" t="n">
        <v>6.8</v>
      </c>
      <c r="L239" s="12" t="s">
        <v>92</v>
      </c>
      <c r="M239" s="12" t="s">
        <v>2982</v>
      </c>
    </row>
    <row r="240" customFormat="false" ht="15" hidden="false" customHeight="false" outlineLevel="0" collapsed="false">
      <c r="A240" s="12" t="s">
        <v>2306</v>
      </c>
      <c r="B240" s="12" t="s">
        <v>2983</v>
      </c>
      <c r="C240" s="12" t="s">
        <v>2984</v>
      </c>
      <c r="D240" s="12" t="s">
        <v>118</v>
      </c>
      <c r="E240" s="12" t="n">
        <v>2</v>
      </c>
      <c r="F240" s="12" t="s">
        <v>2314</v>
      </c>
      <c r="G240" s="12" t="s">
        <v>2310</v>
      </c>
      <c r="H240" s="17"/>
      <c r="I240" s="17"/>
      <c r="J240" s="13" t="n">
        <v>181994</v>
      </c>
      <c r="K240" s="12" t="n">
        <v>6.3</v>
      </c>
      <c r="L240" s="12" t="s">
        <v>169</v>
      </c>
      <c r="M240" s="12" t="s">
        <v>2985</v>
      </c>
    </row>
    <row r="241" customFormat="false" ht="15" hidden="false" customHeight="false" outlineLevel="0" collapsed="false">
      <c r="A241" s="12" t="s">
        <v>2306</v>
      </c>
      <c r="B241" s="12" t="s">
        <v>2986</v>
      </c>
      <c r="C241" s="12" t="s">
        <v>2987</v>
      </c>
      <c r="D241" s="12" t="s">
        <v>111</v>
      </c>
      <c r="E241" s="12" t="n">
        <v>2</v>
      </c>
      <c r="F241" s="12" t="s">
        <v>2387</v>
      </c>
      <c r="G241" s="12" t="s">
        <v>2310</v>
      </c>
      <c r="H241" s="13" t="n">
        <v>4331153</v>
      </c>
      <c r="I241" s="17"/>
      <c r="J241" s="13" t="n">
        <v>84984</v>
      </c>
      <c r="K241" s="12" t="n">
        <v>4.6</v>
      </c>
      <c r="L241" s="12" t="s">
        <v>92</v>
      </c>
      <c r="M241" s="12" t="s">
        <v>2988</v>
      </c>
    </row>
    <row r="242" customFormat="false" ht="15" hidden="false" customHeight="false" outlineLevel="0" collapsed="false">
      <c r="A242" s="12" t="s">
        <v>2306</v>
      </c>
      <c r="B242" s="12" t="s">
        <v>2989</v>
      </c>
      <c r="C242" s="12" t="s">
        <v>2990</v>
      </c>
      <c r="D242" s="12" t="s">
        <v>101</v>
      </c>
      <c r="E242" s="12" t="n">
        <v>2</v>
      </c>
      <c r="F242" s="12" t="s">
        <v>2314</v>
      </c>
      <c r="G242" s="12" t="s">
        <v>2310</v>
      </c>
      <c r="H242" s="17"/>
      <c r="I242" s="17"/>
      <c r="J242" s="13" t="n">
        <v>181510</v>
      </c>
      <c r="K242" s="12" t="n">
        <v>6.3</v>
      </c>
      <c r="L242" s="12" t="s">
        <v>169</v>
      </c>
      <c r="M242" s="12" t="s">
        <v>2991</v>
      </c>
    </row>
    <row r="243" customFormat="false" ht="15" hidden="false" customHeight="false" outlineLevel="0" collapsed="false">
      <c r="A243" s="12" t="s">
        <v>2306</v>
      </c>
      <c r="B243" s="12" t="s">
        <v>2992</v>
      </c>
      <c r="C243" s="12" t="s">
        <v>2993</v>
      </c>
      <c r="D243" s="12" t="s">
        <v>111</v>
      </c>
      <c r="E243" s="12" t="n">
        <v>2</v>
      </c>
      <c r="F243" s="12" t="s">
        <v>2314</v>
      </c>
      <c r="G243" s="12" t="s">
        <v>2310</v>
      </c>
      <c r="H243" s="17"/>
      <c r="I243" s="17"/>
      <c r="J243" s="13" t="n">
        <v>181298</v>
      </c>
      <c r="K243" s="12" t="n">
        <v>7.1</v>
      </c>
      <c r="L243" s="12" t="s">
        <v>169</v>
      </c>
      <c r="M243" s="12" t="s">
        <v>2994</v>
      </c>
    </row>
    <row r="244" customFormat="false" ht="15" hidden="false" customHeight="false" outlineLevel="0" collapsed="false">
      <c r="A244" s="12" t="s">
        <v>2306</v>
      </c>
      <c r="B244" s="12" t="s">
        <v>2995</v>
      </c>
      <c r="C244" s="12" t="s">
        <v>2996</v>
      </c>
      <c r="D244" s="12" t="s">
        <v>251</v>
      </c>
      <c r="E244" s="12" t="n">
        <v>2</v>
      </c>
      <c r="F244" s="12" t="s">
        <v>2314</v>
      </c>
      <c r="G244" s="12" t="s">
        <v>2310</v>
      </c>
      <c r="H244" s="17"/>
      <c r="I244" s="17"/>
      <c r="J244" s="13" t="n">
        <v>180661</v>
      </c>
      <c r="K244" s="12" t="n">
        <v>6.6</v>
      </c>
      <c r="L244" s="12" t="s">
        <v>169</v>
      </c>
      <c r="M244" s="12" t="s">
        <v>2997</v>
      </c>
    </row>
    <row r="245" customFormat="false" ht="15" hidden="false" customHeight="false" outlineLevel="0" collapsed="false">
      <c r="A245" s="12" t="s">
        <v>2306</v>
      </c>
      <c r="B245" s="12" t="s">
        <v>2998</v>
      </c>
      <c r="C245" s="12" t="s">
        <v>2999</v>
      </c>
      <c r="D245" s="12" t="s">
        <v>202</v>
      </c>
      <c r="E245" s="12" t="n">
        <v>2</v>
      </c>
      <c r="F245" s="12" t="s">
        <v>2309</v>
      </c>
      <c r="G245" s="12" t="s">
        <v>2310</v>
      </c>
      <c r="H245" s="17"/>
      <c r="I245" s="17"/>
      <c r="J245" s="13" t="n">
        <v>180092</v>
      </c>
      <c r="K245" s="12" t="n">
        <v>7.1</v>
      </c>
      <c r="L245" s="12" t="s">
        <v>128</v>
      </c>
      <c r="M245" s="12" t="s">
        <v>3000</v>
      </c>
    </row>
    <row r="246" customFormat="false" ht="15" hidden="false" customHeight="false" outlineLevel="0" collapsed="false">
      <c r="A246" s="12" t="s">
        <v>2306</v>
      </c>
      <c r="B246" s="12" t="s">
        <v>3001</v>
      </c>
      <c r="C246" s="12" t="s">
        <v>3001</v>
      </c>
      <c r="D246" s="12" t="s">
        <v>111</v>
      </c>
      <c r="E246" s="12" t="n">
        <v>2</v>
      </c>
      <c r="F246" s="12" t="s">
        <v>2314</v>
      </c>
      <c r="G246" s="12" t="s">
        <v>2310</v>
      </c>
      <c r="H246" s="17"/>
      <c r="I246" s="17"/>
      <c r="J246" s="13" t="n">
        <v>180085</v>
      </c>
      <c r="K246" s="12" t="n">
        <v>7.6</v>
      </c>
      <c r="L246" s="12" t="s">
        <v>169</v>
      </c>
      <c r="M246" s="12" t="s">
        <v>3002</v>
      </c>
    </row>
    <row r="247" customFormat="false" ht="15" hidden="false" customHeight="false" outlineLevel="0" collapsed="false">
      <c r="A247" s="12" t="s">
        <v>2306</v>
      </c>
      <c r="B247" s="12" t="s">
        <v>3003</v>
      </c>
      <c r="C247" s="12" t="s">
        <v>3004</v>
      </c>
      <c r="D247" s="12" t="s">
        <v>118</v>
      </c>
      <c r="E247" s="12" t="n">
        <v>2</v>
      </c>
      <c r="F247" s="12" t="s">
        <v>2688</v>
      </c>
      <c r="G247" s="12" t="s">
        <v>2310</v>
      </c>
      <c r="H247" s="17"/>
      <c r="I247" s="17"/>
      <c r="J247" s="13" t="n">
        <v>179992</v>
      </c>
      <c r="K247" s="12" t="n">
        <v>6.1</v>
      </c>
      <c r="L247" s="12" t="s">
        <v>674</v>
      </c>
      <c r="M247" s="12" t="s">
        <v>3005</v>
      </c>
    </row>
    <row r="248" customFormat="false" ht="15" hidden="false" customHeight="false" outlineLevel="0" collapsed="false">
      <c r="A248" s="12" t="s">
        <v>2306</v>
      </c>
      <c r="B248" s="12" t="s">
        <v>3006</v>
      </c>
      <c r="C248" s="12" t="s">
        <v>3007</v>
      </c>
      <c r="D248" s="12" t="s">
        <v>175</v>
      </c>
      <c r="E248" s="12" t="n">
        <v>2</v>
      </c>
      <c r="F248" s="12" t="s">
        <v>2314</v>
      </c>
      <c r="G248" s="12" t="s">
        <v>2310</v>
      </c>
      <c r="H248" s="17"/>
      <c r="I248" s="17"/>
      <c r="J248" s="13" t="n">
        <v>179201</v>
      </c>
      <c r="K248" s="12" t="n">
        <v>6.5</v>
      </c>
      <c r="L248" s="12" t="s">
        <v>169</v>
      </c>
      <c r="M248" s="12" t="s">
        <v>3008</v>
      </c>
    </row>
    <row r="249" customFormat="false" ht="15" hidden="false" customHeight="false" outlineLevel="0" collapsed="false">
      <c r="A249" s="12" t="s">
        <v>2306</v>
      </c>
      <c r="B249" s="12" t="s">
        <v>3009</v>
      </c>
      <c r="C249" s="12" t="s">
        <v>3010</v>
      </c>
      <c r="D249" s="12" t="s">
        <v>175</v>
      </c>
      <c r="E249" s="12" t="n">
        <v>2</v>
      </c>
      <c r="F249" s="12" t="s">
        <v>2314</v>
      </c>
      <c r="G249" s="12" t="s">
        <v>2310</v>
      </c>
      <c r="H249" s="17"/>
      <c r="I249" s="17"/>
      <c r="J249" s="13" t="n">
        <v>178995</v>
      </c>
      <c r="K249" s="12" t="n">
        <v>7.8</v>
      </c>
      <c r="L249" s="12" t="s">
        <v>169</v>
      </c>
      <c r="M249" s="12" t="s">
        <v>3011</v>
      </c>
    </row>
    <row r="250" customFormat="false" ht="15" hidden="false" customHeight="false" outlineLevel="0" collapsed="false">
      <c r="A250" s="12" t="s">
        <v>2306</v>
      </c>
      <c r="B250" s="12" t="s">
        <v>3012</v>
      </c>
      <c r="C250" s="12" t="s">
        <v>3013</v>
      </c>
      <c r="D250" s="12" t="s">
        <v>207</v>
      </c>
      <c r="E250" s="12" t="n">
        <v>2</v>
      </c>
      <c r="F250" s="12" t="s">
        <v>2314</v>
      </c>
      <c r="G250" s="12" t="s">
        <v>2310</v>
      </c>
      <c r="H250" s="17"/>
      <c r="I250" s="17"/>
      <c r="J250" s="13" t="n">
        <v>178839</v>
      </c>
      <c r="K250" s="12" t="n">
        <v>7</v>
      </c>
      <c r="L250" s="12" t="s">
        <v>169</v>
      </c>
      <c r="M250" s="12" t="s">
        <v>3014</v>
      </c>
    </row>
    <row r="251" customFormat="false" ht="15" hidden="false" customHeight="false" outlineLevel="0" collapsed="false">
      <c r="A251" s="12" t="s">
        <v>2306</v>
      </c>
      <c r="B251" s="12" t="s">
        <v>3015</v>
      </c>
      <c r="C251" s="12" t="s">
        <v>3016</v>
      </c>
      <c r="D251" s="12" t="s">
        <v>101</v>
      </c>
      <c r="E251" s="12" t="n">
        <v>2</v>
      </c>
      <c r="F251" s="12" t="s">
        <v>2314</v>
      </c>
      <c r="G251" s="12" t="s">
        <v>2310</v>
      </c>
      <c r="H251" s="17"/>
      <c r="I251" s="17"/>
      <c r="J251" s="13" t="n">
        <v>177425</v>
      </c>
      <c r="K251" s="12" t="n">
        <v>6.6</v>
      </c>
      <c r="L251" s="12" t="s">
        <v>169</v>
      </c>
      <c r="M251" s="12" t="s">
        <v>3017</v>
      </c>
    </row>
    <row r="252" customFormat="false" ht="15" hidden="false" customHeight="false" outlineLevel="0" collapsed="false">
      <c r="A252" s="12" t="s">
        <v>2306</v>
      </c>
      <c r="B252" s="12" t="s">
        <v>3018</v>
      </c>
      <c r="C252" s="12" t="s">
        <v>3019</v>
      </c>
      <c r="D252" s="12" t="s">
        <v>500</v>
      </c>
      <c r="E252" s="12" t="n">
        <v>2</v>
      </c>
      <c r="F252" s="12" t="s">
        <v>2387</v>
      </c>
      <c r="G252" s="12" t="s">
        <v>2310</v>
      </c>
      <c r="H252" s="13" t="n">
        <v>2276843</v>
      </c>
      <c r="I252" s="17"/>
      <c r="J252" s="13" t="n">
        <v>205922</v>
      </c>
      <c r="K252" s="12" t="n">
        <v>6.7</v>
      </c>
      <c r="L252" s="12" t="s">
        <v>92</v>
      </c>
      <c r="M252" s="12" t="s">
        <v>3020</v>
      </c>
    </row>
    <row r="253" customFormat="false" ht="15" hidden="false" customHeight="false" outlineLevel="0" collapsed="false">
      <c r="A253" s="12" t="s">
        <v>2306</v>
      </c>
      <c r="B253" s="12" t="s">
        <v>3021</v>
      </c>
      <c r="C253" s="12" t="s">
        <v>3022</v>
      </c>
      <c r="D253" s="12" t="s">
        <v>146</v>
      </c>
      <c r="E253" s="12" t="n">
        <v>2</v>
      </c>
      <c r="F253" s="12" t="s">
        <v>2387</v>
      </c>
      <c r="G253" s="12" t="s">
        <v>2310</v>
      </c>
      <c r="H253" s="13" t="n">
        <v>1866837</v>
      </c>
      <c r="I253" s="17"/>
      <c r="J253" s="13" t="n">
        <v>274832</v>
      </c>
      <c r="K253" s="12" t="n">
        <v>5.3</v>
      </c>
      <c r="L253" s="12" t="s">
        <v>92</v>
      </c>
      <c r="M253" s="12" t="s">
        <v>3023</v>
      </c>
    </row>
    <row r="254" customFormat="false" ht="15" hidden="false" customHeight="false" outlineLevel="0" collapsed="false">
      <c r="A254" s="12" t="s">
        <v>2306</v>
      </c>
      <c r="B254" s="12" t="s">
        <v>3024</v>
      </c>
      <c r="C254" s="12" t="s">
        <v>3025</v>
      </c>
      <c r="D254" s="12" t="s">
        <v>358</v>
      </c>
      <c r="E254" s="12" t="n">
        <v>2</v>
      </c>
      <c r="F254" s="12" t="s">
        <v>2387</v>
      </c>
      <c r="G254" s="12" t="s">
        <v>2310</v>
      </c>
      <c r="H254" s="13" t="n">
        <v>2104707</v>
      </c>
      <c r="I254" s="17"/>
      <c r="J254" s="13" t="n">
        <v>230723</v>
      </c>
      <c r="K254" s="12" t="n">
        <v>6.3</v>
      </c>
      <c r="L254" s="12" t="s">
        <v>92</v>
      </c>
      <c r="M254" s="12" t="s">
        <v>3026</v>
      </c>
    </row>
    <row r="255" customFormat="false" ht="15" hidden="false" customHeight="false" outlineLevel="0" collapsed="false">
      <c r="A255" s="12" t="s">
        <v>2306</v>
      </c>
      <c r="B255" s="12" t="s">
        <v>3027</v>
      </c>
      <c r="C255" s="12" t="s">
        <v>3028</v>
      </c>
      <c r="D255" s="12" t="s">
        <v>175</v>
      </c>
      <c r="E255" s="12" t="n">
        <v>2</v>
      </c>
      <c r="F255" s="12" t="s">
        <v>2688</v>
      </c>
      <c r="G255" s="12" t="s">
        <v>2310</v>
      </c>
      <c r="H255" s="17"/>
      <c r="I255" s="17"/>
      <c r="J255" s="13" t="n">
        <v>177130</v>
      </c>
      <c r="K255" s="12" t="n">
        <v>7</v>
      </c>
      <c r="L255" s="12" t="s">
        <v>674</v>
      </c>
      <c r="M255" s="12" t="s">
        <v>3029</v>
      </c>
    </row>
    <row r="256" customFormat="false" ht="15" hidden="false" customHeight="false" outlineLevel="0" collapsed="false">
      <c r="A256" s="12" t="s">
        <v>2306</v>
      </c>
      <c r="B256" s="12" t="s">
        <v>3030</v>
      </c>
      <c r="C256" s="12" t="s">
        <v>3031</v>
      </c>
      <c r="D256" s="12" t="s">
        <v>118</v>
      </c>
      <c r="E256" s="12" t="n">
        <v>2</v>
      </c>
      <c r="F256" s="12" t="s">
        <v>2387</v>
      </c>
      <c r="G256" s="12" t="s">
        <v>2310</v>
      </c>
      <c r="H256" s="13" t="n">
        <v>3135370</v>
      </c>
      <c r="I256" s="17"/>
      <c r="J256" s="13" t="n">
        <v>120024</v>
      </c>
      <c r="K256" s="12" t="n">
        <v>6.5</v>
      </c>
      <c r="L256" s="12" t="s">
        <v>92</v>
      </c>
      <c r="M256" s="12" t="s">
        <v>3032</v>
      </c>
    </row>
    <row r="257" customFormat="false" ht="15" hidden="false" customHeight="false" outlineLevel="0" collapsed="false">
      <c r="A257" s="12" t="s">
        <v>2306</v>
      </c>
      <c r="B257" s="12" t="s">
        <v>3033</v>
      </c>
      <c r="C257" s="12" t="s">
        <v>3034</v>
      </c>
      <c r="D257" s="12" t="s">
        <v>1103</v>
      </c>
      <c r="E257" s="12" t="n">
        <v>2</v>
      </c>
      <c r="F257" s="12" t="s">
        <v>2314</v>
      </c>
      <c r="G257" s="12" t="s">
        <v>2310</v>
      </c>
      <c r="H257" s="17"/>
      <c r="I257" s="17"/>
      <c r="J257" s="13" t="n">
        <v>174947</v>
      </c>
      <c r="K257" s="12" t="n">
        <v>7.1</v>
      </c>
      <c r="L257" s="12" t="s">
        <v>169</v>
      </c>
      <c r="M257" s="12" t="s">
        <v>3035</v>
      </c>
    </row>
    <row r="258" customFormat="false" ht="15" hidden="false" customHeight="false" outlineLevel="0" collapsed="false">
      <c r="A258" s="12" t="s">
        <v>2306</v>
      </c>
      <c r="B258" s="12" t="s">
        <v>3036</v>
      </c>
      <c r="D258" s="12" t="s">
        <v>140</v>
      </c>
      <c r="E258" s="12" t="n">
        <v>1</v>
      </c>
      <c r="F258" s="12" t="s">
        <v>2404</v>
      </c>
      <c r="G258" s="12" t="s">
        <v>2405</v>
      </c>
      <c r="H258" s="13" t="n">
        <v>2397189</v>
      </c>
      <c r="I258" s="17"/>
      <c r="J258" s="17"/>
      <c r="L258" s="12" t="s">
        <v>92</v>
      </c>
    </row>
    <row r="259" customFormat="false" ht="15" hidden="false" customHeight="false" outlineLevel="0" collapsed="false">
      <c r="A259" s="12" t="s">
        <v>2306</v>
      </c>
      <c r="B259" s="12" t="s">
        <v>3037</v>
      </c>
      <c r="D259" s="12" t="s">
        <v>286</v>
      </c>
      <c r="E259" s="12" t="n">
        <v>2</v>
      </c>
      <c r="F259" s="12" t="s">
        <v>2387</v>
      </c>
      <c r="G259" s="12" t="s">
        <v>2310</v>
      </c>
      <c r="H259" s="13" t="n">
        <v>1701971</v>
      </c>
      <c r="I259" s="17"/>
      <c r="J259" s="13" t="n">
        <v>296407</v>
      </c>
      <c r="K259" s="12" t="n">
        <v>5.7</v>
      </c>
      <c r="L259" s="12" t="s">
        <v>92</v>
      </c>
      <c r="M259" s="12" t="s">
        <v>3038</v>
      </c>
    </row>
    <row r="260" customFormat="false" ht="15" hidden="false" customHeight="false" outlineLevel="0" collapsed="false">
      <c r="A260" s="12" t="s">
        <v>2306</v>
      </c>
      <c r="B260" s="12" t="s">
        <v>3039</v>
      </c>
      <c r="C260" s="12" t="s">
        <v>3040</v>
      </c>
      <c r="D260" s="12" t="s">
        <v>183</v>
      </c>
      <c r="E260" s="12" t="n">
        <v>2</v>
      </c>
      <c r="F260" s="12" t="s">
        <v>2387</v>
      </c>
      <c r="G260" s="12" t="s">
        <v>2310</v>
      </c>
      <c r="H260" s="13" t="n">
        <v>3133452</v>
      </c>
      <c r="I260" s="17"/>
      <c r="J260" s="13" t="n">
        <v>118657</v>
      </c>
      <c r="K260" s="12" t="n">
        <v>6.7</v>
      </c>
      <c r="L260" s="12" t="s">
        <v>92</v>
      </c>
      <c r="M260" s="12" t="s">
        <v>3041</v>
      </c>
    </row>
    <row r="261" customFormat="false" ht="15" hidden="false" customHeight="false" outlineLevel="0" collapsed="false">
      <c r="A261" s="12" t="s">
        <v>2306</v>
      </c>
      <c r="B261" s="12" t="s">
        <v>3042</v>
      </c>
      <c r="C261" s="12" t="s">
        <v>3043</v>
      </c>
      <c r="D261" s="12" t="s">
        <v>183</v>
      </c>
      <c r="E261" s="12" t="n">
        <v>2</v>
      </c>
      <c r="F261" s="12" t="s">
        <v>2387</v>
      </c>
      <c r="G261" s="12" t="s">
        <v>2310</v>
      </c>
      <c r="H261" s="13" t="n">
        <v>2707296</v>
      </c>
      <c r="I261" s="17"/>
      <c r="J261" s="13" t="n">
        <v>152723</v>
      </c>
      <c r="K261" s="12" t="n">
        <v>6.2</v>
      </c>
      <c r="L261" s="12" t="s">
        <v>92</v>
      </c>
      <c r="M261" s="12" t="s">
        <v>3044</v>
      </c>
    </row>
    <row r="262" customFormat="false" ht="15" hidden="false" customHeight="false" outlineLevel="0" collapsed="false">
      <c r="A262" s="12" t="s">
        <v>2306</v>
      </c>
      <c r="B262" s="12" t="s">
        <v>3045</v>
      </c>
      <c r="C262" s="12" t="s">
        <v>3046</v>
      </c>
      <c r="D262" s="12" t="s">
        <v>251</v>
      </c>
      <c r="E262" s="12" t="n">
        <v>2</v>
      </c>
      <c r="F262" s="12" t="s">
        <v>2314</v>
      </c>
      <c r="G262" s="12" t="s">
        <v>2310</v>
      </c>
      <c r="H262" s="17"/>
      <c r="I262" s="17"/>
      <c r="J262" s="13" t="n">
        <v>173645</v>
      </c>
      <c r="K262" s="12" t="n">
        <v>5.8</v>
      </c>
      <c r="L262" s="12" t="s">
        <v>169</v>
      </c>
      <c r="M262" s="12" t="s">
        <v>3047</v>
      </c>
    </row>
    <row r="263" customFormat="false" ht="15" hidden="false" customHeight="false" outlineLevel="0" collapsed="false">
      <c r="A263" s="12" t="s">
        <v>2306</v>
      </c>
      <c r="B263" s="12" t="s">
        <v>3048</v>
      </c>
      <c r="C263" s="12" t="s">
        <v>3049</v>
      </c>
      <c r="D263" s="12" t="s">
        <v>207</v>
      </c>
      <c r="E263" s="12" t="n">
        <v>2</v>
      </c>
      <c r="F263" s="12" t="s">
        <v>2314</v>
      </c>
      <c r="G263" s="12" t="s">
        <v>2310</v>
      </c>
      <c r="H263" s="17"/>
      <c r="I263" s="17"/>
      <c r="J263" s="13" t="n">
        <v>173375</v>
      </c>
      <c r="K263" s="12" t="n">
        <v>7.3</v>
      </c>
      <c r="L263" s="12" t="s">
        <v>169</v>
      </c>
      <c r="M263" s="12" t="s">
        <v>3050</v>
      </c>
    </row>
    <row r="264" customFormat="false" ht="15" hidden="false" customHeight="false" outlineLevel="0" collapsed="false">
      <c r="A264" s="12" t="s">
        <v>2306</v>
      </c>
      <c r="B264" s="12" t="s">
        <v>3051</v>
      </c>
      <c r="C264" s="12" t="s">
        <v>3052</v>
      </c>
      <c r="D264" s="12" t="s">
        <v>396</v>
      </c>
      <c r="E264" s="12" t="n">
        <v>2</v>
      </c>
      <c r="F264" s="12" t="s">
        <v>2387</v>
      </c>
      <c r="G264" s="12" t="s">
        <v>2310</v>
      </c>
      <c r="H264" s="13" t="n">
        <v>2015891</v>
      </c>
      <c r="I264" s="17"/>
      <c r="J264" s="13" t="n">
        <v>241458</v>
      </c>
      <c r="K264" s="12" t="n">
        <v>6.5</v>
      </c>
      <c r="L264" s="12" t="s">
        <v>92</v>
      </c>
      <c r="M264" s="12" t="s">
        <v>3053</v>
      </c>
    </row>
    <row r="265" customFormat="false" ht="15" hidden="false" customHeight="false" outlineLevel="0" collapsed="false">
      <c r="A265" s="12" t="s">
        <v>2306</v>
      </c>
      <c r="B265" s="12" t="s">
        <v>3054</v>
      </c>
      <c r="C265" s="12" t="s">
        <v>3055</v>
      </c>
      <c r="D265" s="12" t="s">
        <v>90</v>
      </c>
      <c r="E265" s="12" t="n">
        <v>2</v>
      </c>
      <c r="F265" s="12" t="s">
        <v>2387</v>
      </c>
      <c r="G265" s="12" t="s">
        <v>2310</v>
      </c>
      <c r="H265" s="13" t="n">
        <v>10979552</v>
      </c>
      <c r="I265" s="17"/>
      <c r="J265" s="13" t="n">
        <v>3603</v>
      </c>
      <c r="K265" s="12" t="n">
        <v>7.1</v>
      </c>
      <c r="L265" s="12" t="s">
        <v>92</v>
      </c>
      <c r="M265" s="12" t="s">
        <v>3056</v>
      </c>
    </row>
    <row r="266" customFormat="false" ht="15" hidden="false" customHeight="false" outlineLevel="0" collapsed="false">
      <c r="A266" s="12" t="s">
        <v>2306</v>
      </c>
      <c r="B266" s="12" t="s">
        <v>679</v>
      </c>
      <c r="D266" s="12" t="s">
        <v>273</v>
      </c>
      <c r="E266" s="12" t="n">
        <v>2</v>
      </c>
      <c r="F266" s="12" t="s">
        <v>2387</v>
      </c>
      <c r="G266" s="12" t="s">
        <v>2310</v>
      </c>
      <c r="H266" s="13" t="n">
        <v>1938791</v>
      </c>
      <c r="I266" s="17"/>
      <c r="J266" s="13" t="n">
        <v>247785</v>
      </c>
      <c r="K266" s="12" t="n">
        <v>7.4</v>
      </c>
      <c r="L266" s="12" t="s">
        <v>92</v>
      </c>
      <c r="M266" s="12" t="s">
        <v>3057</v>
      </c>
    </row>
    <row r="267" customFormat="false" ht="15" hidden="false" customHeight="false" outlineLevel="0" collapsed="false">
      <c r="A267" s="12" t="s">
        <v>2306</v>
      </c>
      <c r="B267" s="12" t="s">
        <v>3058</v>
      </c>
      <c r="C267" s="12" t="s">
        <v>3059</v>
      </c>
      <c r="D267" s="12" t="s">
        <v>251</v>
      </c>
      <c r="E267" s="12" t="n">
        <v>2</v>
      </c>
      <c r="F267" s="12" t="s">
        <v>2387</v>
      </c>
      <c r="G267" s="12" t="s">
        <v>2310</v>
      </c>
      <c r="H267" s="13" t="n">
        <v>2561136</v>
      </c>
      <c r="I267" s="17"/>
      <c r="J267" s="13" t="n">
        <v>166206</v>
      </c>
      <c r="K267" s="12" t="n">
        <v>6</v>
      </c>
      <c r="L267" s="12" t="s">
        <v>92</v>
      </c>
      <c r="M267" s="12" t="s">
        <v>3060</v>
      </c>
    </row>
    <row r="268" customFormat="false" ht="15" hidden="false" customHeight="false" outlineLevel="0" collapsed="false">
      <c r="A268" s="12" t="s">
        <v>2306</v>
      </c>
      <c r="B268" s="12" t="s">
        <v>3061</v>
      </c>
      <c r="C268" s="12" t="s">
        <v>3062</v>
      </c>
      <c r="D268" s="12" t="s">
        <v>101</v>
      </c>
      <c r="E268" s="12" t="n">
        <v>2</v>
      </c>
      <c r="F268" s="12" t="s">
        <v>2314</v>
      </c>
      <c r="G268" s="12" t="s">
        <v>2310</v>
      </c>
      <c r="H268" s="17"/>
      <c r="I268" s="17"/>
      <c r="J268" s="13" t="n">
        <v>170983</v>
      </c>
      <c r="K268" s="12" t="n">
        <v>7.1</v>
      </c>
      <c r="L268" s="12" t="s">
        <v>169</v>
      </c>
      <c r="M268" s="12" t="s">
        <v>3063</v>
      </c>
    </row>
    <row r="269" customFormat="false" ht="15" hidden="false" customHeight="false" outlineLevel="0" collapsed="false">
      <c r="A269" s="12" t="s">
        <v>2306</v>
      </c>
      <c r="B269" s="12" t="s">
        <v>3064</v>
      </c>
      <c r="C269" s="12" t="s">
        <v>3065</v>
      </c>
      <c r="D269" s="12" t="s">
        <v>207</v>
      </c>
      <c r="E269" s="12" t="n">
        <v>2</v>
      </c>
      <c r="F269" s="12" t="s">
        <v>2387</v>
      </c>
      <c r="G269" s="12" t="s">
        <v>2310</v>
      </c>
      <c r="H269" s="13" t="n">
        <v>5117598</v>
      </c>
      <c r="I269" s="17"/>
      <c r="J269" s="13" t="n">
        <v>43282</v>
      </c>
      <c r="K269" s="12" t="n">
        <v>6.3</v>
      </c>
      <c r="L269" s="12" t="s">
        <v>92</v>
      </c>
      <c r="M269" s="12" t="s">
        <v>3066</v>
      </c>
    </row>
    <row r="270" customFormat="false" ht="15" hidden="false" customHeight="false" outlineLevel="0" collapsed="false">
      <c r="A270" s="12" t="s">
        <v>2306</v>
      </c>
      <c r="B270" s="12" t="s">
        <v>3067</v>
      </c>
      <c r="C270" s="12" t="s">
        <v>3067</v>
      </c>
      <c r="D270" s="12" t="s">
        <v>1103</v>
      </c>
      <c r="E270" s="12" t="n">
        <v>2</v>
      </c>
      <c r="F270" s="12" t="s">
        <v>2314</v>
      </c>
      <c r="G270" s="12" t="s">
        <v>2310</v>
      </c>
      <c r="H270" s="17"/>
      <c r="I270" s="17"/>
      <c r="J270" s="13" t="n">
        <v>168988</v>
      </c>
      <c r="K270" s="12" t="n">
        <v>5.8</v>
      </c>
      <c r="L270" s="12" t="s">
        <v>169</v>
      </c>
      <c r="M270" s="12" t="s">
        <v>3068</v>
      </c>
    </row>
    <row r="271" customFormat="false" ht="15" hidden="false" customHeight="false" outlineLevel="0" collapsed="false">
      <c r="A271" s="12" t="s">
        <v>2306</v>
      </c>
      <c r="B271" s="12" t="s">
        <v>3069</v>
      </c>
      <c r="C271" s="12" t="s">
        <v>3070</v>
      </c>
      <c r="D271" s="12" t="s">
        <v>146</v>
      </c>
      <c r="E271" s="12" t="n">
        <v>2</v>
      </c>
      <c r="F271" s="12" t="s">
        <v>2387</v>
      </c>
      <c r="G271" s="12" t="s">
        <v>2310</v>
      </c>
      <c r="H271" s="13" t="n">
        <v>1153250</v>
      </c>
      <c r="I271" s="17"/>
      <c r="J271" s="13" t="n">
        <v>438290</v>
      </c>
      <c r="K271" s="12" t="n">
        <v>7.1</v>
      </c>
      <c r="L271" s="12" t="s">
        <v>92</v>
      </c>
      <c r="M271" s="12" t="s">
        <v>3071</v>
      </c>
    </row>
    <row r="272" customFormat="false" ht="15" hidden="false" customHeight="false" outlineLevel="0" collapsed="false">
      <c r="A272" s="12" t="s">
        <v>2306</v>
      </c>
      <c r="B272" s="12" t="s">
        <v>3072</v>
      </c>
      <c r="C272" s="12" t="s">
        <v>3073</v>
      </c>
      <c r="D272" s="12" t="s">
        <v>189</v>
      </c>
      <c r="E272" s="12" t="n">
        <v>2</v>
      </c>
      <c r="F272" s="12" t="s">
        <v>2387</v>
      </c>
      <c r="G272" s="12" t="s">
        <v>2310</v>
      </c>
      <c r="H272" s="13" t="n">
        <v>9235798</v>
      </c>
      <c r="I272" s="17"/>
      <c r="J272" s="13" t="n">
        <v>4137</v>
      </c>
      <c r="K272" s="12" t="n">
        <v>6.7</v>
      </c>
      <c r="L272" s="12" t="s">
        <v>92</v>
      </c>
      <c r="M272" s="12" t="s">
        <v>3074</v>
      </c>
    </row>
    <row r="273" customFormat="false" ht="15" hidden="false" customHeight="false" outlineLevel="0" collapsed="false">
      <c r="A273" s="12" t="s">
        <v>2306</v>
      </c>
      <c r="B273" s="12" t="s">
        <v>3075</v>
      </c>
      <c r="C273" s="12" t="s">
        <v>3076</v>
      </c>
      <c r="D273" s="12" t="s">
        <v>118</v>
      </c>
      <c r="E273" s="12" t="n">
        <v>2</v>
      </c>
      <c r="F273" s="12" t="s">
        <v>2314</v>
      </c>
      <c r="G273" s="12" t="s">
        <v>2310</v>
      </c>
      <c r="H273" s="17"/>
      <c r="I273" s="17"/>
      <c r="J273" s="13" t="n">
        <v>167524</v>
      </c>
      <c r="K273" s="12" t="n">
        <v>7.6</v>
      </c>
      <c r="L273" s="12" t="s">
        <v>169</v>
      </c>
      <c r="M273" s="12" t="s">
        <v>3077</v>
      </c>
    </row>
    <row r="274" customFormat="false" ht="15" hidden="false" customHeight="false" outlineLevel="0" collapsed="false">
      <c r="A274" s="12" t="s">
        <v>2306</v>
      </c>
      <c r="B274" s="12" t="s">
        <v>3078</v>
      </c>
      <c r="C274" s="12" t="s">
        <v>3079</v>
      </c>
      <c r="D274" s="12" t="s">
        <v>1103</v>
      </c>
      <c r="E274" s="12" t="n">
        <v>2</v>
      </c>
      <c r="F274" s="12" t="s">
        <v>2314</v>
      </c>
      <c r="G274" s="12" t="s">
        <v>2310</v>
      </c>
      <c r="H274" s="17"/>
      <c r="I274" s="17"/>
      <c r="J274" s="13" t="n">
        <v>167289</v>
      </c>
      <c r="K274" s="12" t="n">
        <v>6.6</v>
      </c>
      <c r="L274" s="12" t="s">
        <v>169</v>
      </c>
      <c r="M274" s="12" t="s">
        <v>3080</v>
      </c>
    </row>
    <row r="275" customFormat="false" ht="15" hidden="false" customHeight="false" outlineLevel="0" collapsed="false">
      <c r="A275" s="12" t="s">
        <v>2306</v>
      </c>
      <c r="B275" s="12" t="s">
        <v>3081</v>
      </c>
      <c r="C275" s="12" t="s">
        <v>3082</v>
      </c>
      <c r="D275" s="12" t="s">
        <v>152</v>
      </c>
      <c r="E275" s="12" t="n">
        <v>2</v>
      </c>
      <c r="F275" s="12" t="s">
        <v>2387</v>
      </c>
      <c r="G275" s="12" t="s">
        <v>2310</v>
      </c>
      <c r="H275" s="13" t="n">
        <v>3226512</v>
      </c>
      <c r="I275" s="17"/>
      <c r="J275" s="13" t="n">
        <v>102166</v>
      </c>
      <c r="K275" s="12" t="n">
        <v>5.1</v>
      </c>
      <c r="L275" s="12" t="s">
        <v>92</v>
      </c>
      <c r="M275" s="12" t="s">
        <v>3083</v>
      </c>
    </row>
    <row r="276" customFormat="false" ht="15" hidden="false" customHeight="false" outlineLevel="0" collapsed="false">
      <c r="A276" s="12" t="s">
        <v>2306</v>
      </c>
      <c r="B276" s="12" t="s">
        <v>3084</v>
      </c>
      <c r="C276" s="12" t="s">
        <v>3084</v>
      </c>
      <c r="D276" s="12" t="s">
        <v>118</v>
      </c>
      <c r="E276" s="12" t="n">
        <v>2</v>
      </c>
      <c r="F276" s="12" t="s">
        <v>2314</v>
      </c>
      <c r="G276" s="12" t="s">
        <v>2310</v>
      </c>
      <c r="H276" s="17"/>
      <c r="I276" s="17"/>
      <c r="J276" s="13" t="n">
        <v>165906</v>
      </c>
      <c r="K276" s="12" t="n">
        <v>7</v>
      </c>
      <c r="L276" s="12" t="s">
        <v>169</v>
      </c>
      <c r="M276" s="12" t="s">
        <v>3085</v>
      </c>
    </row>
    <row r="277" customFormat="false" ht="15" hidden="false" customHeight="false" outlineLevel="0" collapsed="false">
      <c r="A277" s="12" t="s">
        <v>2306</v>
      </c>
      <c r="B277" s="12" t="s">
        <v>3086</v>
      </c>
      <c r="C277" s="12" t="s">
        <v>3087</v>
      </c>
      <c r="D277" s="12" t="s">
        <v>152</v>
      </c>
      <c r="E277" s="12" t="n">
        <v>2</v>
      </c>
      <c r="F277" s="12" t="s">
        <v>2387</v>
      </c>
      <c r="G277" s="12" t="s">
        <v>2310</v>
      </c>
      <c r="H277" s="13" t="n">
        <v>1462214</v>
      </c>
      <c r="I277" s="17"/>
      <c r="J277" s="13" t="n">
        <v>310834</v>
      </c>
      <c r="K277" s="12" t="n">
        <v>6.1</v>
      </c>
      <c r="L277" s="12" t="s">
        <v>92</v>
      </c>
      <c r="M277" s="12" t="s">
        <v>3088</v>
      </c>
    </row>
    <row r="278" customFormat="false" ht="15" hidden="false" customHeight="false" outlineLevel="0" collapsed="false">
      <c r="A278" s="12" t="s">
        <v>2306</v>
      </c>
      <c r="B278" s="12" t="s">
        <v>3089</v>
      </c>
      <c r="C278" s="12" t="s">
        <v>3090</v>
      </c>
      <c r="D278" s="12" t="s">
        <v>251</v>
      </c>
      <c r="E278" s="12" t="n">
        <v>2</v>
      </c>
      <c r="F278" s="12" t="s">
        <v>2314</v>
      </c>
      <c r="G278" s="12" t="s">
        <v>2310</v>
      </c>
      <c r="H278" s="17"/>
      <c r="I278" s="17"/>
      <c r="J278" s="13" t="n">
        <v>164991</v>
      </c>
      <c r="K278" s="12" t="n">
        <v>7.2</v>
      </c>
      <c r="L278" s="12" t="s">
        <v>169</v>
      </c>
      <c r="M278" s="12" t="s">
        <v>3091</v>
      </c>
    </row>
    <row r="279" customFormat="false" ht="15" hidden="false" customHeight="false" outlineLevel="0" collapsed="false">
      <c r="A279" s="12" t="s">
        <v>2306</v>
      </c>
      <c r="B279" s="12" t="s">
        <v>3092</v>
      </c>
      <c r="C279" s="12" t="s">
        <v>3093</v>
      </c>
      <c r="D279" s="12" t="s">
        <v>207</v>
      </c>
      <c r="E279" s="12" t="n">
        <v>2</v>
      </c>
      <c r="F279" s="12" t="s">
        <v>2314</v>
      </c>
      <c r="G279" s="12" t="s">
        <v>2310</v>
      </c>
      <c r="H279" s="17"/>
      <c r="I279" s="17"/>
      <c r="J279" s="13" t="n">
        <v>164667</v>
      </c>
      <c r="K279" s="12" t="n">
        <v>7.4</v>
      </c>
      <c r="L279" s="12" t="s">
        <v>169</v>
      </c>
      <c r="M279" s="12" t="s">
        <v>3094</v>
      </c>
    </row>
    <row r="280" customFormat="false" ht="15" hidden="false" customHeight="false" outlineLevel="0" collapsed="false">
      <c r="A280" s="12" t="s">
        <v>2306</v>
      </c>
      <c r="B280" s="12" t="s">
        <v>3095</v>
      </c>
      <c r="C280" s="12" t="s">
        <v>3095</v>
      </c>
      <c r="D280" s="12" t="s">
        <v>101</v>
      </c>
      <c r="E280" s="12" t="n">
        <v>2</v>
      </c>
      <c r="F280" s="12" t="s">
        <v>2314</v>
      </c>
      <c r="G280" s="12" t="s">
        <v>2310</v>
      </c>
      <c r="H280" s="17"/>
      <c r="I280" s="17"/>
      <c r="J280" s="13" t="n">
        <v>164258</v>
      </c>
      <c r="K280" s="12" t="n">
        <v>7.1</v>
      </c>
      <c r="L280" s="12" t="s">
        <v>169</v>
      </c>
      <c r="M280" s="12" t="s">
        <v>3096</v>
      </c>
    </row>
    <row r="281" customFormat="false" ht="15" hidden="false" customHeight="false" outlineLevel="0" collapsed="false">
      <c r="A281" s="12" t="s">
        <v>2306</v>
      </c>
      <c r="B281" s="12" t="s">
        <v>3097</v>
      </c>
      <c r="C281" s="12" t="s">
        <v>3098</v>
      </c>
      <c r="D281" s="12" t="s">
        <v>214</v>
      </c>
      <c r="E281" s="12" t="n">
        <v>2</v>
      </c>
      <c r="F281" s="12" t="s">
        <v>2387</v>
      </c>
      <c r="G281" s="12" t="s">
        <v>2310</v>
      </c>
      <c r="H281" s="13" t="n">
        <v>2239658</v>
      </c>
      <c r="I281" s="17"/>
      <c r="J281" s="13" t="n">
        <v>185192</v>
      </c>
      <c r="K281" s="12" t="n">
        <v>6</v>
      </c>
      <c r="L281" s="12" t="s">
        <v>92</v>
      </c>
      <c r="M281" s="12" t="s">
        <v>3099</v>
      </c>
    </row>
    <row r="282" customFormat="false" ht="15" hidden="false" customHeight="false" outlineLevel="0" collapsed="false">
      <c r="A282" s="12" t="s">
        <v>2306</v>
      </c>
      <c r="B282" s="12" t="s">
        <v>3100</v>
      </c>
      <c r="C282" s="12" t="s">
        <v>3101</v>
      </c>
      <c r="D282" s="12" t="s">
        <v>505</v>
      </c>
      <c r="E282" s="12" t="n">
        <v>2</v>
      </c>
      <c r="F282" s="12" t="s">
        <v>2314</v>
      </c>
      <c r="G282" s="12" t="s">
        <v>2310</v>
      </c>
      <c r="H282" s="17"/>
      <c r="I282" s="17"/>
      <c r="J282" s="13" t="n">
        <v>164234</v>
      </c>
      <c r="K282" s="12" t="n">
        <v>6.8</v>
      </c>
      <c r="L282" s="12" t="s">
        <v>169</v>
      </c>
      <c r="M282" s="12" t="s">
        <v>3102</v>
      </c>
    </row>
    <row r="283" customFormat="false" ht="15" hidden="false" customHeight="false" outlineLevel="0" collapsed="false">
      <c r="A283" s="12" t="s">
        <v>2306</v>
      </c>
      <c r="B283" s="12" t="s">
        <v>3103</v>
      </c>
      <c r="C283" s="12" t="s">
        <v>3104</v>
      </c>
      <c r="D283" s="12" t="s">
        <v>251</v>
      </c>
      <c r="E283" s="12" t="n">
        <v>2</v>
      </c>
      <c r="F283" s="12" t="s">
        <v>3105</v>
      </c>
      <c r="G283" s="12" t="s">
        <v>2310</v>
      </c>
      <c r="H283" s="17"/>
      <c r="I283" s="17"/>
      <c r="J283" s="13" t="n">
        <v>162318</v>
      </c>
      <c r="K283" s="12" t="n">
        <v>6.2</v>
      </c>
      <c r="L283" s="12" t="s">
        <v>292</v>
      </c>
      <c r="M283" s="12" t="s">
        <v>3106</v>
      </c>
    </row>
    <row r="284" customFormat="false" ht="15" hidden="false" customHeight="false" outlineLevel="0" collapsed="false">
      <c r="A284" s="12" t="s">
        <v>2306</v>
      </c>
      <c r="B284" s="12" t="s">
        <v>3107</v>
      </c>
      <c r="C284" s="12" t="s">
        <v>3108</v>
      </c>
      <c r="D284" s="12" t="s">
        <v>1103</v>
      </c>
      <c r="E284" s="12" t="n">
        <v>2</v>
      </c>
      <c r="F284" s="12" t="s">
        <v>2314</v>
      </c>
      <c r="G284" s="12" t="s">
        <v>2310</v>
      </c>
      <c r="H284" s="17"/>
      <c r="I284" s="17"/>
      <c r="J284" s="13" t="n">
        <v>160985</v>
      </c>
      <c r="K284" s="12" t="n">
        <v>6.4</v>
      </c>
      <c r="L284" s="12" t="s">
        <v>169</v>
      </c>
      <c r="M284" s="12" t="s">
        <v>3109</v>
      </c>
    </row>
    <row r="285" customFormat="false" ht="15" hidden="false" customHeight="false" outlineLevel="0" collapsed="false">
      <c r="A285" s="12" t="s">
        <v>2306</v>
      </c>
      <c r="B285" s="12" t="s">
        <v>3110</v>
      </c>
      <c r="C285" s="12" t="s">
        <v>3111</v>
      </c>
      <c r="D285" s="12" t="s">
        <v>358</v>
      </c>
      <c r="E285" s="12" t="n">
        <v>2</v>
      </c>
      <c r="F285" s="12" t="s">
        <v>2387</v>
      </c>
      <c r="G285" s="12" t="s">
        <v>2310</v>
      </c>
      <c r="H285" s="13" t="n">
        <v>2005439</v>
      </c>
      <c r="I285" s="17"/>
      <c r="J285" s="13" t="n">
        <v>218566</v>
      </c>
      <c r="K285" s="12" t="n">
        <v>5.9</v>
      </c>
      <c r="L285" s="12" t="s">
        <v>92</v>
      </c>
      <c r="M285" s="12" t="s">
        <v>3112</v>
      </c>
    </row>
    <row r="286" customFormat="false" ht="15" hidden="false" customHeight="false" outlineLevel="0" collapsed="false">
      <c r="A286" s="12" t="s">
        <v>2306</v>
      </c>
      <c r="B286" s="12" t="s">
        <v>3113</v>
      </c>
      <c r="C286" s="12" t="s">
        <v>3114</v>
      </c>
      <c r="D286" s="12" t="s">
        <v>175</v>
      </c>
      <c r="E286" s="12" t="n">
        <v>2</v>
      </c>
      <c r="F286" s="12" t="s">
        <v>2387</v>
      </c>
      <c r="G286" s="12" t="s">
        <v>2310</v>
      </c>
      <c r="H286" s="13" t="n">
        <v>2642280</v>
      </c>
      <c r="I286" s="17"/>
      <c r="J286" s="13" t="n">
        <v>140029</v>
      </c>
      <c r="K286" s="12" t="n">
        <v>7.6</v>
      </c>
      <c r="L286" s="12" t="s">
        <v>92</v>
      </c>
      <c r="M286" s="12" t="s">
        <v>3115</v>
      </c>
    </row>
    <row r="287" customFormat="false" ht="15" hidden="false" customHeight="false" outlineLevel="0" collapsed="false">
      <c r="A287" s="12" t="s">
        <v>2306</v>
      </c>
      <c r="B287" s="12" t="s">
        <v>3116</v>
      </c>
      <c r="C287" s="12" t="s">
        <v>3117</v>
      </c>
      <c r="D287" s="12" t="s">
        <v>140</v>
      </c>
      <c r="E287" s="12" t="n">
        <v>2</v>
      </c>
      <c r="F287" s="12" t="s">
        <v>2387</v>
      </c>
      <c r="G287" s="12" t="s">
        <v>2310</v>
      </c>
      <c r="H287" s="13" t="n">
        <v>4581140</v>
      </c>
      <c r="I287" s="17"/>
      <c r="J287" s="13" t="n">
        <v>45869</v>
      </c>
      <c r="K287" s="12" t="n">
        <v>4.5</v>
      </c>
      <c r="L287" s="12" t="s">
        <v>92</v>
      </c>
      <c r="M287" s="12" t="s">
        <v>3118</v>
      </c>
    </row>
    <row r="288" customFormat="false" ht="15" hidden="false" customHeight="false" outlineLevel="0" collapsed="false">
      <c r="A288" s="12" t="s">
        <v>2306</v>
      </c>
      <c r="B288" s="12" t="s">
        <v>3119</v>
      </c>
      <c r="C288" s="12" t="s">
        <v>3120</v>
      </c>
      <c r="D288" s="12" t="s">
        <v>265</v>
      </c>
      <c r="E288" s="12" t="n">
        <v>2</v>
      </c>
      <c r="F288" s="12" t="s">
        <v>2309</v>
      </c>
      <c r="G288" s="12" t="s">
        <v>2310</v>
      </c>
      <c r="H288" s="17"/>
      <c r="I288" s="17"/>
      <c r="J288" s="13" t="n">
        <v>159212</v>
      </c>
      <c r="K288" s="12" t="n">
        <v>6.7</v>
      </c>
      <c r="L288" s="12" t="s">
        <v>128</v>
      </c>
      <c r="M288" s="12" t="s">
        <v>3121</v>
      </c>
    </row>
    <row r="289" customFormat="false" ht="15" hidden="false" customHeight="false" outlineLevel="0" collapsed="false">
      <c r="A289" s="12" t="s">
        <v>2306</v>
      </c>
      <c r="B289" s="12" t="s">
        <v>3122</v>
      </c>
      <c r="C289" s="12" t="s">
        <v>3123</v>
      </c>
      <c r="D289" s="12" t="s">
        <v>1103</v>
      </c>
      <c r="E289" s="12" t="n">
        <v>2</v>
      </c>
      <c r="F289" s="12" t="s">
        <v>2314</v>
      </c>
      <c r="G289" s="12" t="s">
        <v>2310</v>
      </c>
      <c r="H289" s="17"/>
      <c r="I289" s="17"/>
      <c r="J289" s="13" t="n">
        <v>159151</v>
      </c>
      <c r="K289" s="12" t="n">
        <v>6.6</v>
      </c>
      <c r="L289" s="12" t="s">
        <v>169</v>
      </c>
      <c r="M289" s="12" t="s">
        <v>3124</v>
      </c>
    </row>
    <row r="290" customFormat="false" ht="15" hidden="false" customHeight="false" outlineLevel="0" collapsed="false">
      <c r="A290" s="12" t="s">
        <v>2306</v>
      </c>
      <c r="B290" s="12" t="s">
        <v>3125</v>
      </c>
      <c r="C290" s="12" t="s">
        <v>3126</v>
      </c>
      <c r="D290" s="12" t="s">
        <v>189</v>
      </c>
      <c r="E290" s="12" t="n">
        <v>2</v>
      </c>
      <c r="F290" s="12" t="s">
        <v>2314</v>
      </c>
      <c r="G290" s="12" t="s">
        <v>2310</v>
      </c>
      <c r="H290" s="17"/>
      <c r="I290" s="17"/>
      <c r="J290" s="13" t="n">
        <v>156694</v>
      </c>
      <c r="K290" s="12" t="n">
        <v>7.8</v>
      </c>
      <c r="L290" s="12" t="s">
        <v>169</v>
      </c>
      <c r="M290" s="12" t="s">
        <v>3127</v>
      </c>
    </row>
    <row r="291" customFormat="false" ht="15" hidden="false" customHeight="false" outlineLevel="0" collapsed="false">
      <c r="A291" s="12" t="s">
        <v>2306</v>
      </c>
      <c r="B291" s="12" t="s">
        <v>3128</v>
      </c>
      <c r="C291" s="12" t="s">
        <v>3129</v>
      </c>
      <c r="D291" s="12" t="s">
        <v>175</v>
      </c>
      <c r="E291" s="12" t="n">
        <v>2</v>
      </c>
      <c r="F291" s="12" t="s">
        <v>2314</v>
      </c>
      <c r="G291" s="12" t="s">
        <v>2310</v>
      </c>
      <c r="H291" s="17"/>
      <c r="I291" s="17"/>
      <c r="J291" s="13" t="n">
        <v>156484</v>
      </c>
      <c r="K291" s="12" t="n">
        <v>6.4</v>
      </c>
      <c r="L291" s="12" t="s">
        <v>169</v>
      </c>
      <c r="M291" s="12" t="s">
        <v>3130</v>
      </c>
    </row>
    <row r="292" customFormat="false" ht="15" hidden="false" customHeight="false" outlineLevel="0" collapsed="false">
      <c r="A292" s="12" t="s">
        <v>2306</v>
      </c>
      <c r="B292" s="12" t="s">
        <v>3131</v>
      </c>
      <c r="C292" s="12" t="s">
        <v>3132</v>
      </c>
      <c r="D292" s="12" t="s">
        <v>183</v>
      </c>
      <c r="E292" s="12" t="n">
        <v>2</v>
      </c>
      <c r="F292" s="12" t="s">
        <v>2314</v>
      </c>
      <c r="G292" s="12" t="s">
        <v>2310</v>
      </c>
      <c r="H292" s="17"/>
      <c r="I292" s="17"/>
      <c r="J292" s="13" t="n">
        <v>156150</v>
      </c>
      <c r="K292" s="12" t="n">
        <v>6.9</v>
      </c>
      <c r="L292" s="12" t="s">
        <v>169</v>
      </c>
      <c r="M292" s="12" t="s">
        <v>3133</v>
      </c>
    </row>
    <row r="293" customFormat="false" ht="15" hidden="false" customHeight="false" outlineLevel="0" collapsed="false">
      <c r="A293" s="12" t="s">
        <v>2306</v>
      </c>
      <c r="B293" s="12" t="s">
        <v>3134</v>
      </c>
      <c r="C293" s="12" t="s">
        <v>3135</v>
      </c>
      <c r="D293" s="12" t="s">
        <v>189</v>
      </c>
      <c r="E293" s="12" t="n">
        <v>2</v>
      </c>
      <c r="F293" s="12" t="s">
        <v>2314</v>
      </c>
      <c r="G293" s="12" t="s">
        <v>2310</v>
      </c>
      <c r="H293" s="17"/>
      <c r="I293" s="17"/>
      <c r="J293" s="13" t="n">
        <v>155842</v>
      </c>
      <c r="K293" s="12" t="n">
        <v>6.3</v>
      </c>
      <c r="L293" s="12" t="s">
        <v>169</v>
      </c>
      <c r="M293" s="12" t="s">
        <v>3136</v>
      </c>
    </row>
    <row r="294" customFormat="false" ht="15" hidden="false" customHeight="false" outlineLevel="0" collapsed="false">
      <c r="A294" s="12" t="s">
        <v>2306</v>
      </c>
      <c r="B294" s="12" t="s">
        <v>3137</v>
      </c>
      <c r="C294" s="12" t="s">
        <v>3138</v>
      </c>
      <c r="D294" s="12" t="s">
        <v>251</v>
      </c>
      <c r="E294" s="12" t="n">
        <v>2</v>
      </c>
      <c r="F294" s="12" t="s">
        <v>2314</v>
      </c>
      <c r="G294" s="12" t="s">
        <v>2310</v>
      </c>
      <c r="H294" s="17"/>
      <c r="I294" s="17"/>
      <c r="J294" s="13" t="n">
        <v>155611</v>
      </c>
      <c r="K294" s="12" t="n">
        <v>6.7</v>
      </c>
      <c r="L294" s="12" t="s">
        <v>169</v>
      </c>
      <c r="M294" s="12" t="s">
        <v>3139</v>
      </c>
    </row>
    <row r="295" customFormat="false" ht="15" hidden="false" customHeight="false" outlineLevel="0" collapsed="false">
      <c r="A295" s="12" t="s">
        <v>2306</v>
      </c>
      <c r="B295" s="12" t="s">
        <v>3140</v>
      </c>
      <c r="C295" s="12" t="s">
        <v>3141</v>
      </c>
      <c r="D295" s="12" t="s">
        <v>175</v>
      </c>
      <c r="E295" s="12" t="n">
        <v>2</v>
      </c>
      <c r="F295" s="12" t="s">
        <v>2314</v>
      </c>
      <c r="G295" s="12" t="s">
        <v>2310</v>
      </c>
      <c r="H295" s="17"/>
      <c r="I295" s="17"/>
      <c r="J295" s="13" t="n">
        <v>153429</v>
      </c>
      <c r="K295" s="12" t="n">
        <v>7</v>
      </c>
      <c r="L295" s="12" t="s">
        <v>169</v>
      </c>
      <c r="M295" s="12" t="s">
        <v>3142</v>
      </c>
    </row>
    <row r="296" customFormat="false" ht="15" hidden="false" customHeight="false" outlineLevel="0" collapsed="false">
      <c r="A296" s="12" t="s">
        <v>2306</v>
      </c>
      <c r="B296" s="12" t="s">
        <v>3143</v>
      </c>
      <c r="C296" s="12" t="s">
        <v>3144</v>
      </c>
      <c r="D296" s="12" t="s">
        <v>505</v>
      </c>
      <c r="E296" s="12" t="n">
        <v>2</v>
      </c>
      <c r="F296" s="12" t="s">
        <v>2314</v>
      </c>
      <c r="G296" s="12" t="s">
        <v>2310</v>
      </c>
      <c r="H296" s="17"/>
      <c r="I296" s="17"/>
      <c r="J296" s="13" t="n">
        <v>152811</v>
      </c>
      <c r="K296" s="12" t="n">
        <v>6.6</v>
      </c>
      <c r="L296" s="12" t="s">
        <v>169</v>
      </c>
      <c r="M296" s="12" t="s">
        <v>3145</v>
      </c>
    </row>
    <row r="297" customFormat="false" ht="15" hidden="false" customHeight="false" outlineLevel="0" collapsed="false">
      <c r="A297" s="12" t="s">
        <v>2306</v>
      </c>
      <c r="B297" s="12" t="s">
        <v>3146</v>
      </c>
      <c r="D297" s="12" t="s">
        <v>189</v>
      </c>
      <c r="E297" s="12" t="n">
        <v>2</v>
      </c>
      <c r="F297" s="12" t="s">
        <v>2387</v>
      </c>
      <c r="G297" s="12" t="s">
        <v>2310</v>
      </c>
      <c r="H297" s="13" t="n">
        <v>11305479</v>
      </c>
      <c r="I297" s="17"/>
      <c r="J297" s="13" t="n">
        <v>1279</v>
      </c>
      <c r="K297" s="12" t="n">
        <v>3.2</v>
      </c>
      <c r="L297" s="12" t="s">
        <v>92</v>
      </c>
      <c r="M297" s="12" t="s">
        <v>3147</v>
      </c>
    </row>
    <row r="298" customFormat="false" ht="15" hidden="false" customHeight="false" outlineLevel="0" collapsed="false">
      <c r="A298" s="12" t="s">
        <v>2306</v>
      </c>
      <c r="B298" s="12" t="s">
        <v>3148</v>
      </c>
      <c r="C298" s="12" t="s">
        <v>3149</v>
      </c>
      <c r="D298" s="12" t="s">
        <v>500</v>
      </c>
      <c r="E298" s="12" t="n">
        <v>2</v>
      </c>
      <c r="F298" s="12" t="s">
        <v>2387</v>
      </c>
      <c r="G298" s="12" t="s">
        <v>2310</v>
      </c>
      <c r="H298" s="13" t="n">
        <v>1088925</v>
      </c>
      <c r="I298" s="17"/>
      <c r="J298" s="13" t="n">
        <v>371915</v>
      </c>
      <c r="K298" s="12" t="n">
        <v>7</v>
      </c>
      <c r="L298" s="12" t="s">
        <v>92</v>
      </c>
      <c r="M298" s="12" t="s">
        <v>3150</v>
      </c>
    </row>
    <row r="299" customFormat="false" ht="15" hidden="false" customHeight="false" outlineLevel="0" collapsed="false">
      <c r="A299" s="12" t="s">
        <v>2306</v>
      </c>
      <c r="B299" s="12" t="s">
        <v>3151</v>
      </c>
      <c r="C299" s="12" t="s">
        <v>3152</v>
      </c>
      <c r="D299" s="12" t="s">
        <v>146</v>
      </c>
      <c r="E299" s="12" t="n">
        <v>2</v>
      </c>
      <c r="F299" s="12" t="s">
        <v>2387</v>
      </c>
      <c r="G299" s="12" t="s">
        <v>2310</v>
      </c>
      <c r="H299" s="13" t="n">
        <v>1016983</v>
      </c>
      <c r="I299" s="17"/>
      <c r="J299" s="13" t="n">
        <v>391531</v>
      </c>
      <c r="K299" s="12" t="n">
        <v>6.9</v>
      </c>
      <c r="L299" s="12" t="s">
        <v>92</v>
      </c>
      <c r="M299" s="12" t="s">
        <v>3153</v>
      </c>
    </row>
    <row r="300" customFormat="false" ht="15" hidden="false" customHeight="false" outlineLevel="0" collapsed="false">
      <c r="A300" s="12" t="s">
        <v>2306</v>
      </c>
      <c r="B300" s="12" t="s">
        <v>3154</v>
      </c>
      <c r="C300" s="12" t="s">
        <v>3155</v>
      </c>
      <c r="D300" s="12" t="s">
        <v>251</v>
      </c>
      <c r="E300" s="12" t="n">
        <v>2</v>
      </c>
      <c r="F300" s="12" t="s">
        <v>2387</v>
      </c>
      <c r="G300" s="12" t="s">
        <v>2310</v>
      </c>
      <c r="H300" s="13" t="n">
        <v>2139234</v>
      </c>
      <c r="I300" s="17"/>
      <c r="J300" s="13" t="n">
        <v>181273</v>
      </c>
      <c r="K300" s="12" t="n">
        <v>6.1</v>
      </c>
      <c r="L300" s="12" t="s">
        <v>92</v>
      </c>
      <c r="M300" s="12" t="s">
        <v>3156</v>
      </c>
    </row>
    <row r="301" customFormat="false" ht="15" hidden="false" customHeight="false" outlineLevel="0" collapsed="false">
      <c r="A301" s="12" t="s">
        <v>2306</v>
      </c>
      <c r="B301" s="12" t="s">
        <v>3157</v>
      </c>
      <c r="C301" s="12" t="s">
        <v>3158</v>
      </c>
      <c r="D301" s="12" t="s">
        <v>111</v>
      </c>
      <c r="E301" s="12" t="n">
        <v>2</v>
      </c>
      <c r="F301" s="12" t="s">
        <v>2387</v>
      </c>
      <c r="G301" s="12" t="s">
        <v>2310</v>
      </c>
      <c r="H301" s="13" t="n">
        <v>3450295</v>
      </c>
      <c r="I301" s="17"/>
      <c r="J301" s="13" t="n">
        <v>72452</v>
      </c>
      <c r="K301" s="12" t="n">
        <v>6.7</v>
      </c>
      <c r="L301" s="12" t="s">
        <v>92</v>
      </c>
      <c r="M301" s="12" t="s">
        <v>3159</v>
      </c>
    </row>
    <row r="302" customFormat="false" ht="15" hidden="false" customHeight="false" outlineLevel="0" collapsed="false">
      <c r="A302" s="12" t="s">
        <v>2306</v>
      </c>
      <c r="B302" s="12" t="s">
        <v>3160</v>
      </c>
      <c r="D302" s="12" t="s">
        <v>321</v>
      </c>
      <c r="E302" s="12" t="n">
        <v>1</v>
      </c>
      <c r="F302" s="12" t="s">
        <v>2404</v>
      </c>
      <c r="G302" s="12" t="s">
        <v>2405</v>
      </c>
      <c r="H302" s="13" t="n">
        <v>2217174</v>
      </c>
      <c r="I302" s="17"/>
      <c r="J302" s="17"/>
      <c r="L302" s="12" t="s">
        <v>92</v>
      </c>
    </row>
    <row r="303" customFormat="false" ht="15" hidden="false" customHeight="false" outlineLevel="0" collapsed="false">
      <c r="A303" s="12" t="s">
        <v>2306</v>
      </c>
      <c r="B303" s="12" t="s">
        <v>3161</v>
      </c>
      <c r="C303" s="12" t="s">
        <v>3162</v>
      </c>
      <c r="D303" s="12" t="s">
        <v>175</v>
      </c>
      <c r="E303" s="12" t="n">
        <v>2</v>
      </c>
      <c r="F303" s="12" t="s">
        <v>2314</v>
      </c>
      <c r="G303" s="12" t="s">
        <v>2310</v>
      </c>
      <c r="H303" s="17"/>
      <c r="I303" s="17"/>
      <c r="J303" s="13" t="n">
        <v>152013</v>
      </c>
      <c r="K303" s="12" t="n">
        <v>7.3</v>
      </c>
      <c r="L303" s="12" t="s">
        <v>169</v>
      </c>
      <c r="M303" s="12" t="s">
        <v>3163</v>
      </c>
    </row>
    <row r="304" customFormat="false" ht="15" hidden="false" customHeight="false" outlineLevel="0" collapsed="false">
      <c r="A304" s="12" t="s">
        <v>2306</v>
      </c>
      <c r="B304" s="12" t="s">
        <v>3164</v>
      </c>
      <c r="D304" s="12" t="s">
        <v>286</v>
      </c>
      <c r="E304" s="12" t="n">
        <v>2</v>
      </c>
      <c r="F304" s="12" t="s">
        <v>2387</v>
      </c>
      <c r="G304" s="12" t="s">
        <v>2310</v>
      </c>
      <c r="H304" s="13" t="n">
        <v>4693853</v>
      </c>
      <c r="I304" s="17"/>
      <c r="J304" s="13" t="n">
        <v>25366</v>
      </c>
      <c r="K304" s="12" t="n">
        <v>7.6</v>
      </c>
      <c r="L304" s="12" t="s">
        <v>92</v>
      </c>
      <c r="M304" s="12" t="s">
        <v>3165</v>
      </c>
    </row>
    <row r="305" customFormat="false" ht="15" hidden="false" customHeight="false" outlineLevel="0" collapsed="false">
      <c r="A305" s="12" t="s">
        <v>2306</v>
      </c>
      <c r="B305" s="12" t="s">
        <v>3166</v>
      </c>
      <c r="C305" s="12" t="s">
        <v>3167</v>
      </c>
      <c r="D305" s="12" t="s">
        <v>207</v>
      </c>
      <c r="E305" s="12" t="n">
        <v>2</v>
      </c>
      <c r="F305" s="12" t="s">
        <v>2314</v>
      </c>
      <c r="G305" s="12" t="s">
        <v>2310</v>
      </c>
      <c r="H305" s="17"/>
      <c r="I305" s="17"/>
      <c r="J305" s="13" t="n">
        <v>151902</v>
      </c>
      <c r="K305" s="12" t="n">
        <v>7.5</v>
      </c>
      <c r="L305" s="12" t="s">
        <v>169</v>
      </c>
      <c r="M305" s="12" t="s">
        <v>3168</v>
      </c>
    </row>
    <row r="306" customFormat="false" ht="15" hidden="false" customHeight="false" outlineLevel="0" collapsed="false">
      <c r="A306" s="12" t="s">
        <v>2306</v>
      </c>
      <c r="B306" s="12" t="s">
        <v>3169</v>
      </c>
      <c r="C306" s="12" t="s">
        <v>3170</v>
      </c>
      <c r="D306" s="12" t="s">
        <v>396</v>
      </c>
      <c r="E306" s="12" t="n">
        <v>2</v>
      </c>
      <c r="F306" s="12" t="s">
        <v>2387</v>
      </c>
      <c r="G306" s="12" t="s">
        <v>2310</v>
      </c>
      <c r="H306" s="13" t="n">
        <v>1373492</v>
      </c>
      <c r="I306" s="17"/>
      <c r="J306" s="13" t="n">
        <v>289840</v>
      </c>
      <c r="K306" s="12" t="n">
        <v>6.5</v>
      </c>
      <c r="L306" s="12" t="s">
        <v>92</v>
      </c>
      <c r="M306" s="12" t="s">
        <v>3171</v>
      </c>
    </row>
    <row r="307" customFormat="false" ht="15" hidden="false" customHeight="false" outlineLevel="0" collapsed="false">
      <c r="A307" s="12" t="s">
        <v>2306</v>
      </c>
      <c r="B307" s="12" t="s">
        <v>3172</v>
      </c>
      <c r="C307" s="12" t="s">
        <v>3173</v>
      </c>
      <c r="D307" s="12" t="s">
        <v>189</v>
      </c>
      <c r="E307" s="12" t="n">
        <v>2</v>
      </c>
      <c r="F307" s="12" t="s">
        <v>2314</v>
      </c>
      <c r="G307" s="12" t="s">
        <v>2310</v>
      </c>
      <c r="H307" s="17"/>
      <c r="I307" s="17"/>
      <c r="J307" s="13" t="n">
        <v>151206</v>
      </c>
      <c r="K307" s="12" t="n">
        <v>6.3</v>
      </c>
      <c r="L307" s="12" t="s">
        <v>169</v>
      </c>
      <c r="M307" s="12" t="s">
        <v>3174</v>
      </c>
    </row>
    <row r="308" customFormat="false" ht="15" hidden="false" customHeight="false" outlineLevel="0" collapsed="false">
      <c r="A308" s="12" t="s">
        <v>2306</v>
      </c>
      <c r="B308" s="12" t="s">
        <v>3175</v>
      </c>
      <c r="C308" s="12" t="s">
        <v>3176</v>
      </c>
      <c r="D308" s="12" t="s">
        <v>207</v>
      </c>
      <c r="E308" s="12" t="n">
        <v>2</v>
      </c>
      <c r="F308" s="12" t="s">
        <v>2314</v>
      </c>
      <c r="G308" s="12" t="s">
        <v>2310</v>
      </c>
      <c r="H308" s="17"/>
      <c r="I308" s="17"/>
      <c r="J308" s="13" t="n">
        <v>149934</v>
      </c>
      <c r="K308" s="12" t="n">
        <v>7.6</v>
      </c>
      <c r="L308" s="12" t="s">
        <v>169</v>
      </c>
      <c r="M308" s="12" t="s">
        <v>3177</v>
      </c>
    </row>
    <row r="309" customFormat="false" ht="15" hidden="false" customHeight="false" outlineLevel="0" collapsed="false">
      <c r="A309" s="12" t="s">
        <v>2306</v>
      </c>
      <c r="B309" s="12" t="s">
        <v>3178</v>
      </c>
      <c r="C309" s="12" t="s">
        <v>3179</v>
      </c>
      <c r="D309" s="12" t="s">
        <v>183</v>
      </c>
      <c r="E309" s="12" t="n">
        <v>2</v>
      </c>
      <c r="F309" s="12" t="s">
        <v>2387</v>
      </c>
      <c r="G309" s="12" t="s">
        <v>2310</v>
      </c>
      <c r="H309" s="13" t="n">
        <v>2658580</v>
      </c>
      <c r="I309" s="17"/>
      <c r="J309" s="13" t="n">
        <v>117941</v>
      </c>
      <c r="K309" s="12" t="n">
        <v>5.9</v>
      </c>
      <c r="L309" s="12" t="s">
        <v>92</v>
      </c>
      <c r="M309" s="12" t="s">
        <v>3180</v>
      </c>
    </row>
    <row r="310" customFormat="false" ht="15" hidden="false" customHeight="false" outlineLevel="0" collapsed="false">
      <c r="A310" s="12" t="s">
        <v>2306</v>
      </c>
      <c r="B310" s="12" t="s">
        <v>3181</v>
      </c>
      <c r="D310" s="12" t="s">
        <v>134</v>
      </c>
      <c r="E310" s="12" t="n">
        <v>1</v>
      </c>
      <c r="F310" s="12" t="s">
        <v>2404</v>
      </c>
      <c r="G310" s="12" t="s">
        <v>2405</v>
      </c>
      <c r="H310" s="13" t="n">
        <v>2202640</v>
      </c>
      <c r="I310" s="17"/>
      <c r="J310" s="17"/>
      <c r="L310" s="12" t="s">
        <v>92</v>
      </c>
    </row>
    <row r="311" customFormat="false" ht="15" hidden="false" customHeight="false" outlineLevel="0" collapsed="false">
      <c r="A311" s="12" t="s">
        <v>2306</v>
      </c>
      <c r="B311" s="12" t="s">
        <v>3182</v>
      </c>
      <c r="C311" s="12" t="s">
        <v>3183</v>
      </c>
      <c r="D311" s="12" t="s">
        <v>251</v>
      </c>
      <c r="E311" s="12" t="n">
        <v>2</v>
      </c>
      <c r="F311" s="12" t="s">
        <v>2314</v>
      </c>
      <c r="G311" s="12" t="s">
        <v>2310</v>
      </c>
      <c r="H311" s="17"/>
      <c r="I311" s="17"/>
      <c r="J311" s="13" t="n">
        <v>149671</v>
      </c>
      <c r="K311" s="12" t="n">
        <v>6.8</v>
      </c>
      <c r="L311" s="12" t="s">
        <v>169</v>
      </c>
      <c r="M311" s="12" t="s">
        <v>3184</v>
      </c>
    </row>
    <row r="312" customFormat="false" ht="15" hidden="false" customHeight="false" outlineLevel="0" collapsed="false">
      <c r="A312" s="12" t="s">
        <v>2306</v>
      </c>
      <c r="B312" s="12" t="s">
        <v>3185</v>
      </c>
      <c r="C312" s="12" t="s">
        <v>3186</v>
      </c>
      <c r="D312" s="12" t="s">
        <v>175</v>
      </c>
      <c r="E312" s="12" t="n">
        <v>2</v>
      </c>
      <c r="F312" s="12" t="s">
        <v>2688</v>
      </c>
      <c r="G312" s="12" t="s">
        <v>2310</v>
      </c>
      <c r="H312" s="17"/>
      <c r="I312" s="17"/>
      <c r="J312" s="13" t="n">
        <v>148862</v>
      </c>
      <c r="K312" s="12" t="n">
        <v>5.9</v>
      </c>
      <c r="L312" s="12" t="s">
        <v>674</v>
      </c>
      <c r="M312" s="12" t="s">
        <v>3187</v>
      </c>
    </row>
    <row r="313" customFormat="false" ht="15" hidden="false" customHeight="false" outlineLevel="0" collapsed="false">
      <c r="A313" s="12" t="s">
        <v>2306</v>
      </c>
      <c r="B313" s="12" t="s">
        <v>3188</v>
      </c>
      <c r="C313" s="12" t="s">
        <v>3189</v>
      </c>
      <c r="D313" s="12" t="s">
        <v>189</v>
      </c>
      <c r="E313" s="12" t="n">
        <v>2</v>
      </c>
      <c r="F313" s="12" t="s">
        <v>2314</v>
      </c>
      <c r="G313" s="12" t="s">
        <v>2310</v>
      </c>
      <c r="H313" s="17"/>
      <c r="I313" s="17"/>
      <c r="J313" s="13" t="n">
        <v>148811</v>
      </c>
      <c r="K313" s="12" t="n">
        <v>7.7</v>
      </c>
      <c r="L313" s="12" t="s">
        <v>169</v>
      </c>
      <c r="M313" s="12" t="s">
        <v>3190</v>
      </c>
    </row>
    <row r="314" customFormat="false" ht="15" hidden="false" customHeight="false" outlineLevel="0" collapsed="false">
      <c r="A314" s="12" t="s">
        <v>2306</v>
      </c>
      <c r="B314" s="12" t="s">
        <v>3191</v>
      </c>
      <c r="C314" s="12" t="s">
        <v>3192</v>
      </c>
      <c r="D314" s="12" t="s">
        <v>152</v>
      </c>
      <c r="E314" s="12" t="n">
        <v>2</v>
      </c>
      <c r="F314" s="12" t="s">
        <v>2387</v>
      </c>
      <c r="G314" s="12" t="s">
        <v>2310</v>
      </c>
      <c r="H314" s="13" t="n">
        <v>1310055</v>
      </c>
      <c r="I314" s="17"/>
      <c r="J314" s="13" t="n">
        <v>300276</v>
      </c>
      <c r="K314" s="12" t="n">
        <v>6.6</v>
      </c>
      <c r="L314" s="12" t="s">
        <v>92</v>
      </c>
      <c r="M314" s="12" t="s">
        <v>3193</v>
      </c>
    </row>
    <row r="315" customFormat="false" ht="15" hidden="false" customHeight="false" outlineLevel="0" collapsed="false">
      <c r="A315" s="12" t="s">
        <v>2306</v>
      </c>
      <c r="B315" s="12" t="s">
        <v>3194</v>
      </c>
      <c r="C315" s="12" t="s">
        <v>3194</v>
      </c>
      <c r="D315" s="12" t="s">
        <v>175</v>
      </c>
      <c r="E315" s="12" t="n">
        <v>2</v>
      </c>
      <c r="F315" s="12" t="s">
        <v>2314</v>
      </c>
      <c r="G315" s="12" t="s">
        <v>2310</v>
      </c>
      <c r="H315" s="17"/>
      <c r="I315" s="17"/>
      <c r="J315" s="13" t="n">
        <v>147514</v>
      </c>
      <c r="K315" s="12" t="n">
        <v>6.4</v>
      </c>
      <c r="L315" s="12" t="s">
        <v>169</v>
      </c>
      <c r="M315" s="12" t="s">
        <v>3195</v>
      </c>
    </row>
    <row r="316" customFormat="false" ht="15" hidden="false" customHeight="false" outlineLevel="0" collapsed="false">
      <c r="A316" s="12" t="s">
        <v>2306</v>
      </c>
      <c r="B316" s="12" t="s">
        <v>3196</v>
      </c>
      <c r="C316" s="12" t="s">
        <v>3197</v>
      </c>
      <c r="D316" s="12" t="s">
        <v>127</v>
      </c>
      <c r="E316" s="12" t="n">
        <v>2</v>
      </c>
      <c r="F316" s="12" t="s">
        <v>2387</v>
      </c>
      <c r="G316" s="12" t="s">
        <v>2310</v>
      </c>
      <c r="H316" s="13" t="n">
        <v>5319677</v>
      </c>
      <c r="I316" s="17"/>
      <c r="J316" s="13" t="n">
        <v>7275</v>
      </c>
      <c r="K316" s="12" t="n">
        <v>6.9</v>
      </c>
      <c r="L316" s="12" t="s">
        <v>92</v>
      </c>
      <c r="M316" s="12" t="s">
        <v>3198</v>
      </c>
    </row>
    <row r="317" customFormat="false" ht="15" hidden="false" customHeight="false" outlineLevel="0" collapsed="false">
      <c r="A317" s="12" t="s">
        <v>2306</v>
      </c>
      <c r="B317" s="12" t="s">
        <v>3199</v>
      </c>
      <c r="C317" s="12" t="s">
        <v>3200</v>
      </c>
      <c r="D317" s="12" t="s">
        <v>101</v>
      </c>
      <c r="E317" s="12" t="n">
        <v>2</v>
      </c>
      <c r="F317" s="12" t="s">
        <v>2314</v>
      </c>
      <c r="G317" s="12" t="s">
        <v>2310</v>
      </c>
      <c r="H317" s="17"/>
      <c r="I317" s="17"/>
      <c r="J317" s="13" t="n">
        <v>145390</v>
      </c>
      <c r="K317" s="12" t="n">
        <v>7.6</v>
      </c>
      <c r="L317" s="12" t="s">
        <v>169</v>
      </c>
      <c r="M317" s="12" t="s">
        <v>3201</v>
      </c>
    </row>
    <row r="318" customFormat="false" ht="15" hidden="false" customHeight="false" outlineLevel="0" collapsed="false">
      <c r="A318" s="12" t="s">
        <v>2306</v>
      </c>
      <c r="B318" s="12" t="s">
        <v>3202</v>
      </c>
      <c r="C318" s="12" t="s">
        <v>3203</v>
      </c>
      <c r="D318" s="12" t="s">
        <v>134</v>
      </c>
      <c r="E318" s="12" t="n">
        <v>2</v>
      </c>
      <c r="F318" s="12" t="s">
        <v>2387</v>
      </c>
      <c r="G318" s="12" t="s">
        <v>2310</v>
      </c>
      <c r="H318" s="13" t="n">
        <v>6137345</v>
      </c>
      <c r="I318" s="17"/>
      <c r="J318" s="13" t="n">
        <v>3489</v>
      </c>
      <c r="K318" s="12" t="n">
        <v>5.6</v>
      </c>
      <c r="L318" s="12" t="s">
        <v>92</v>
      </c>
      <c r="M318" s="12" t="s">
        <v>3204</v>
      </c>
    </row>
    <row r="319" customFormat="false" ht="15" hidden="false" customHeight="false" outlineLevel="0" collapsed="false">
      <c r="A319" s="12" t="s">
        <v>2306</v>
      </c>
      <c r="B319" s="12" t="s">
        <v>3205</v>
      </c>
      <c r="C319" s="12" t="s">
        <v>3206</v>
      </c>
      <c r="D319" s="12" t="s">
        <v>101</v>
      </c>
      <c r="E319" s="12" t="n">
        <v>2</v>
      </c>
      <c r="F319" s="12" t="s">
        <v>2688</v>
      </c>
      <c r="G319" s="12" t="s">
        <v>2310</v>
      </c>
      <c r="H319" s="17"/>
      <c r="I319" s="17"/>
      <c r="J319" s="13" t="n">
        <v>145284</v>
      </c>
      <c r="K319" s="12" t="n">
        <v>7.1</v>
      </c>
      <c r="L319" s="12" t="s">
        <v>674</v>
      </c>
      <c r="M319" s="12" t="s">
        <v>3207</v>
      </c>
    </row>
    <row r="320" customFormat="false" ht="15" hidden="false" customHeight="false" outlineLevel="0" collapsed="false">
      <c r="A320" s="12" t="s">
        <v>2306</v>
      </c>
      <c r="B320" s="12" t="s">
        <v>3208</v>
      </c>
      <c r="C320" s="12" t="s">
        <v>3209</v>
      </c>
      <c r="D320" s="12" t="s">
        <v>175</v>
      </c>
      <c r="E320" s="12" t="n">
        <v>2</v>
      </c>
      <c r="F320" s="12" t="s">
        <v>2314</v>
      </c>
      <c r="G320" s="12" t="s">
        <v>2310</v>
      </c>
      <c r="H320" s="17"/>
      <c r="I320" s="17"/>
      <c r="J320" s="13" t="n">
        <v>144490</v>
      </c>
      <c r="K320" s="12" t="n">
        <v>6.5</v>
      </c>
      <c r="L320" s="12" t="s">
        <v>169</v>
      </c>
      <c r="M320" s="12" t="s">
        <v>3210</v>
      </c>
    </row>
    <row r="321" customFormat="false" ht="15" hidden="false" customHeight="false" outlineLevel="0" collapsed="false">
      <c r="A321" s="12" t="s">
        <v>2306</v>
      </c>
      <c r="B321" s="12" t="s">
        <v>3211</v>
      </c>
      <c r="C321" s="12" t="s">
        <v>3212</v>
      </c>
      <c r="D321" s="12" t="s">
        <v>175</v>
      </c>
      <c r="E321" s="12" t="n">
        <v>2</v>
      </c>
      <c r="F321" s="12" t="s">
        <v>2314</v>
      </c>
      <c r="G321" s="12" t="s">
        <v>2310</v>
      </c>
      <c r="H321" s="17"/>
      <c r="I321" s="17"/>
      <c r="J321" s="13" t="n">
        <v>144161</v>
      </c>
      <c r="K321" s="12" t="n">
        <v>6.1</v>
      </c>
      <c r="L321" s="12" t="s">
        <v>169</v>
      </c>
      <c r="M321" s="12" t="s">
        <v>3213</v>
      </c>
    </row>
    <row r="322" customFormat="false" ht="15" hidden="false" customHeight="false" outlineLevel="0" collapsed="false">
      <c r="A322" s="12" t="s">
        <v>2306</v>
      </c>
      <c r="B322" s="12" t="s">
        <v>3214</v>
      </c>
      <c r="C322" s="12" t="s">
        <v>3214</v>
      </c>
      <c r="D322" s="12" t="s">
        <v>207</v>
      </c>
      <c r="E322" s="12" t="n">
        <v>2</v>
      </c>
      <c r="F322" s="12" t="s">
        <v>2314</v>
      </c>
      <c r="G322" s="12" t="s">
        <v>2310</v>
      </c>
      <c r="H322" s="17"/>
      <c r="I322" s="17"/>
      <c r="J322" s="13" t="n">
        <v>143598</v>
      </c>
      <c r="K322" s="12" t="n">
        <v>7.3</v>
      </c>
      <c r="L322" s="12" t="s">
        <v>169</v>
      </c>
      <c r="M322" s="12" t="s">
        <v>3215</v>
      </c>
    </row>
    <row r="323" customFormat="false" ht="15" hidden="false" customHeight="false" outlineLevel="0" collapsed="false">
      <c r="A323" s="12" t="s">
        <v>2306</v>
      </c>
      <c r="B323" s="12" t="s">
        <v>3216</v>
      </c>
      <c r="C323" s="12" t="s">
        <v>3217</v>
      </c>
      <c r="D323" s="12" t="s">
        <v>134</v>
      </c>
      <c r="E323" s="12" t="n">
        <v>2</v>
      </c>
      <c r="F323" s="12" t="s">
        <v>2387</v>
      </c>
      <c r="G323" s="12" t="s">
        <v>2310</v>
      </c>
      <c r="H323" s="13" t="n">
        <v>1474299</v>
      </c>
      <c r="I323" s="17"/>
      <c r="J323" s="13" t="n">
        <v>243853</v>
      </c>
      <c r="K323" s="12" t="n">
        <v>6.4</v>
      </c>
      <c r="L323" s="12" t="s">
        <v>92</v>
      </c>
      <c r="M323" s="12" t="s">
        <v>3218</v>
      </c>
    </row>
    <row r="324" customFormat="false" ht="15" hidden="false" customHeight="false" outlineLevel="0" collapsed="false">
      <c r="A324" s="12" t="s">
        <v>2306</v>
      </c>
      <c r="C324" s="12" t="s">
        <v>3219</v>
      </c>
      <c r="D324" s="12" t="s">
        <v>505</v>
      </c>
      <c r="E324" s="12" t="n">
        <v>1</v>
      </c>
      <c r="F324" s="12" t="s">
        <v>3220</v>
      </c>
      <c r="G324" s="12" t="s">
        <v>2405</v>
      </c>
      <c r="H324" s="17"/>
      <c r="I324" s="13" t="n">
        <v>793491854</v>
      </c>
      <c r="J324" s="17"/>
      <c r="L324" s="12" t="s">
        <v>92</v>
      </c>
    </row>
    <row r="325" customFormat="false" ht="15" hidden="false" customHeight="false" outlineLevel="0" collapsed="false">
      <c r="A325" s="12" t="s">
        <v>2306</v>
      </c>
      <c r="B325" s="12" t="s">
        <v>3221</v>
      </c>
      <c r="C325" s="12" t="s">
        <v>3222</v>
      </c>
      <c r="D325" s="12" t="s">
        <v>175</v>
      </c>
      <c r="E325" s="12" t="n">
        <v>2</v>
      </c>
      <c r="F325" s="12" t="s">
        <v>2387</v>
      </c>
      <c r="G325" s="12" t="s">
        <v>2310</v>
      </c>
      <c r="H325" s="13" t="n">
        <v>2934698</v>
      </c>
      <c r="I325" s="17"/>
      <c r="J325" s="13" t="n">
        <v>84894</v>
      </c>
      <c r="K325" s="12" t="n">
        <v>5.6</v>
      </c>
      <c r="L325" s="12" t="s">
        <v>92</v>
      </c>
      <c r="M325" s="12" t="s">
        <v>3223</v>
      </c>
    </row>
    <row r="326" customFormat="false" ht="15" hidden="false" customHeight="false" outlineLevel="0" collapsed="false">
      <c r="A326" s="12" t="s">
        <v>2306</v>
      </c>
      <c r="B326" s="12" t="s">
        <v>3224</v>
      </c>
      <c r="C326" s="12" t="s">
        <v>3225</v>
      </c>
      <c r="D326" s="12" t="s">
        <v>207</v>
      </c>
      <c r="E326" s="12" t="n">
        <v>2</v>
      </c>
      <c r="F326" s="12" t="s">
        <v>2314</v>
      </c>
      <c r="G326" s="12" t="s">
        <v>2310</v>
      </c>
      <c r="H326" s="17"/>
      <c r="I326" s="17"/>
      <c r="J326" s="13" t="n">
        <v>143222</v>
      </c>
      <c r="K326" s="12" t="n">
        <v>7.1</v>
      </c>
      <c r="L326" s="12" t="s">
        <v>169</v>
      </c>
      <c r="M326" s="12" t="s">
        <v>3226</v>
      </c>
    </row>
    <row r="327" customFormat="false" ht="15" hidden="false" customHeight="false" outlineLevel="0" collapsed="false">
      <c r="A327" s="12" t="s">
        <v>2306</v>
      </c>
      <c r="B327" s="12" t="s">
        <v>3227</v>
      </c>
      <c r="C327" s="12" t="s">
        <v>3228</v>
      </c>
      <c r="D327" s="12" t="s">
        <v>202</v>
      </c>
      <c r="E327" s="12" t="n">
        <v>2</v>
      </c>
      <c r="F327" s="12" t="s">
        <v>2387</v>
      </c>
      <c r="G327" s="12" t="s">
        <v>2310</v>
      </c>
      <c r="H327" s="13" t="n">
        <v>2479103</v>
      </c>
      <c r="I327" s="17"/>
      <c r="J327" s="13" t="n">
        <v>127958</v>
      </c>
      <c r="K327" s="12" t="n">
        <v>6.3</v>
      </c>
      <c r="L327" s="12" t="s">
        <v>92</v>
      </c>
      <c r="M327" s="12" t="s">
        <v>3229</v>
      </c>
    </row>
    <row r="328" customFormat="false" ht="15" hidden="false" customHeight="false" outlineLevel="0" collapsed="false">
      <c r="A328" s="12" t="s">
        <v>2306</v>
      </c>
      <c r="B328" s="12" t="s">
        <v>3230</v>
      </c>
      <c r="C328" s="12" t="s">
        <v>3231</v>
      </c>
      <c r="D328" s="12" t="s">
        <v>189</v>
      </c>
      <c r="E328" s="12" t="n">
        <v>2</v>
      </c>
      <c r="F328" s="12" t="s">
        <v>2314</v>
      </c>
      <c r="G328" s="12" t="s">
        <v>2310</v>
      </c>
      <c r="H328" s="17"/>
      <c r="I328" s="17"/>
      <c r="J328" s="13" t="n">
        <v>143062</v>
      </c>
      <c r="K328" s="12" t="n">
        <v>6.9</v>
      </c>
      <c r="L328" s="12" t="s">
        <v>169</v>
      </c>
      <c r="M328" s="12" t="s">
        <v>3232</v>
      </c>
    </row>
    <row r="329" customFormat="false" ht="15" hidden="false" customHeight="false" outlineLevel="0" collapsed="false">
      <c r="A329" s="12" t="s">
        <v>2306</v>
      </c>
      <c r="B329" s="12" t="s">
        <v>3233</v>
      </c>
      <c r="C329" s="12" t="s">
        <v>3234</v>
      </c>
      <c r="D329" s="12" t="s">
        <v>396</v>
      </c>
      <c r="E329" s="12" t="n">
        <v>2</v>
      </c>
      <c r="F329" s="12" t="s">
        <v>2387</v>
      </c>
      <c r="G329" s="12" t="s">
        <v>2310</v>
      </c>
      <c r="H329" s="13" t="n">
        <v>1784874</v>
      </c>
      <c r="I329" s="17"/>
      <c r="J329" s="13" t="n">
        <v>201219</v>
      </c>
      <c r="K329" s="12" t="n">
        <v>5.4</v>
      </c>
      <c r="L329" s="12" t="s">
        <v>92</v>
      </c>
      <c r="M329" s="12" t="s">
        <v>3235</v>
      </c>
    </row>
    <row r="330" customFormat="false" ht="15" hidden="false" customHeight="false" outlineLevel="0" collapsed="false">
      <c r="A330" s="12" t="s">
        <v>2306</v>
      </c>
      <c r="B330" s="12" t="s">
        <v>3236</v>
      </c>
      <c r="C330" s="12" t="s">
        <v>3237</v>
      </c>
      <c r="D330" s="12" t="s">
        <v>134</v>
      </c>
      <c r="E330" s="12" t="n">
        <v>2</v>
      </c>
      <c r="F330" s="12" t="s">
        <v>2309</v>
      </c>
      <c r="G330" s="12" t="s">
        <v>2310</v>
      </c>
      <c r="H330" s="17"/>
      <c r="I330" s="17"/>
      <c r="J330" s="13" t="n">
        <v>142752</v>
      </c>
      <c r="K330" s="12" t="n">
        <v>6.2</v>
      </c>
      <c r="L330" s="12" t="s">
        <v>128</v>
      </c>
      <c r="M330" s="12" t="s">
        <v>3238</v>
      </c>
    </row>
    <row r="331" customFormat="false" ht="15" hidden="false" customHeight="false" outlineLevel="0" collapsed="false">
      <c r="A331" s="12" t="s">
        <v>2306</v>
      </c>
      <c r="B331" s="12" t="s">
        <v>3239</v>
      </c>
      <c r="C331" s="12" t="s">
        <v>3240</v>
      </c>
      <c r="D331" s="12" t="s">
        <v>90</v>
      </c>
      <c r="E331" s="12" t="n">
        <v>2</v>
      </c>
      <c r="F331" s="12" t="s">
        <v>2314</v>
      </c>
      <c r="G331" s="12" t="s">
        <v>2310</v>
      </c>
      <c r="H331" s="17"/>
      <c r="I331" s="17"/>
      <c r="J331" s="13" t="n">
        <v>142272</v>
      </c>
      <c r="K331" s="12" t="n">
        <v>7.1</v>
      </c>
      <c r="L331" s="12" t="s">
        <v>169</v>
      </c>
      <c r="M331" s="12" t="s">
        <v>3241</v>
      </c>
    </row>
    <row r="332" customFormat="false" ht="15" hidden="false" customHeight="false" outlineLevel="0" collapsed="false">
      <c r="A332" s="12" t="s">
        <v>2306</v>
      </c>
      <c r="B332" s="12" t="s">
        <v>3242</v>
      </c>
      <c r="C332" s="12" t="s">
        <v>3243</v>
      </c>
      <c r="D332" s="12" t="s">
        <v>111</v>
      </c>
      <c r="E332" s="12" t="n">
        <v>2</v>
      </c>
      <c r="F332" s="12" t="s">
        <v>2314</v>
      </c>
      <c r="G332" s="12" t="s">
        <v>2310</v>
      </c>
      <c r="H332" s="17"/>
      <c r="I332" s="17"/>
      <c r="J332" s="13" t="n">
        <v>139587</v>
      </c>
      <c r="K332" s="12" t="n">
        <v>5.6</v>
      </c>
      <c r="L332" s="12" t="s">
        <v>169</v>
      </c>
      <c r="M332" s="12" t="s">
        <v>3244</v>
      </c>
    </row>
    <row r="333" customFormat="false" ht="15" hidden="false" customHeight="false" outlineLevel="0" collapsed="false">
      <c r="A333" s="12" t="s">
        <v>2306</v>
      </c>
      <c r="B333" s="12" t="s">
        <v>3245</v>
      </c>
      <c r="C333" s="12" t="s">
        <v>3246</v>
      </c>
      <c r="D333" s="12" t="s">
        <v>358</v>
      </c>
      <c r="E333" s="12" t="n">
        <v>2</v>
      </c>
      <c r="F333" s="12" t="s">
        <v>2387</v>
      </c>
      <c r="G333" s="12" t="s">
        <v>2310</v>
      </c>
      <c r="H333" s="13" t="n">
        <v>1926136</v>
      </c>
      <c r="I333" s="17"/>
      <c r="J333" s="13" t="n">
        <v>179822</v>
      </c>
      <c r="K333" s="12" t="n">
        <v>6.3</v>
      </c>
      <c r="L333" s="12" t="s">
        <v>92</v>
      </c>
      <c r="M333" s="12" t="s">
        <v>3247</v>
      </c>
    </row>
    <row r="334" customFormat="false" ht="15" hidden="false" customHeight="false" outlineLevel="0" collapsed="false">
      <c r="A334" s="12" t="s">
        <v>2306</v>
      </c>
      <c r="B334" s="12" t="s">
        <v>3248</v>
      </c>
      <c r="C334" s="12" t="s">
        <v>3249</v>
      </c>
      <c r="D334" s="12" t="s">
        <v>146</v>
      </c>
      <c r="E334" s="12" t="n">
        <v>2</v>
      </c>
      <c r="F334" s="12" t="s">
        <v>2387</v>
      </c>
      <c r="G334" s="12" t="s">
        <v>2310</v>
      </c>
      <c r="H334" s="13" t="n">
        <v>2421295</v>
      </c>
      <c r="I334" s="17"/>
      <c r="J334" s="13" t="n">
        <v>121562</v>
      </c>
      <c r="K334" s="12" t="n">
        <v>8</v>
      </c>
      <c r="L334" s="12" t="s">
        <v>92</v>
      </c>
      <c r="M334" s="12" t="s">
        <v>3250</v>
      </c>
    </row>
    <row r="335" customFormat="false" ht="15" hidden="false" customHeight="false" outlineLevel="0" collapsed="false">
      <c r="A335" s="12" t="s">
        <v>2306</v>
      </c>
      <c r="B335" s="12" t="s">
        <v>3251</v>
      </c>
      <c r="C335" s="12" t="s">
        <v>3252</v>
      </c>
      <c r="D335" s="12" t="s">
        <v>286</v>
      </c>
      <c r="E335" s="12" t="n">
        <v>2</v>
      </c>
      <c r="F335" s="12" t="s">
        <v>2387</v>
      </c>
      <c r="G335" s="12" t="s">
        <v>2310</v>
      </c>
      <c r="H335" s="13" t="n">
        <v>2224394</v>
      </c>
      <c r="I335" s="17"/>
      <c r="J335" s="13" t="n">
        <v>138955</v>
      </c>
      <c r="K335" s="12" t="n">
        <v>5</v>
      </c>
      <c r="L335" s="12" t="s">
        <v>92</v>
      </c>
      <c r="M335" s="12" t="s">
        <v>3253</v>
      </c>
    </row>
    <row r="336" customFormat="false" ht="15" hidden="false" customHeight="false" outlineLevel="0" collapsed="false">
      <c r="A336" s="12" t="s">
        <v>2306</v>
      </c>
      <c r="B336" s="12" t="s">
        <v>3254</v>
      </c>
      <c r="C336" s="12" t="s">
        <v>3255</v>
      </c>
      <c r="D336" s="12" t="s">
        <v>146</v>
      </c>
      <c r="E336" s="12" t="n">
        <v>2</v>
      </c>
      <c r="F336" s="12" t="s">
        <v>2387</v>
      </c>
      <c r="G336" s="12" t="s">
        <v>2310</v>
      </c>
      <c r="H336" s="13" t="n">
        <v>1684520</v>
      </c>
      <c r="I336" s="17"/>
      <c r="J336" s="13" t="n">
        <v>201349</v>
      </c>
      <c r="K336" s="12" t="n">
        <v>6.1</v>
      </c>
      <c r="L336" s="12" t="s">
        <v>92</v>
      </c>
      <c r="M336" s="12" t="s">
        <v>3256</v>
      </c>
    </row>
    <row r="337" customFormat="false" ht="15" hidden="false" customHeight="false" outlineLevel="0" collapsed="false">
      <c r="A337" s="12" t="s">
        <v>2306</v>
      </c>
      <c r="B337" s="12" t="s">
        <v>3257</v>
      </c>
      <c r="C337" s="12" t="s">
        <v>3258</v>
      </c>
      <c r="D337" s="12" t="s">
        <v>118</v>
      </c>
      <c r="E337" s="12" t="n">
        <v>2</v>
      </c>
      <c r="F337" s="12" t="s">
        <v>2314</v>
      </c>
      <c r="G337" s="12" t="s">
        <v>2310</v>
      </c>
      <c r="H337" s="17"/>
      <c r="I337" s="17"/>
      <c r="J337" s="13" t="n">
        <v>137493</v>
      </c>
      <c r="K337" s="12" t="n">
        <v>7.5</v>
      </c>
      <c r="L337" s="12" t="s">
        <v>169</v>
      </c>
      <c r="M337" s="12" t="s">
        <v>3259</v>
      </c>
    </row>
    <row r="338" customFormat="false" ht="15" hidden="false" customHeight="false" outlineLevel="0" collapsed="false">
      <c r="A338" s="12" t="s">
        <v>2306</v>
      </c>
      <c r="B338" s="12" t="s">
        <v>3260</v>
      </c>
      <c r="C338" s="12" t="s">
        <v>3261</v>
      </c>
      <c r="D338" s="12" t="s">
        <v>207</v>
      </c>
      <c r="E338" s="12" t="n">
        <v>2</v>
      </c>
      <c r="F338" s="12" t="s">
        <v>2314</v>
      </c>
      <c r="G338" s="12" t="s">
        <v>2310</v>
      </c>
      <c r="H338" s="17"/>
      <c r="I338" s="17"/>
      <c r="J338" s="13" t="n">
        <v>136759</v>
      </c>
      <c r="K338" s="12" t="n">
        <v>6.7</v>
      </c>
      <c r="L338" s="12" t="s">
        <v>169</v>
      </c>
      <c r="M338" s="12" t="s">
        <v>3262</v>
      </c>
    </row>
    <row r="339" customFormat="false" ht="15" hidden="false" customHeight="false" outlineLevel="0" collapsed="false">
      <c r="A339" s="12" t="s">
        <v>2306</v>
      </c>
      <c r="B339" s="12" t="s">
        <v>3263</v>
      </c>
      <c r="C339" s="12" t="s">
        <v>3264</v>
      </c>
      <c r="D339" s="12" t="s">
        <v>189</v>
      </c>
      <c r="E339" s="12" t="n">
        <v>2</v>
      </c>
      <c r="F339" s="12" t="s">
        <v>2309</v>
      </c>
      <c r="G339" s="12" t="s">
        <v>2310</v>
      </c>
      <c r="H339" s="17"/>
      <c r="I339" s="17"/>
      <c r="J339" s="13" t="n">
        <v>136528</v>
      </c>
      <c r="K339" s="12" t="n">
        <v>7.2</v>
      </c>
      <c r="L339" s="12" t="s">
        <v>128</v>
      </c>
      <c r="M339" s="12" t="s">
        <v>3265</v>
      </c>
    </row>
    <row r="340" customFormat="false" ht="15" hidden="false" customHeight="false" outlineLevel="0" collapsed="false">
      <c r="A340" s="12" t="s">
        <v>2306</v>
      </c>
      <c r="B340" s="12" t="s">
        <v>3266</v>
      </c>
      <c r="C340" s="12" t="s">
        <v>3267</v>
      </c>
      <c r="D340" s="12" t="s">
        <v>505</v>
      </c>
      <c r="E340" s="12" t="n">
        <v>2</v>
      </c>
      <c r="F340" s="12" t="s">
        <v>2314</v>
      </c>
      <c r="G340" s="12" t="s">
        <v>2310</v>
      </c>
      <c r="H340" s="17"/>
      <c r="I340" s="17"/>
      <c r="J340" s="13" t="n">
        <v>136363</v>
      </c>
      <c r="K340" s="12" t="n">
        <v>6.3</v>
      </c>
      <c r="L340" s="12" t="s">
        <v>169</v>
      </c>
      <c r="M340" s="12" t="s">
        <v>3268</v>
      </c>
    </row>
    <row r="341" customFormat="false" ht="15" hidden="false" customHeight="false" outlineLevel="0" collapsed="false">
      <c r="A341" s="12" t="s">
        <v>2306</v>
      </c>
      <c r="B341" s="12" t="s">
        <v>3269</v>
      </c>
      <c r="C341" s="12" t="s">
        <v>3270</v>
      </c>
      <c r="D341" s="12" t="s">
        <v>111</v>
      </c>
      <c r="E341" s="12" t="n">
        <v>2</v>
      </c>
      <c r="F341" s="12" t="s">
        <v>2314</v>
      </c>
      <c r="G341" s="12" t="s">
        <v>2310</v>
      </c>
      <c r="H341" s="17"/>
      <c r="I341" s="17"/>
      <c r="J341" s="13" t="n">
        <v>136349</v>
      </c>
      <c r="K341" s="12" t="n">
        <v>7.5</v>
      </c>
      <c r="L341" s="12" t="s">
        <v>169</v>
      </c>
      <c r="M341" s="12" t="s">
        <v>3271</v>
      </c>
    </row>
    <row r="342" customFormat="false" ht="15" hidden="false" customHeight="false" outlineLevel="0" collapsed="false">
      <c r="A342" s="12" t="s">
        <v>2306</v>
      </c>
      <c r="B342" s="12" t="s">
        <v>3272</v>
      </c>
      <c r="C342" s="12" t="s">
        <v>3273</v>
      </c>
      <c r="D342" s="12" t="s">
        <v>202</v>
      </c>
      <c r="E342" s="12" t="n">
        <v>2</v>
      </c>
      <c r="F342" s="12" t="s">
        <v>2387</v>
      </c>
      <c r="G342" s="12" t="s">
        <v>2310</v>
      </c>
      <c r="H342" s="13" t="n">
        <v>4603398</v>
      </c>
      <c r="I342" s="17"/>
      <c r="J342" s="13" t="n">
        <v>7174</v>
      </c>
      <c r="K342" s="12" t="n">
        <v>6.9</v>
      </c>
      <c r="L342" s="12" t="s">
        <v>92</v>
      </c>
      <c r="M342" s="12" t="s">
        <v>3274</v>
      </c>
    </row>
    <row r="343" customFormat="false" ht="15" hidden="false" customHeight="false" outlineLevel="0" collapsed="false">
      <c r="A343" s="12" t="s">
        <v>2306</v>
      </c>
      <c r="B343" s="12" t="s">
        <v>3275</v>
      </c>
      <c r="C343" s="12" t="s">
        <v>3276</v>
      </c>
      <c r="D343" s="12" t="s">
        <v>251</v>
      </c>
      <c r="E343" s="12" t="n">
        <v>2</v>
      </c>
      <c r="F343" s="12" t="s">
        <v>2314</v>
      </c>
      <c r="G343" s="12" t="s">
        <v>2310</v>
      </c>
      <c r="H343" s="17"/>
      <c r="I343" s="17"/>
      <c r="J343" s="13" t="n">
        <v>135064</v>
      </c>
      <c r="K343" s="12" t="n">
        <v>6.5</v>
      </c>
      <c r="L343" s="12" t="s">
        <v>169</v>
      </c>
      <c r="M343" s="12" t="s">
        <v>3277</v>
      </c>
    </row>
    <row r="344" customFormat="false" ht="15" hidden="false" customHeight="false" outlineLevel="0" collapsed="false">
      <c r="A344" s="12" t="s">
        <v>2306</v>
      </c>
      <c r="B344" s="12" t="s">
        <v>3278</v>
      </c>
      <c r="C344" s="12" t="s">
        <v>3279</v>
      </c>
      <c r="D344" s="12" t="s">
        <v>101</v>
      </c>
      <c r="E344" s="12" t="n">
        <v>2</v>
      </c>
      <c r="F344" s="12" t="s">
        <v>2314</v>
      </c>
      <c r="G344" s="12" t="s">
        <v>2310</v>
      </c>
      <c r="H344" s="17"/>
      <c r="I344" s="17"/>
      <c r="J344" s="13" t="n">
        <v>134679</v>
      </c>
      <c r="K344" s="12" t="n">
        <v>6.5</v>
      </c>
      <c r="L344" s="12" t="s">
        <v>169</v>
      </c>
      <c r="M344" s="12" t="s">
        <v>3280</v>
      </c>
    </row>
    <row r="345" customFormat="false" ht="15" hidden="false" customHeight="false" outlineLevel="0" collapsed="false">
      <c r="A345" s="12" t="s">
        <v>2306</v>
      </c>
      <c r="B345" s="12" t="s">
        <v>3281</v>
      </c>
      <c r="C345" s="12" t="s">
        <v>3282</v>
      </c>
      <c r="D345" s="12" t="s">
        <v>146</v>
      </c>
      <c r="E345" s="12" t="n">
        <v>2</v>
      </c>
      <c r="F345" s="12" t="s">
        <v>2387</v>
      </c>
      <c r="G345" s="12" t="s">
        <v>2310</v>
      </c>
      <c r="H345" s="13" t="n">
        <v>1555244</v>
      </c>
      <c r="I345" s="17"/>
      <c r="J345" s="13" t="n">
        <v>205026</v>
      </c>
      <c r="K345" s="12" t="n">
        <v>6.1</v>
      </c>
      <c r="L345" s="12" t="s">
        <v>92</v>
      </c>
      <c r="M345" s="12" t="s">
        <v>3283</v>
      </c>
    </row>
    <row r="346" customFormat="false" ht="15" hidden="false" customHeight="false" outlineLevel="0" collapsed="false">
      <c r="A346" s="12" t="s">
        <v>2306</v>
      </c>
      <c r="B346" s="12" t="s">
        <v>3284</v>
      </c>
      <c r="C346" s="12" t="s">
        <v>3284</v>
      </c>
      <c r="D346" s="12" t="s">
        <v>118</v>
      </c>
      <c r="E346" s="12" t="n">
        <v>2</v>
      </c>
      <c r="F346" s="12" t="s">
        <v>2314</v>
      </c>
      <c r="G346" s="12" t="s">
        <v>2310</v>
      </c>
      <c r="H346" s="17"/>
      <c r="I346" s="17"/>
      <c r="J346" s="13" t="n">
        <v>134135</v>
      </c>
      <c r="K346" s="12" t="n">
        <v>7.6</v>
      </c>
      <c r="L346" s="12" t="s">
        <v>169</v>
      </c>
      <c r="M346" s="12" t="s">
        <v>3285</v>
      </c>
    </row>
    <row r="347" customFormat="false" ht="15" hidden="false" customHeight="false" outlineLevel="0" collapsed="false">
      <c r="A347" s="12" t="s">
        <v>2306</v>
      </c>
      <c r="B347" s="12" t="s">
        <v>3286</v>
      </c>
      <c r="C347" s="12" t="s">
        <v>3287</v>
      </c>
      <c r="D347" s="12" t="s">
        <v>101</v>
      </c>
      <c r="E347" s="12" t="n">
        <v>2</v>
      </c>
      <c r="F347" s="12" t="s">
        <v>2314</v>
      </c>
      <c r="G347" s="12" t="s">
        <v>2310</v>
      </c>
      <c r="H347" s="17"/>
      <c r="I347" s="17"/>
      <c r="J347" s="13" t="n">
        <v>133276</v>
      </c>
      <c r="K347" s="12" t="n">
        <v>7.7</v>
      </c>
      <c r="L347" s="12" t="s">
        <v>169</v>
      </c>
      <c r="M347" s="12" t="s">
        <v>3288</v>
      </c>
    </row>
    <row r="348" customFormat="false" ht="15" hidden="false" customHeight="false" outlineLevel="0" collapsed="false">
      <c r="A348" s="12" t="s">
        <v>2306</v>
      </c>
      <c r="B348" s="12" t="s">
        <v>3289</v>
      </c>
      <c r="C348" s="12" t="s">
        <v>3290</v>
      </c>
      <c r="D348" s="12" t="s">
        <v>90</v>
      </c>
      <c r="E348" s="12" t="n">
        <v>2</v>
      </c>
      <c r="F348" s="12" t="s">
        <v>2314</v>
      </c>
      <c r="G348" s="12" t="s">
        <v>2310</v>
      </c>
      <c r="H348" s="17"/>
      <c r="I348" s="17"/>
      <c r="J348" s="13" t="n">
        <v>130753</v>
      </c>
      <c r="K348" s="12" t="n">
        <v>8</v>
      </c>
      <c r="L348" s="12" t="s">
        <v>169</v>
      </c>
      <c r="M348" s="12" t="s">
        <v>3291</v>
      </c>
    </row>
    <row r="349" customFormat="false" ht="15" hidden="false" customHeight="false" outlineLevel="0" collapsed="false">
      <c r="A349" s="12" t="s">
        <v>2306</v>
      </c>
      <c r="B349" s="12" t="s">
        <v>3292</v>
      </c>
      <c r="C349" s="12" t="s">
        <v>3293</v>
      </c>
      <c r="D349" s="12" t="s">
        <v>273</v>
      </c>
      <c r="E349" s="12" t="n">
        <v>2</v>
      </c>
      <c r="F349" s="12" t="s">
        <v>2387</v>
      </c>
      <c r="G349" s="12" t="s">
        <v>2310</v>
      </c>
      <c r="H349" s="13" t="n">
        <v>1592775</v>
      </c>
      <c r="I349" s="17"/>
      <c r="J349" s="13" t="n">
        <v>195446</v>
      </c>
      <c r="K349" s="12" t="n">
        <v>5.9</v>
      </c>
      <c r="L349" s="12" t="s">
        <v>92</v>
      </c>
      <c r="M349" s="12" t="s">
        <v>3294</v>
      </c>
    </row>
    <row r="350" customFormat="false" ht="15" hidden="false" customHeight="false" outlineLevel="0" collapsed="false">
      <c r="A350" s="12" t="s">
        <v>2306</v>
      </c>
      <c r="B350" s="12" t="s">
        <v>3295</v>
      </c>
      <c r="D350" s="12" t="s">
        <v>111</v>
      </c>
      <c r="E350" s="12" t="n">
        <v>2</v>
      </c>
      <c r="F350" s="12" t="s">
        <v>2387</v>
      </c>
      <c r="G350" s="12" t="s">
        <v>2310</v>
      </c>
      <c r="H350" s="13" t="n">
        <v>5235611</v>
      </c>
      <c r="I350" s="17"/>
      <c r="J350" s="13" t="n">
        <v>2096</v>
      </c>
      <c r="K350" s="12" t="n">
        <v>6.5</v>
      </c>
      <c r="L350" s="12" t="s">
        <v>92</v>
      </c>
      <c r="M350" s="12" t="s">
        <v>3296</v>
      </c>
    </row>
    <row r="351" customFormat="false" ht="15" hidden="false" customHeight="false" outlineLevel="0" collapsed="false">
      <c r="A351" s="12" t="s">
        <v>2306</v>
      </c>
      <c r="B351" s="12" t="s">
        <v>3297</v>
      </c>
      <c r="C351" s="12" t="s">
        <v>3298</v>
      </c>
      <c r="D351" s="12" t="s">
        <v>396</v>
      </c>
      <c r="E351" s="12" t="n">
        <v>2</v>
      </c>
      <c r="F351" s="12" t="s">
        <v>2387</v>
      </c>
      <c r="G351" s="12" t="s">
        <v>2310</v>
      </c>
      <c r="H351" s="13" t="n">
        <v>1222783</v>
      </c>
      <c r="I351" s="17"/>
      <c r="J351" s="13" t="n">
        <v>252993</v>
      </c>
      <c r="K351" s="12" t="n">
        <v>6.4</v>
      </c>
      <c r="L351" s="12" t="s">
        <v>92</v>
      </c>
      <c r="M351" s="12" t="s">
        <v>3299</v>
      </c>
    </row>
    <row r="352" customFormat="false" ht="15" hidden="false" customHeight="false" outlineLevel="0" collapsed="false">
      <c r="A352" s="12" t="s">
        <v>2306</v>
      </c>
      <c r="B352" s="12" t="s">
        <v>3300</v>
      </c>
      <c r="C352" s="12" t="s">
        <v>3301</v>
      </c>
      <c r="D352" s="12" t="s">
        <v>101</v>
      </c>
      <c r="E352" s="12" t="n">
        <v>2</v>
      </c>
      <c r="F352" s="12" t="s">
        <v>2314</v>
      </c>
      <c r="G352" s="12" t="s">
        <v>2310</v>
      </c>
      <c r="H352" s="17"/>
      <c r="I352" s="17"/>
      <c r="J352" s="13" t="n">
        <v>130571</v>
      </c>
      <c r="K352" s="12" t="n">
        <v>7.5</v>
      </c>
      <c r="L352" s="12" t="s">
        <v>169</v>
      </c>
      <c r="M352" s="12" t="s">
        <v>3302</v>
      </c>
    </row>
    <row r="353" customFormat="false" ht="15" hidden="false" customHeight="false" outlineLevel="0" collapsed="false">
      <c r="A353" s="12" t="s">
        <v>2306</v>
      </c>
      <c r="B353" s="12" t="s">
        <v>3303</v>
      </c>
      <c r="C353" s="12" t="s">
        <v>3304</v>
      </c>
      <c r="D353" s="12" t="s">
        <v>90</v>
      </c>
      <c r="E353" s="12" t="n">
        <v>2</v>
      </c>
      <c r="F353" s="12" t="s">
        <v>2314</v>
      </c>
      <c r="G353" s="12" t="s">
        <v>2310</v>
      </c>
      <c r="H353" s="17"/>
      <c r="I353" s="17"/>
      <c r="J353" s="13" t="n">
        <v>130007</v>
      </c>
      <c r="K353" s="12" t="n">
        <v>6.8</v>
      </c>
      <c r="L353" s="12" t="s">
        <v>169</v>
      </c>
      <c r="M353" s="12" t="s">
        <v>3305</v>
      </c>
    </row>
    <row r="354" customFormat="false" ht="15" hidden="false" customHeight="false" outlineLevel="0" collapsed="false">
      <c r="A354" s="12" t="s">
        <v>2306</v>
      </c>
      <c r="B354" s="12" t="s">
        <v>3306</v>
      </c>
      <c r="C354" s="12" t="s">
        <v>3307</v>
      </c>
      <c r="D354" s="12" t="s">
        <v>175</v>
      </c>
      <c r="E354" s="12" t="n">
        <v>2</v>
      </c>
      <c r="F354" s="12" t="s">
        <v>2314</v>
      </c>
      <c r="G354" s="12" t="s">
        <v>2310</v>
      </c>
      <c r="H354" s="17"/>
      <c r="I354" s="17"/>
      <c r="J354" s="13" t="n">
        <v>128882</v>
      </c>
      <c r="K354" s="12" t="n">
        <v>5.9</v>
      </c>
      <c r="L354" s="12" t="s">
        <v>169</v>
      </c>
      <c r="M354" s="12" t="s">
        <v>3308</v>
      </c>
    </row>
    <row r="355" customFormat="false" ht="15" hidden="false" customHeight="false" outlineLevel="0" collapsed="false">
      <c r="A355" s="12" t="s">
        <v>2306</v>
      </c>
      <c r="B355" s="12" t="s">
        <v>3309</v>
      </c>
      <c r="C355" s="12" t="s">
        <v>3310</v>
      </c>
      <c r="D355" s="12" t="s">
        <v>207</v>
      </c>
      <c r="E355" s="12" t="n">
        <v>2</v>
      </c>
      <c r="F355" s="12" t="s">
        <v>2314</v>
      </c>
      <c r="G355" s="12" t="s">
        <v>2310</v>
      </c>
      <c r="H355" s="17"/>
      <c r="I355" s="17"/>
      <c r="J355" s="13" t="n">
        <v>128770</v>
      </c>
      <c r="K355" s="12" t="n">
        <v>7.3</v>
      </c>
      <c r="L355" s="12" t="s">
        <v>169</v>
      </c>
      <c r="M355" s="12" t="s">
        <v>3311</v>
      </c>
    </row>
    <row r="356" customFormat="false" ht="15" hidden="false" customHeight="false" outlineLevel="0" collapsed="false">
      <c r="A356" s="12" t="s">
        <v>2306</v>
      </c>
      <c r="B356" s="12" t="s">
        <v>3312</v>
      </c>
      <c r="C356" s="12" t="s">
        <v>3313</v>
      </c>
      <c r="D356" s="12" t="s">
        <v>1103</v>
      </c>
      <c r="E356" s="12" t="n">
        <v>2</v>
      </c>
      <c r="F356" s="12" t="s">
        <v>2314</v>
      </c>
      <c r="G356" s="12" t="s">
        <v>2310</v>
      </c>
      <c r="H356" s="17"/>
      <c r="I356" s="17"/>
      <c r="J356" s="13" t="n">
        <v>127748</v>
      </c>
      <c r="K356" s="12" t="n">
        <v>7.4</v>
      </c>
      <c r="L356" s="12" t="s">
        <v>169</v>
      </c>
      <c r="M356" s="12" t="s">
        <v>3314</v>
      </c>
    </row>
    <row r="357" customFormat="false" ht="15" hidden="false" customHeight="false" outlineLevel="0" collapsed="false">
      <c r="A357" s="12" t="s">
        <v>2306</v>
      </c>
      <c r="B357" s="12" t="s">
        <v>3315</v>
      </c>
      <c r="C357" s="12" t="s">
        <v>3316</v>
      </c>
      <c r="D357" s="12" t="s">
        <v>189</v>
      </c>
      <c r="E357" s="12" t="n">
        <v>2</v>
      </c>
      <c r="F357" s="12" t="s">
        <v>2314</v>
      </c>
      <c r="G357" s="12" t="s">
        <v>2310</v>
      </c>
      <c r="H357" s="17"/>
      <c r="I357" s="17"/>
      <c r="J357" s="13" t="n">
        <v>127098</v>
      </c>
      <c r="K357" s="12" t="n">
        <v>6.4</v>
      </c>
      <c r="L357" s="12" t="s">
        <v>169</v>
      </c>
      <c r="M357" s="12" t="s">
        <v>3317</v>
      </c>
    </row>
    <row r="358" customFormat="false" ht="15" hidden="false" customHeight="false" outlineLevel="0" collapsed="false">
      <c r="A358" s="12" t="s">
        <v>2306</v>
      </c>
      <c r="B358" s="12" t="s">
        <v>3318</v>
      </c>
      <c r="C358" s="12" t="s">
        <v>3318</v>
      </c>
      <c r="D358" s="12" t="s">
        <v>251</v>
      </c>
      <c r="E358" s="12" t="n">
        <v>2</v>
      </c>
      <c r="F358" s="12" t="s">
        <v>2314</v>
      </c>
      <c r="G358" s="12" t="s">
        <v>2310</v>
      </c>
      <c r="H358" s="17"/>
      <c r="I358" s="17"/>
      <c r="J358" s="13" t="n">
        <v>124704</v>
      </c>
      <c r="K358" s="12" t="n">
        <v>6.5</v>
      </c>
      <c r="L358" s="12" t="s">
        <v>169</v>
      </c>
      <c r="M358" s="12" t="s">
        <v>3319</v>
      </c>
    </row>
    <row r="359" customFormat="false" ht="15" hidden="false" customHeight="false" outlineLevel="0" collapsed="false">
      <c r="A359" s="12" t="s">
        <v>2306</v>
      </c>
      <c r="B359" s="12" t="s">
        <v>3320</v>
      </c>
      <c r="C359" s="12" t="s">
        <v>3321</v>
      </c>
      <c r="D359" s="12" t="s">
        <v>101</v>
      </c>
      <c r="E359" s="12" t="n">
        <v>2</v>
      </c>
      <c r="F359" s="12" t="s">
        <v>2314</v>
      </c>
      <c r="G359" s="12" t="s">
        <v>2310</v>
      </c>
      <c r="H359" s="17"/>
      <c r="I359" s="17"/>
      <c r="J359" s="13" t="n">
        <v>123616</v>
      </c>
      <c r="K359" s="12" t="n">
        <v>6.2</v>
      </c>
      <c r="L359" s="12" t="s">
        <v>169</v>
      </c>
      <c r="M359" s="12" t="s">
        <v>3322</v>
      </c>
    </row>
    <row r="360" customFormat="false" ht="15" hidden="false" customHeight="false" outlineLevel="0" collapsed="false">
      <c r="A360" s="12" t="s">
        <v>2306</v>
      </c>
      <c r="B360" s="12" t="s">
        <v>3323</v>
      </c>
      <c r="C360" s="12" t="s">
        <v>3324</v>
      </c>
      <c r="D360" s="12" t="s">
        <v>111</v>
      </c>
      <c r="E360" s="12" t="n">
        <v>2</v>
      </c>
      <c r="F360" s="12" t="s">
        <v>2314</v>
      </c>
      <c r="G360" s="12" t="s">
        <v>2310</v>
      </c>
      <c r="H360" s="17"/>
      <c r="I360" s="17"/>
      <c r="J360" s="13" t="n">
        <v>123372</v>
      </c>
      <c r="K360" s="12" t="n">
        <v>6.6</v>
      </c>
      <c r="L360" s="12" t="s">
        <v>169</v>
      </c>
      <c r="M360" s="12" t="s">
        <v>3325</v>
      </c>
    </row>
    <row r="361" customFormat="false" ht="15" hidden="false" customHeight="false" outlineLevel="0" collapsed="false">
      <c r="A361" s="12" t="s">
        <v>2306</v>
      </c>
      <c r="B361" s="12" t="s">
        <v>3326</v>
      </c>
      <c r="C361" s="12" t="s">
        <v>3327</v>
      </c>
      <c r="D361" s="12" t="s">
        <v>90</v>
      </c>
      <c r="E361" s="12" t="n">
        <v>2</v>
      </c>
      <c r="F361" s="12" t="s">
        <v>2387</v>
      </c>
      <c r="G361" s="12" t="s">
        <v>2310</v>
      </c>
      <c r="H361" s="13" t="n">
        <v>6189465</v>
      </c>
      <c r="I361" s="17"/>
      <c r="J361" s="13" t="n">
        <v>785</v>
      </c>
      <c r="K361" s="12" t="n">
        <v>3.2</v>
      </c>
      <c r="L361" s="12" t="s">
        <v>92</v>
      </c>
      <c r="M361" s="12" t="s">
        <v>3328</v>
      </c>
    </row>
    <row r="362" customFormat="false" ht="15" hidden="false" customHeight="false" outlineLevel="0" collapsed="false">
      <c r="A362" s="12" t="s">
        <v>2306</v>
      </c>
      <c r="B362" s="12" t="s">
        <v>3329</v>
      </c>
      <c r="C362" s="12" t="s">
        <v>3330</v>
      </c>
      <c r="D362" s="12" t="s">
        <v>175</v>
      </c>
      <c r="E362" s="12" t="n">
        <v>2</v>
      </c>
      <c r="F362" s="12" t="s">
        <v>2314</v>
      </c>
      <c r="G362" s="12" t="s">
        <v>2310</v>
      </c>
      <c r="H362" s="17"/>
      <c r="I362" s="17"/>
      <c r="J362" s="13" t="n">
        <v>121900</v>
      </c>
      <c r="K362" s="12" t="n">
        <v>6.4</v>
      </c>
      <c r="L362" s="12" t="s">
        <v>169</v>
      </c>
      <c r="M362" s="12" t="s">
        <v>3331</v>
      </c>
    </row>
    <row r="363" customFormat="false" ht="15" hidden="false" customHeight="false" outlineLevel="0" collapsed="false">
      <c r="A363" s="12" t="s">
        <v>2306</v>
      </c>
      <c r="B363" s="12" t="s">
        <v>3332</v>
      </c>
      <c r="C363" s="12" t="s">
        <v>3332</v>
      </c>
      <c r="D363" s="12" t="s">
        <v>505</v>
      </c>
      <c r="E363" s="12" t="n">
        <v>2</v>
      </c>
      <c r="F363" s="12" t="s">
        <v>2309</v>
      </c>
      <c r="G363" s="12" t="s">
        <v>2310</v>
      </c>
      <c r="H363" s="17"/>
      <c r="I363" s="17"/>
      <c r="J363" s="13" t="n">
        <v>121564</v>
      </c>
      <c r="K363" s="12" t="n">
        <v>7.3</v>
      </c>
      <c r="L363" s="12" t="s">
        <v>128</v>
      </c>
      <c r="M363" s="12" t="s">
        <v>3333</v>
      </c>
    </row>
    <row r="364" customFormat="false" ht="15" hidden="false" customHeight="false" outlineLevel="0" collapsed="false">
      <c r="A364" s="12" t="s">
        <v>2306</v>
      </c>
      <c r="B364" s="12" t="s">
        <v>3334</v>
      </c>
      <c r="C364" s="12" t="s">
        <v>3335</v>
      </c>
      <c r="D364" s="12" t="s">
        <v>265</v>
      </c>
      <c r="E364" s="12" t="n">
        <v>2</v>
      </c>
      <c r="F364" s="12" t="s">
        <v>2309</v>
      </c>
      <c r="G364" s="12" t="s">
        <v>2310</v>
      </c>
      <c r="H364" s="17"/>
      <c r="I364" s="17"/>
      <c r="J364" s="13" t="n">
        <v>120929</v>
      </c>
      <c r="K364" s="12" t="n">
        <v>7.4</v>
      </c>
      <c r="L364" s="12" t="s">
        <v>128</v>
      </c>
      <c r="M364" s="12" t="s">
        <v>3336</v>
      </c>
    </row>
    <row r="365" customFormat="false" ht="15" hidden="false" customHeight="false" outlineLevel="0" collapsed="false">
      <c r="A365" s="12" t="s">
        <v>2306</v>
      </c>
      <c r="B365" s="12" t="s">
        <v>3337</v>
      </c>
      <c r="C365" s="12" t="s">
        <v>3338</v>
      </c>
      <c r="D365" s="12" t="s">
        <v>321</v>
      </c>
      <c r="E365" s="12" t="n">
        <v>2</v>
      </c>
      <c r="F365" s="12" t="s">
        <v>2387</v>
      </c>
      <c r="G365" s="12" t="s">
        <v>2310</v>
      </c>
      <c r="H365" s="13" t="n">
        <v>1658701</v>
      </c>
      <c r="I365" s="17"/>
      <c r="J365" s="13" t="n">
        <v>177168</v>
      </c>
      <c r="K365" s="12" t="n">
        <v>7</v>
      </c>
      <c r="L365" s="12" t="s">
        <v>92</v>
      </c>
      <c r="M365" s="12" t="s">
        <v>3339</v>
      </c>
    </row>
    <row r="366" customFormat="false" ht="15" hidden="false" customHeight="false" outlineLevel="0" collapsed="false">
      <c r="A366" s="12" t="s">
        <v>2306</v>
      </c>
      <c r="B366" s="12" t="s">
        <v>3340</v>
      </c>
      <c r="C366" s="12" t="s">
        <v>3341</v>
      </c>
      <c r="D366" s="12" t="s">
        <v>175</v>
      </c>
      <c r="E366" s="12" t="n">
        <v>2</v>
      </c>
      <c r="F366" s="12" t="s">
        <v>2387</v>
      </c>
      <c r="G366" s="12" t="s">
        <v>2310</v>
      </c>
      <c r="H366" s="13" t="n">
        <v>2100767</v>
      </c>
      <c r="I366" s="17"/>
      <c r="J366" s="13" t="n">
        <v>122471</v>
      </c>
      <c r="K366" s="12" t="n">
        <v>5.6</v>
      </c>
      <c r="L366" s="12" t="s">
        <v>92</v>
      </c>
      <c r="M366" s="12" t="s">
        <v>3342</v>
      </c>
    </row>
    <row r="367" customFormat="false" ht="15" hidden="false" customHeight="false" outlineLevel="0" collapsed="false">
      <c r="A367" s="12" t="s">
        <v>2306</v>
      </c>
      <c r="B367" s="12" t="s">
        <v>3343</v>
      </c>
      <c r="C367" s="12" t="s">
        <v>3344</v>
      </c>
      <c r="D367" s="12" t="s">
        <v>202</v>
      </c>
      <c r="E367" s="12" t="n">
        <v>2</v>
      </c>
      <c r="F367" s="12" t="s">
        <v>2387</v>
      </c>
      <c r="G367" s="12" t="s">
        <v>2310</v>
      </c>
      <c r="H367" s="13" t="n">
        <v>2946527</v>
      </c>
      <c r="I367" s="17"/>
      <c r="J367" s="13" t="n">
        <v>51595</v>
      </c>
      <c r="K367" s="12" t="n">
        <v>5.3</v>
      </c>
      <c r="L367" s="12" t="s">
        <v>92</v>
      </c>
      <c r="M367" s="12" t="s">
        <v>3345</v>
      </c>
    </row>
    <row r="368" customFormat="false" ht="15" hidden="false" customHeight="false" outlineLevel="0" collapsed="false">
      <c r="A368" s="12" t="s">
        <v>2306</v>
      </c>
      <c r="B368" s="12" t="s">
        <v>3346</v>
      </c>
      <c r="C368" s="12" t="s">
        <v>3347</v>
      </c>
      <c r="D368" s="12" t="s">
        <v>265</v>
      </c>
      <c r="E368" s="12" t="n">
        <v>2</v>
      </c>
      <c r="F368" s="12" t="s">
        <v>2309</v>
      </c>
      <c r="G368" s="12" t="s">
        <v>2310</v>
      </c>
      <c r="H368" s="17"/>
      <c r="I368" s="17"/>
      <c r="J368" s="13" t="n">
        <v>119458</v>
      </c>
      <c r="K368" s="12" t="n">
        <v>6.7</v>
      </c>
      <c r="L368" s="12" t="s">
        <v>128</v>
      </c>
      <c r="M368" s="12" t="s">
        <v>3348</v>
      </c>
    </row>
    <row r="369" customFormat="false" ht="15" hidden="false" customHeight="false" outlineLevel="0" collapsed="false">
      <c r="A369" s="12" t="s">
        <v>2306</v>
      </c>
      <c r="B369" s="12" t="s">
        <v>3349</v>
      </c>
      <c r="C369" s="12" t="s">
        <v>3349</v>
      </c>
      <c r="D369" s="12" t="s">
        <v>321</v>
      </c>
      <c r="E369" s="12" t="n">
        <v>2</v>
      </c>
      <c r="F369" s="12" t="s">
        <v>2563</v>
      </c>
      <c r="G369" s="12" t="s">
        <v>2310</v>
      </c>
      <c r="H369" s="17"/>
      <c r="I369" s="13" t="n">
        <v>609841637</v>
      </c>
      <c r="J369" s="13" t="n">
        <v>313026</v>
      </c>
      <c r="K369" s="12" t="n">
        <v>6.5</v>
      </c>
      <c r="L369" s="12" t="s">
        <v>92</v>
      </c>
      <c r="M369" s="12" t="s">
        <v>3350</v>
      </c>
    </row>
    <row r="370" customFormat="false" ht="15" hidden="false" customHeight="false" outlineLevel="0" collapsed="false">
      <c r="A370" s="12" t="s">
        <v>2306</v>
      </c>
      <c r="B370" s="12" t="s">
        <v>3351</v>
      </c>
      <c r="C370" s="12" t="s">
        <v>3352</v>
      </c>
      <c r="D370" s="12" t="s">
        <v>358</v>
      </c>
      <c r="E370" s="12" t="n">
        <v>2</v>
      </c>
      <c r="F370" s="12" t="s">
        <v>2309</v>
      </c>
      <c r="G370" s="12" t="s">
        <v>2310</v>
      </c>
      <c r="H370" s="17"/>
      <c r="I370" s="17"/>
      <c r="J370" s="13" t="n">
        <v>119272</v>
      </c>
      <c r="K370" s="12" t="n">
        <v>5.9</v>
      </c>
      <c r="L370" s="12" t="s">
        <v>128</v>
      </c>
      <c r="M370" s="12" t="s">
        <v>3353</v>
      </c>
    </row>
    <row r="371" customFormat="false" ht="15" hidden="false" customHeight="false" outlineLevel="0" collapsed="false">
      <c r="A371" s="12" t="s">
        <v>2306</v>
      </c>
      <c r="B371" s="12" t="s">
        <v>3354</v>
      </c>
      <c r="C371" s="12" t="s">
        <v>3355</v>
      </c>
      <c r="D371" s="12" t="s">
        <v>140</v>
      </c>
      <c r="E371" s="12" t="n">
        <v>2</v>
      </c>
      <c r="F371" s="12" t="s">
        <v>2387</v>
      </c>
      <c r="G371" s="12" t="s">
        <v>2310</v>
      </c>
      <c r="H371" s="13" t="n">
        <v>4846273</v>
      </c>
      <c r="I371" s="17"/>
      <c r="J371" s="13" t="n">
        <v>1538</v>
      </c>
      <c r="K371" s="12" t="n">
        <v>5.8</v>
      </c>
      <c r="L371" s="12" t="s">
        <v>92</v>
      </c>
      <c r="M371" s="12" t="s">
        <v>3356</v>
      </c>
    </row>
    <row r="372" customFormat="false" ht="15" hidden="false" customHeight="false" outlineLevel="0" collapsed="false">
      <c r="A372" s="12" t="s">
        <v>2306</v>
      </c>
      <c r="B372" s="12" t="s">
        <v>3357</v>
      </c>
      <c r="C372" s="12" t="s">
        <v>3358</v>
      </c>
      <c r="D372" s="12" t="s">
        <v>251</v>
      </c>
      <c r="E372" s="12" t="n">
        <v>2</v>
      </c>
      <c r="F372" s="12" t="s">
        <v>2314</v>
      </c>
      <c r="G372" s="12" t="s">
        <v>2310</v>
      </c>
      <c r="H372" s="17"/>
      <c r="I372" s="17"/>
      <c r="J372" s="13" t="n">
        <v>119085</v>
      </c>
      <c r="K372" s="12" t="n">
        <v>4.1</v>
      </c>
      <c r="L372" s="12" t="s">
        <v>169</v>
      </c>
      <c r="M372" s="12" t="s">
        <v>3359</v>
      </c>
    </row>
    <row r="373" customFormat="false" ht="15" hidden="false" customHeight="false" outlineLevel="0" collapsed="false">
      <c r="A373" s="12" t="s">
        <v>2306</v>
      </c>
      <c r="B373" s="12" t="s">
        <v>3360</v>
      </c>
      <c r="C373" s="12" t="s">
        <v>3361</v>
      </c>
      <c r="D373" s="12" t="s">
        <v>134</v>
      </c>
      <c r="E373" s="12" t="n">
        <v>2</v>
      </c>
      <c r="F373" s="12" t="s">
        <v>2387</v>
      </c>
      <c r="G373" s="12" t="s">
        <v>2310</v>
      </c>
      <c r="H373" s="13" t="n">
        <v>1458321</v>
      </c>
      <c r="I373" s="17"/>
      <c r="J373" s="13" t="n">
        <v>189133</v>
      </c>
      <c r="K373" s="12" t="n">
        <v>5.5</v>
      </c>
      <c r="L373" s="12" t="s">
        <v>92</v>
      </c>
      <c r="M373" s="12" t="s">
        <v>3362</v>
      </c>
    </row>
    <row r="374" customFormat="false" ht="15" hidden="false" customHeight="false" outlineLevel="0" collapsed="false">
      <c r="A374" s="12" t="s">
        <v>2306</v>
      </c>
      <c r="B374" s="12" t="s">
        <v>3363</v>
      </c>
      <c r="C374" s="12" t="s">
        <v>3364</v>
      </c>
      <c r="D374" s="12" t="s">
        <v>251</v>
      </c>
      <c r="E374" s="12" t="n">
        <v>2</v>
      </c>
      <c r="F374" s="12" t="s">
        <v>2387</v>
      </c>
      <c r="G374" s="12" t="s">
        <v>2310</v>
      </c>
      <c r="H374" s="13" t="n">
        <v>4282397</v>
      </c>
      <c r="I374" s="17"/>
      <c r="J374" s="13" t="n">
        <v>3832</v>
      </c>
      <c r="K374" s="12" t="n">
        <v>6.1</v>
      </c>
      <c r="L374" s="12" t="s">
        <v>92</v>
      </c>
      <c r="M374" s="12" t="s">
        <v>3365</v>
      </c>
    </row>
    <row r="375" customFormat="false" ht="15" hidden="false" customHeight="false" outlineLevel="0" collapsed="false">
      <c r="A375" s="12" t="s">
        <v>2306</v>
      </c>
      <c r="B375" s="12" t="s">
        <v>3366</v>
      </c>
      <c r="C375" s="12" t="s">
        <v>3367</v>
      </c>
      <c r="D375" s="12" t="s">
        <v>505</v>
      </c>
      <c r="E375" s="12" t="n">
        <v>2</v>
      </c>
      <c r="F375" s="12" t="s">
        <v>2314</v>
      </c>
      <c r="G375" s="12" t="s">
        <v>2310</v>
      </c>
      <c r="H375" s="17"/>
      <c r="I375" s="17"/>
      <c r="J375" s="13" t="n">
        <v>117885</v>
      </c>
      <c r="K375" s="12" t="n">
        <v>7.1</v>
      </c>
      <c r="L375" s="12" t="s">
        <v>169</v>
      </c>
      <c r="M375" s="12" t="s">
        <v>3368</v>
      </c>
    </row>
    <row r="376" customFormat="false" ht="15" hidden="false" customHeight="false" outlineLevel="0" collapsed="false">
      <c r="A376" s="12" t="s">
        <v>2306</v>
      </c>
      <c r="B376" s="12" t="s">
        <v>3369</v>
      </c>
      <c r="C376" s="12" t="s">
        <v>3370</v>
      </c>
      <c r="D376" s="12" t="s">
        <v>505</v>
      </c>
      <c r="E376" s="12" t="n">
        <v>2</v>
      </c>
      <c r="F376" s="12" t="s">
        <v>2314</v>
      </c>
      <c r="G376" s="12" t="s">
        <v>2310</v>
      </c>
      <c r="H376" s="17"/>
      <c r="I376" s="17"/>
      <c r="J376" s="13" t="n">
        <v>117373</v>
      </c>
      <c r="K376" s="12" t="n">
        <v>7.5</v>
      </c>
      <c r="L376" s="12" t="s">
        <v>169</v>
      </c>
      <c r="M376" s="12" t="s">
        <v>3371</v>
      </c>
    </row>
    <row r="377" customFormat="false" ht="15" hidden="false" customHeight="false" outlineLevel="0" collapsed="false">
      <c r="A377" s="12" t="s">
        <v>2306</v>
      </c>
      <c r="B377" s="12" t="s">
        <v>3372</v>
      </c>
      <c r="C377" s="12" t="s">
        <v>3372</v>
      </c>
      <c r="D377" s="12" t="s">
        <v>207</v>
      </c>
      <c r="E377" s="12" t="n">
        <v>2</v>
      </c>
      <c r="F377" s="12" t="s">
        <v>2314</v>
      </c>
      <c r="G377" s="12" t="s">
        <v>2310</v>
      </c>
      <c r="H377" s="17"/>
      <c r="I377" s="17"/>
      <c r="J377" s="13" t="n">
        <v>116830</v>
      </c>
      <c r="K377" s="12" t="n">
        <v>7.8</v>
      </c>
      <c r="L377" s="12" t="s">
        <v>169</v>
      </c>
      <c r="M377" s="12" t="s">
        <v>3373</v>
      </c>
    </row>
    <row r="378" customFormat="false" ht="15" hidden="false" customHeight="false" outlineLevel="0" collapsed="false">
      <c r="A378" s="12" t="s">
        <v>2306</v>
      </c>
      <c r="B378" s="12" t="s">
        <v>3374</v>
      </c>
      <c r="C378" s="12" t="s">
        <v>3375</v>
      </c>
      <c r="D378" s="12" t="s">
        <v>152</v>
      </c>
      <c r="E378" s="12" t="n">
        <v>2</v>
      </c>
      <c r="F378" s="12" t="s">
        <v>2387</v>
      </c>
      <c r="G378" s="12" t="s">
        <v>2310</v>
      </c>
      <c r="H378" s="13" t="n">
        <v>1529446</v>
      </c>
      <c r="I378" s="17"/>
      <c r="J378" s="13" t="n">
        <v>178008</v>
      </c>
      <c r="K378" s="12" t="n">
        <v>5.6</v>
      </c>
      <c r="L378" s="12" t="s">
        <v>92</v>
      </c>
      <c r="M378" s="12" t="s">
        <v>3376</v>
      </c>
    </row>
    <row r="379" customFormat="false" ht="15" hidden="false" customHeight="false" outlineLevel="0" collapsed="false">
      <c r="A379" s="12" t="s">
        <v>2306</v>
      </c>
      <c r="B379" s="12" t="s">
        <v>3377</v>
      </c>
      <c r="C379" s="12" t="s">
        <v>3378</v>
      </c>
      <c r="D379" s="12" t="s">
        <v>101</v>
      </c>
      <c r="E379" s="12" t="n">
        <v>2</v>
      </c>
      <c r="F379" s="12" t="s">
        <v>2314</v>
      </c>
      <c r="G379" s="12" t="s">
        <v>2310</v>
      </c>
      <c r="H379" s="17"/>
      <c r="I379" s="17"/>
      <c r="J379" s="13" t="n">
        <v>116411</v>
      </c>
      <c r="K379" s="12" t="n">
        <v>7.4</v>
      </c>
      <c r="L379" s="12" t="s">
        <v>169</v>
      </c>
      <c r="M379" s="12" t="s">
        <v>3379</v>
      </c>
    </row>
    <row r="380" customFormat="false" ht="15" hidden="false" customHeight="false" outlineLevel="0" collapsed="false">
      <c r="A380" s="12" t="s">
        <v>2306</v>
      </c>
      <c r="B380" s="12" t="s">
        <v>3380</v>
      </c>
      <c r="C380" s="12" t="s">
        <v>3380</v>
      </c>
      <c r="D380" s="12" t="s">
        <v>265</v>
      </c>
      <c r="E380" s="12" t="n">
        <v>2</v>
      </c>
      <c r="F380" s="12" t="s">
        <v>2309</v>
      </c>
      <c r="G380" s="12" t="s">
        <v>2310</v>
      </c>
      <c r="H380" s="17"/>
      <c r="I380" s="17"/>
      <c r="J380" s="13" t="n">
        <v>114622</v>
      </c>
      <c r="K380" s="12" t="n">
        <v>5.8</v>
      </c>
      <c r="L380" s="12" t="s">
        <v>128</v>
      </c>
      <c r="M380" s="12" t="s">
        <v>3381</v>
      </c>
    </row>
    <row r="381" customFormat="false" ht="15" hidden="false" customHeight="false" outlineLevel="0" collapsed="false">
      <c r="A381" s="12" t="s">
        <v>2306</v>
      </c>
      <c r="B381" s="12" t="s">
        <v>3382</v>
      </c>
      <c r="C381" s="12" t="s">
        <v>3383</v>
      </c>
      <c r="D381" s="12" t="s">
        <v>214</v>
      </c>
      <c r="E381" s="12" t="n">
        <v>2</v>
      </c>
      <c r="F381" s="12" t="s">
        <v>2309</v>
      </c>
      <c r="G381" s="12" t="s">
        <v>2310</v>
      </c>
      <c r="H381" s="17"/>
      <c r="I381" s="17"/>
      <c r="J381" s="13" t="n">
        <v>114424</v>
      </c>
      <c r="K381" s="12" t="n">
        <v>7.7</v>
      </c>
      <c r="L381" s="12" t="s">
        <v>128</v>
      </c>
      <c r="M381" s="12" t="s">
        <v>3384</v>
      </c>
    </row>
    <row r="382" customFormat="false" ht="15" hidden="false" customHeight="false" outlineLevel="0" collapsed="false">
      <c r="A382" s="12" t="s">
        <v>2306</v>
      </c>
      <c r="B382" s="12" t="s">
        <v>3385</v>
      </c>
      <c r="C382" s="12" t="s">
        <v>3386</v>
      </c>
      <c r="D382" s="12" t="s">
        <v>90</v>
      </c>
      <c r="E382" s="12" t="n">
        <v>2</v>
      </c>
      <c r="F382" s="12" t="s">
        <v>2314</v>
      </c>
      <c r="G382" s="12" t="s">
        <v>2310</v>
      </c>
      <c r="H382" s="17"/>
      <c r="I382" s="17"/>
      <c r="J382" s="13" t="n">
        <v>114069</v>
      </c>
      <c r="K382" s="12" t="n">
        <v>6.3</v>
      </c>
      <c r="L382" s="12" t="s">
        <v>169</v>
      </c>
      <c r="M382" s="12" t="s">
        <v>3387</v>
      </c>
    </row>
    <row r="383" customFormat="false" ht="15" hidden="false" customHeight="false" outlineLevel="0" collapsed="false">
      <c r="A383" s="12" t="s">
        <v>2306</v>
      </c>
      <c r="B383" s="12" t="s">
        <v>3388</v>
      </c>
      <c r="C383" s="12" t="s">
        <v>3389</v>
      </c>
      <c r="D383" s="12" t="s">
        <v>90</v>
      </c>
      <c r="E383" s="12" t="n">
        <v>2</v>
      </c>
      <c r="F383" s="12" t="s">
        <v>2314</v>
      </c>
      <c r="G383" s="12" t="s">
        <v>2310</v>
      </c>
      <c r="H383" s="17"/>
      <c r="I383" s="17"/>
      <c r="J383" s="13" t="n">
        <v>113909</v>
      </c>
      <c r="K383" s="12" t="n">
        <v>6.7</v>
      </c>
      <c r="L383" s="12" t="s">
        <v>169</v>
      </c>
      <c r="M383" s="12" t="s">
        <v>3390</v>
      </c>
    </row>
    <row r="384" customFormat="false" ht="15" hidden="false" customHeight="false" outlineLevel="0" collapsed="false">
      <c r="A384" s="12" t="s">
        <v>2306</v>
      </c>
      <c r="B384" s="12" t="s">
        <v>3391</v>
      </c>
      <c r="C384" s="12" t="s">
        <v>3392</v>
      </c>
      <c r="D384" s="12" t="s">
        <v>358</v>
      </c>
      <c r="E384" s="12" t="n">
        <v>2</v>
      </c>
      <c r="F384" s="12" t="s">
        <v>2387</v>
      </c>
      <c r="G384" s="12" t="s">
        <v>2310</v>
      </c>
      <c r="H384" s="13" t="n">
        <v>4060971</v>
      </c>
      <c r="I384" s="17"/>
      <c r="J384" s="13" t="n">
        <v>4218</v>
      </c>
      <c r="K384" s="12" t="n">
        <v>6.5</v>
      </c>
      <c r="L384" s="12" t="s">
        <v>92</v>
      </c>
      <c r="M384" s="12" t="s">
        <v>3393</v>
      </c>
    </row>
    <row r="385" customFormat="false" ht="15" hidden="false" customHeight="false" outlineLevel="0" collapsed="false">
      <c r="A385" s="12" t="s">
        <v>2306</v>
      </c>
      <c r="B385" s="12" t="s">
        <v>3394</v>
      </c>
      <c r="C385" s="12" t="s">
        <v>3395</v>
      </c>
      <c r="D385" s="12" t="s">
        <v>127</v>
      </c>
      <c r="E385" s="12" t="n">
        <v>2</v>
      </c>
      <c r="F385" s="12" t="s">
        <v>2387</v>
      </c>
      <c r="G385" s="12" t="s">
        <v>2310</v>
      </c>
      <c r="H385" s="13" t="n">
        <v>1412591</v>
      </c>
      <c r="I385" s="17"/>
      <c r="J385" s="13" t="n">
        <v>185170</v>
      </c>
      <c r="K385" s="12" t="n">
        <v>5.6</v>
      </c>
      <c r="L385" s="12" t="s">
        <v>92</v>
      </c>
      <c r="M385" s="12" t="s">
        <v>3396</v>
      </c>
    </row>
    <row r="386" customFormat="false" ht="15" hidden="false" customHeight="false" outlineLevel="0" collapsed="false">
      <c r="A386" s="12" t="s">
        <v>2306</v>
      </c>
      <c r="B386" s="12" t="s">
        <v>3397</v>
      </c>
      <c r="C386" s="12" t="s">
        <v>3398</v>
      </c>
      <c r="D386" s="12" t="s">
        <v>175</v>
      </c>
      <c r="E386" s="12" t="n">
        <v>2</v>
      </c>
      <c r="F386" s="12" t="s">
        <v>2314</v>
      </c>
      <c r="G386" s="12" t="s">
        <v>2310</v>
      </c>
      <c r="H386" s="17"/>
      <c r="I386" s="17"/>
      <c r="J386" s="13" t="n">
        <v>113287</v>
      </c>
      <c r="K386" s="12" t="n">
        <v>7.9</v>
      </c>
      <c r="L386" s="12" t="s">
        <v>169</v>
      </c>
      <c r="M386" s="12" t="s">
        <v>3399</v>
      </c>
    </row>
    <row r="387" customFormat="false" ht="15" hidden="false" customHeight="false" outlineLevel="0" collapsed="false">
      <c r="A387" s="12" t="s">
        <v>2306</v>
      </c>
      <c r="B387" s="12" t="s">
        <v>3400</v>
      </c>
      <c r="C387" s="12" t="s">
        <v>3401</v>
      </c>
      <c r="D387" s="12" t="s">
        <v>152</v>
      </c>
      <c r="E387" s="12" t="n">
        <v>2</v>
      </c>
      <c r="F387" s="12" t="s">
        <v>2387</v>
      </c>
      <c r="G387" s="12" t="s">
        <v>2310</v>
      </c>
      <c r="H387" s="13" t="n">
        <v>1823855</v>
      </c>
      <c r="I387" s="17"/>
      <c r="J387" s="13" t="n">
        <v>141569</v>
      </c>
      <c r="K387" s="12" t="n">
        <v>6.8</v>
      </c>
      <c r="L387" s="12" t="s">
        <v>92</v>
      </c>
      <c r="M387" s="12" t="s">
        <v>3402</v>
      </c>
    </row>
    <row r="388" customFormat="false" ht="15" hidden="false" customHeight="false" outlineLevel="0" collapsed="false">
      <c r="A388" s="12" t="s">
        <v>2306</v>
      </c>
      <c r="B388" s="12" t="s">
        <v>3403</v>
      </c>
      <c r="C388" s="12" t="s">
        <v>3404</v>
      </c>
      <c r="D388" s="12" t="s">
        <v>101</v>
      </c>
      <c r="E388" s="12" t="n">
        <v>2</v>
      </c>
      <c r="F388" s="12" t="s">
        <v>2314</v>
      </c>
      <c r="G388" s="12" t="s">
        <v>2310</v>
      </c>
      <c r="H388" s="17"/>
      <c r="I388" s="17"/>
      <c r="J388" s="13" t="n">
        <v>112921</v>
      </c>
      <c r="K388" s="12" t="n">
        <v>6.2</v>
      </c>
      <c r="L388" s="12" t="s">
        <v>169</v>
      </c>
      <c r="M388" s="12" t="s">
        <v>3405</v>
      </c>
    </row>
    <row r="389" customFormat="false" ht="15" hidden="false" customHeight="false" outlineLevel="0" collapsed="false">
      <c r="A389" s="12" t="s">
        <v>2306</v>
      </c>
      <c r="B389" s="12" t="s">
        <v>3406</v>
      </c>
      <c r="C389" s="12" t="s">
        <v>3407</v>
      </c>
      <c r="D389" s="12" t="s">
        <v>189</v>
      </c>
      <c r="E389" s="12" t="n">
        <v>2</v>
      </c>
      <c r="F389" s="12" t="s">
        <v>2314</v>
      </c>
      <c r="G389" s="12" t="s">
        <v>2310</v>
      </c>
      <c r="H389" s="17"/>
      <c r="I389" s="17"/>
      <c r="J389" s="13" t="n">
        <v>112618</v>
      </c>
      <c r="K389" s="12" t="n">
        <v>6.1</v>
      </c>
      <c r="L389" s="12" t="s">
        <v>169</v>
      </c>
      <c r="M389" s="12" t="s">
        <v>3408</v>
      </c>
    </row>
    <row r="390" customFormat="false" ht="15" hidden="false" customHeight="false" outlineLevel="0" collapsed="false">
      <c r="A390" s="12" t="s">
        <v>2306</v>
      </c>
      <c r="B390" s="12" t="s">
        <v>3409</v>
      </c>
      <c r="C390" s="12" t="s">
        <v>3410</v>
      </c>
      <c r="D390" s="12" t="s">
        <v>175</v>
      </c>
      <c r="E390" s="12" t="n">
        <v>2</v>
      </c>
      <c r="F390" s="12" t="s">
        <v>2563</v>
      </c>
      <c r="G390" s="12" t="s">
        <v>2310</v>
      </c>
      <c r="H390" s="17"/>
      <c r="I390" s="13" t="n">
        <v>571125435</v>
      </c>
      <c r="J390" s="13" t="n">
        <v>334003</v>
      </c>
      <c r="K390" s="12" t="n">
        <v>7.6</v>
      </c>
      <c r="L390" s="12" t="s">
        <v>92</v>
      </c>
      <c r="M390" s="12" t="s">
        <v>3411</v>
      </c>
    </row>
    <row r="391" customFormat="false" ht="15" hidden="false" customHeight="false" outlineLevel="0" collapsed="false">
      <c r="A391" s="12" t="s">
        <v>2306</v>
      </c>
      <c r="B391" s="12" t="s">
        <v>3412</v>
      </c>
      <c r="C391" s="12" t="s">
        <v>3413</v>
      </c>
      <c r="D391" s="12" t="s">
        <v>1103</v>
      </c>
      <c r="E391" s="12" t="n">
        <v>2</v>
      </c>
      <c r="F391" s="12" t="s">
        <v>2314</v>
      </c>
      <c r="G391" s="12" t="s">
        <v>2310</v>
      </c>
      <c r="H391" s="17"/>
      <c r="I391" s="17"/>
      <c r="J391" s="13" t="n">
        <v>112521</v>
      </c>
      <c r="K391" s="12" t="n">
        <v>6.5</v>
      </c>
      <c r="L391" s="12" t="s">
        <v>169</v>
      </c>
      <c r="M391" s="12" t="s">
        <v>3414</v>
      </c>
    </row>
    <row r="392" customFormat="false" ht="15" hidden="false" customHeight="false" outlineLevel="0" collapsed="false">
      <c r="A392" s="12" t="s">
        <v>2306</v>
      </c>
      <c r="B392" s="12" t="s">
        <v>3415</v>
      </c>
      <c r="C392" s="12" t="s">
        <v>3416</v>
      </c>
      <c r="D392" s="12" t="s">
        <v>207</v>
      </c>
      <c r="E392" s="12" t="n">
        <v>2</v>
      </c>
      <c r="F392" s="12" t="s">
        <v>2314</v>
      </c>
      <c r="G392" s="12" t="s">
        <v>2310</v>
      </c>
      <c r="H392" s="17"/>
      <c r="I392" s="17"/>
      <c r="J392" s="13" t="n">
        <v>112339</v>
      </c>
      <c r="K392" s="12" t="n">
        <v>6.1</v>
      </c>
      <c r="L392" s="12" t="s">
        <v>169</v>
      </c>
      <c r="M392" s="12" t="s">
        <v>3417</v>
      </c>
    </row>
    <row r="393" customFormat="false" ht="15" hidden="false" customHeight="false" outlineLevel="0" collapsed="false">
      <c r="A393" s="12" t="s">
        <v>2306</v>
      </c>
      <c r="B393" s="12" t="s">
        <v>3418</v>
      </c>
      <c r="C393" s="12" t="s">
        <v>3418</v>
      </c>
      <c r="D393" s="12" t="s">
        <v>118</v>
      </c>
      <c r="E393" s="12" t="n">
        <v>2</v>
      </c>
      <c r="F393" s="12" t="s">
        <v>2314</v>
      </c>
      <c r="G393" s="12" t="s">
        <v>2310</v>
      </c>
      <c r="H393" s="17"/>
      <c r="I393" s="17"/>
      <c r="J393" s="13" t="n">
        <v>111367</v>
      </c>
      <c r="K393" s="12" t="n">
        <v>7.4</v>
      </c>
      <c r="L393" s="12" t="s">
        <v>169</v>
      </c>
      <c r="M393" s="12" t="s">
        <v>3419</v>
      </c>
    </row>
    <row r="394" customFormat="false" ht="15" hidden="false" customHeight="false" outlineLevel="0" collapsed="false">
      <c r="A394" s="12" t="s">
        <v>2306</v>
      </c>
      <c r="B394" s="12" t="s">
        <v>3420</v>
      </c>
      <c r="C394" s="12" t="s">
        <v>3421</v>
      </c>
      <c r="D394" s="12" t="s">
        <v>127</v>
      </c>
      <c r="E394" s="12" t="n">
        <v>2</v>
      </c>
      <c r="F394" s="12" t="s">
        <v>2387</v>
      </c>
      <c r="G394" s="12" t="s">
        <v>2310</v>
      </c>
      <c r="H394" s="13" t="n">
        <v>1449175</v>
      </c>
      <c r="I394" s="17"/>
      <c r="J394" s="13" t="n">
        <v>177557</v>
      </c>
      <c r="K394" s="12" t="n">
        <v>6.4</v>
      </c>
      <c r="L394" s="12" t="s">
        <v>92</v>
      </c>
      <c r="M394" s="12" t="s">
        <v>3422</v>
      </c>
    </row>
    <row r="395" customFormat="false" ht="15" hidden="false" customHeight="false" outlineLevel="0" collapsed="false">
      <c r="A395" s="12" t="s">
        <v>2306</v>
      </c>
      <c r="B395" s="12" t="s">
        <v>3423</v>
      </c>
      <c r="C395" s="12" t="s">
        <v>3424</v>
      </c>
      <c r="D395" s="12" t="s">
        <v>500</v>
      </c>
      <c r="E395" s="12" t="n">
        <v>2</v>
      </c>
      <c r="F395" s="12" t="s">
        <v>2387</v>
      </c>
      <c r="G395" s="12" t="s">
        <v>2310</v>
      </c>
      <c r="H395" s="13" t="n">
        <v>3644956</v>
      </c>
      <c r="I395" s="17"/>
      <c r="J395" s="13" t="n">
        <v>6489</v>
      </c>
      <c r="K395" s="12" t="n">
        <v>6.1</v>
      </c>
      <c r="L395" s="12" t="s">
        <v>92</v>
      </c>
      <c r="M395" s="12" t="s">
        <v>3425</v>
      </c>
    </row>
    <row r="396" customFormat="false" ht="15" hidden="false" customHeight="false" outlineLevel="0" collapsed="false">
      <c r="A396" s="12" t="s">
        <v>2306</v>
      </c>
      <c r="B396" s="12" t="s">
        <v>3426</v>
      </c>
      <c r="C396" s="12" t="s">
        <v>3427</v>
      </c>
      <c r="D396" s="12" t="s">
        <v>127</v>
      </c>
      <c r="E396" s="12" t="n">
        <v>2</v>
      </c>
      <c r="F396" s="12" t="s">
        <v>2387</v>
      </c>
      <c r="G396" s="12" t="s">
        <v>2310</v>
      </c>
      <c r="H396" s="13" t="n">
        <v>1580680</v>
      </c>
      <c r="I396" s="17"/>
      <c r="J396" s="13" t="n">
        <v>160017</v>
      </c>
      <c r="K396" s="12" t="n">
        <v>5.9</v>
      </c>
      <c r="L396" s="12" t="s">
        <v>92</v>
      </c>
      <c r="M396" s="12" t="s">
        <v>3428</v>
      </c>
    </row>
    <row r="397" customFormat="false" ht="15" hidden="false" customHeight="false" outlineLevel="0" collapsed="false">
      <c r="A397" s="12" t="s">
        <v>2306</v>
      </c>
      <c r="B397" s="12" t="s">
        <v>3429</v>
      </c>
      <c r="C397" s="12" t="s">
        <v>3430</v>
      </c>
      <c r="D397" s="12" t="s">
        <v>505</v>
      </c>
      <c r="E397" s="12" t="n">
        <v>2</v>
      </c>
      <c r="F397" s="12" t="s">
        <v>2314</v>
      </c>
      <c r="G397" s="12" t="s">
        <v>2310</v>
      </c>
      <c r="H397" s="17"/>
      <c r="I397" s="17"/>
      <c r="J397" s="13" t="n">
        <v>111043</v>
      </c>
      <c r="K397" s="12" t="n">
        <v>6.2</v>
      </c>
      <c r="L397" s="12" t="s">
        <v>169</v>
      </c>
      <c r="M397" s="12" t="s">
        <v>3431</v>
      </c>
    </row>
    <row r="398" customFormat="false" ht="15" hidden="false" customHeight="false" outlineLevel="0" collapsed="false">
      <c r="A398" s="12" t="s">
        <v>2306</v>
      </c>
      <c r="B398" s="12" t="s">
        <v>3432</v>
      </c>
      <c r="C398" s="12" t="s">
        <v>3433</v>
      </c>
      <c r="D398" s="12" t="s">
        <v>152</v>
      </c>
      <c r="E398" s="12" t="n">
        <v>2</v>
      </c>
      <c r="F398" s="12" t="s">
        <v>2387</v>
      </c>
      <c r="G398" s="12" t="s">
        <v>2310</v>
      </c>
      <c r="H398" s="13" t="n">
        <v>1357639</v>
      </c>
      <c r="I398" s="17"/>
      <c r="J398" s="13" t="n">
        <v>184218</v>
      </c>
      <c r="K398" s="12" t="n">
        <v>6.3</v>
      </c>
      <c r="L398" s="12" t="s">
        <v>92</v>
      </c>
      <c r="M398" s="12" t="s">
        <v>3434</v>
      </c>
    </row>
    <row r="399" customFormat="false" ht="15" hidden="false" customHeight="false" outlineLevel="0" collapsed="false">
      <c r="A399" s="12" t="s">
        <v>2306</v>
      </c>
      <c r="B399" s="12" t="s">
        <v>3435</v>
      </c>
      <c r="C399" s="12" t="s">
        <v>3436</v>
      </c>
      <c r="D399" s="12" t="s">
        <v>1103</v>
      </c>
      <c r="E399" s="12" t="n">
        <v>2</v>
      </c>
      <c r="F399" s="12" t="s">
        <v>2314</v>
      </c>
      <c r="G399" s="12" t="s">
        <v>2310</v>
      </c>
      <c r="H399" s="17"/>
      <c r="I399" s="17"/>
      <c r="J399" s="13" t="n">
        <v>110842</v>
      </c>
      <c r="K399" s="12" t="n">
        <v>6.5</v>
      </c>
      <c r="L399" s="12" t="s">
        <v>169</v>
      </c>
      <c r="M399" s="12" t="s">
        <v>3437</v>
      </c>
    </row>
    <row r="400" customFormat="false" ht="15" hidden="false" customHeight="false" outlineLevel="0" collapsed="false">
      <c r="A400" s="12" t="s">
        <v>2306</v>
      </c>
      <c r="B400" s="12" t="s">
        <v>3438</v>
      </c>
      <c r="C400" s="12" t="s">
        <v>3439</v>
      </c>
      <c r="D400" s="12" t="s">
        <v>1103</v>
      </c>
      <c r="E400" s="12" t="n">
        <v>2</v>
      </c>
      <c r="F400" s="12" t="s">
        <v>2314</v>
      </c>
      <c r="G400" s="12" t="s">
        <v>2310</v>
      </c>
      <c r="H400" s="17"/>
      <c r="I400" s="17"/>
      <c r="J400" s="13" t="n">
        <v>110715</v>
      </c>
      <c r="K400" s="12" t="n">
        <v>5.9</v>
      </c>
      <c r="L400" s="12" t="s">
        <v>169</v>
      </c>
      <c r="M400" s="12" t="s">
        <v>3440</v>
      </c>
    </row>
    <row r="401" customFormat="false" ht="15" hidden="false" customHeight="false" outlineLevel="0" collapsed="false">
      <c r="A401" s="12" t="s">
        <v>2306</v>
      </c>
      <c r="B401" s="12" t="s">
        <v>3441</v>
      </c>
      <c r="C401" s="12" t="s">
        <v>3442</v>
      </c>
      <c r="D401" s="12" t="s">
        <v>101</v>
      </c>
      <c r="E401" s="12" t="n">
        <v>2</v>
      </c>
      <c r="F401" s="12" t="s">
        <v>2314</v>
      </c>
      <c r="G401" s="12" t="s">
        <v>2310</v>
      </c>
      <c r="H401" s="17"/>
      <c r="I401" s="17"/>
      <c r="J401" s="13" t="n">
        <v>110148</v>
      </c>
      <c r="K401" s="12" t="n">
        <v>5.5</v>
      </c>
      <c r="L401" s="12" t="s">
        <v>169</v>
      </c>
      <c r="M401" s="12" t="s">
        <v>3443</v>
      </c>
    </row>
    <row r="402" customFormat="false" ht="15" hidden="false" customHeight="false" outlineLevel="0" collapsed="false">
      <c r="A402" s="12" t="s">
        <v>2306</v>
      </c>
      <c r="B402" s="12" t="s">
        <v>3444</v>
      </c>
      <c r="C402" s="12" t="s">
        <v>3445</v>
      </c>
      <c r="D402" s="12" t="s">
        <v>111</v>
      </c>
      <c r="E402" s="12" t="n">
        <v>2</v>
      </c>
      <c r="F402" s="12" t="s">
        <v>2314</v>
      </c>
      <c r="G402" s="12" t="s">
        <v>2310</v>
      </c>
      <c r="H402" s="17"/>
      <c r="I402" s="17"/>
      <c r="J402" s="13" t="n">
        <v>109961</v>
      </c>
      <c r="K402" s="12" t="n">
        <v>6.8</v>
      </c>
      <c r="L402" s="12" t="s">
        <v>169</v>
      </c>
      <c r="M402" s="12" t="s">
        <v>3446</v>
      </c>
    </row>
    <row r="403" customFormat="false" ht="15" hidden="false" customHeight="false" outlineLevel="0" collapsed="false">
      <c r="A403" s="12" t="s">
        <v>2306</v>
      </c>
      <c r="B403" s="12" t="s">
        <v>3447</v>
      </c>
      <c r="C403" s="12" t="s">
        <v>3448</v>
      </c>
      <c r="D403" s="12" t="s">
        <v>207</v>
      </c>
      <c r="E403" s="12" t="n">
        <v>2</v>
      </c>
      <c r="F403" s="12" t="s">
        <v>2309</v>
      </c>
      <c r="G403" s="12" t="s">
        <v>2310</v>
      </c>
      <c r="H403" s="17"/>
      <c r="I403" s="17"/>
      <c r="J403" s="13" t="n">
        <v>109400</v>
      </c>
      <c r="K403" s="12" t="n">
        <v>7.2</v>
      </c>
      <c r="L403" s="12" t="s">
        <v>128</v>
      </c>
      <c r="M403" s="12" t="s">
        <v>3449</v>
      </c>
    </row>
    <row r="404" customFormat="false" ht="15" hidden="false" customHeight="false" outlineLevel="0" collapsed="false">
      <c r="A404" s="12" t="s">
        <v>2306</v>
      </c>
      <c r="B404" s="12" t="s">
        <v>3450</v>
      </c>
      <c r="D404" s="12" t="s">
        <v>358</v>
      </c>
      <c r="E404" s="12" t="n">
        <v>1</v>
      </c>
      <c r="F404" s="12" t="s">
        <v>2404</v>
      </c>
      <c r="G404" s="12" t="s">
        <v>2405</v>
      </c>
      <c r="H404" s="13" t="n">
        <v>1844305</v>
      </c>
      <c r="I404" s="17"/>
      <c r="J404" s="17"/>
      <c r="L404" s="12" t="s">
        <v>92</v>
      </c>
    </row>
    <row r="405" customFormat="false" ht="15" hidden="false" customHeight="false" outlineLevel="0" collapsed="false">
      <c r="A405" s="12" t="s">
        <v>2306</v>
      </c>
      <c r="B405" s="12" t="s">
        <v>3451</v>
      </c>
      <c r="C405" s="12" t="s">
        <v>3452</v>
      </c>
      <c r="D405" s="12" t="s">
        <v>189</v>
      </c>
      <c r="E405" s="12" t="n">
        <v>2</v>
      </c>
      <c r="F405" s="12" t="s">
        <v>2314</v>
      </c>
      <c r="G405" s="12" t="s">
        <v>2310</v>
      </c>
      <c r="H405" s="17"/>
      <c r="I405" s="17"/>
      <c r="J405" s="13" t="n">
        <v>109309</v>
      </c>
      <c r="K405" s="12" t="n">
        <v>7.9</v>
      </c>
      <c r="L405" s="12" t="s">
        <v>169</v>
      </c>
      <c r="M405" s="12" t="s">
        <v>3453</v>
      </c>
    </row>
    <row r="406" customFormat="false" ht="15" hidden="false" customHeight="false" outlineLevel="0" collapsed="false">
      <c r="A406" s="12" t="s">
        <v>2306</v>
      </c>
      <c r="B406" s="12" t="s">
        <v>3454</v>
      </c>
      <c r="C406" s="12" t="s">
        <v>3455</v>
      </c>
      <c r="D406" s="12" t="s">
        <v>505</v>
      </c>
      <c r="E406" s="12" t="n">
        <v>2</v>
      </c>
      <c r="F406" s="12" t="s">
        <v>2314</v>
      </c>
      <c r="G406" s="12" t="s">
        <v>2310</v>
      </c>
      <c r="H406" s="17"/>
      <c r="I406" s="17"/>
      <c r="J406" s="13" t="n">
        <v>108039</v>
      </c>
      <c r="K406" s="12" t="n">
        <v>6.2</v>
      </c>
      <c r="L406" s="12" t="s">
        <v>169</v>
      </c>
      <c r="M406" s="12" t="s">
        <v>3456</v>
      </c>
    </row>
    <row r="407" customFormat="false" ht="15" hidden="false" customHeight="false" outlineLevel="0" collapsed="false">
      <c r="A407" s="12" t="s">
        <v>2306</v>
      </c>
      <c r="B407" s="12" t="s">
        <v>3457</v>
      </c>
      <c r="C407" s="12" t="s">
        <v>3458</v>
      </c>
      <c r="D407" s="12" t="s">
        <v>500</v>
      </c>
      <c r="E407" s="12" t="n">
        <v>2</v>
      </c>
      <c r="F407" s="12" t="s">
        <v>2387</v>
      </c>
      <c r="G407" s="12" t="s">
        <v>2310</v>
      </c>
      <c r="H407" s="13" t="n">
        <v>1552905</v>
      </c>
      <c r="I407" s="17"/>
      <c r="J407" s="13" t="n">
        <v>151877</v>
      </c>
      <c r="K407" s="12" t="n">
        <v>6.6</v>
      </c>
      <c r="L407" s="12" t="s">
        <v>92</v>
      </c>
      <c r="M407" s="12" t="s">
        <v>3459</v>
      </c>
    </row>
    <row r="408" customFormat="false" ht="15" hidden="false" customHeight="false" outlineLevel="0" collapsed="false">
      <c r="A408" s="12" t="s">
        <v>2306</v>
      </c>
      <c r="B408" s="12" t="s">
        <v>3460</v>
      </c>
      <c r="C408" s="12" t="s">
        <v>3461</v>
      </c>
      <c r="D408" s="12" t="s">
        <v>101</v>
      </c>
      <c r="E408" s="12" t="n">
        <v>2</v>
      </c>
      <c r="F408" s="12" t="s">
        <v>2314</v>
      </c>
      <c r="G408" s="12" t="s">
        <v>2310</v>
      </c>
      <c r="H408" s="17"/>
      <c r="I408" s="17"/>
      <c r="J408" s="13" t="n">
        <v>106994</v>
      </c>
      <c r="K408" s="12" t="n">
        <v>6.9</v>
      </c>
      <c r="L408" s="12" t="s">
        <v>169</v>
      </c>
      <c r="M408" s="12" t="s">
        <v>3462</v>
      </c>
    </row>
    <row r="409" customFormat="false" ht="15" hidden="false" customHeight="false" outlineLevel="0" collapsed="false">
      <c r="A409" s="12" t="s">
        <v>2306</v>
      </c>
      <c r="B409" s="12" t="s">
        <v>3463</v>
      </c>
      <c r="C409" s="12" t="s">
        <v>3464</v>
      </c>
      <c r="D409" s="12" t="s">
        <v>111</v>
      </c>
      <c r="E409" s="12" t="n">
        <v>2</v>
      </c>
      <c r="F409" s="12" t="s">
        <v>2314</v>
      </c>
      <c r="G409" s="12" t="s">
        <v>2310</v>
      </c>
      <c r="H409" s="17"/>
      <c r="I409" s="17"/>
      <c r="J409" s="13" t="n">
        <v>106986</v>
      </c>
      <c r="K409" s="12" t="n">
        <v>6.7</v>
      </c>
      <c r="L409" s="12" t="s">
        <v>169</v>
      </c>
      <c r="M409" s="12" t="s">
        <v>3465</v>
      </c>
    </row>
    <row r="410" customFormat="false" ht="15" hidden="false" customHeight="false" outlineLevel="0" collapsed="false">
      <c r="A410" s="12" t="s">
        <v>2306</v>
      </c>
      <c r="B410" s="12" t="s">
        <v>3466</v>
      </c>
      <c r="C410" s="12" t="s">
        <v>3467</v>
      </c>
      <c r="D410" s="12" t="s">
        <v>505</v>
      </c>
      <c r="E410" s="12" t="n">
        <v>2</v>
      </c>
      <c r="F410" s="12" t="s">
        <v>2387</v>
      </c>
      <c r="G410" s="12" t="s">
        <v>2310</v>
      </c>
      <c r="H410" s="13" t="n">
        <v>2480740</v>
      </c>
      <c r="I410" s="17"/>
      <c r="J410" s="13" t="n">
        <v>64176</v>
      </c>
      <c r="K410" s="12" t="n">
        <v>7.2</v>
      </c>
      <c r="L410" s="12" t="s">
        <v>92</v>
      </c>
      <c r="M410" s="12" t="s">
        <v>3468</v>
      </c>
    </row>
    <row r="411" customFormat="false" ht="15" hidden="false" customHeight="false" outlineLevel="0" collapsed="false">
      <c r="A411" s="12" t="s">
        <v>2306</v>
      </c>
      <c r="B411" s="12" t="s">
        <v>3469</v>
      </c>
      <c r="D411" s="12" t="s">
        <v>158</v>
      </c>
      <c r="E411" s="12" t="n">
        <v>1</v>
      </c>
      <c r="F411" s="12" t="s">
        <v>2404</v>
      </c>
      <c r="G411" s="12" t="s">
        <v>2405</v>
      </c>
      <c r="H411" s="13" t="n">
        <v>1793239</v>
      </c>
      <c r="I411" s="17"/>
      <c r="J411" s="17"/>
      <c r="L411" s="12" t="s">
        <v>92</v>
      </c>
    </row>
    <row r="412" customFormat="false" ht="15" hidden="false" customHeight="false" outlineLevel="0" collapsed="false">
      <c r="A412" s="12" t="s">
        <v>2306</v>
      </c>
      <c r="B412" s="12" t="s">
        <v>3470</v>
      </c>
      <c r="C412" s="12" t="s">
        <v>3470</v>
      </c>
      <c r="D412" s="12" t="s">
        <v>1103</v>
      </c>
      <c r="E412" s="12" t="n">
        <v>2</v>
      </c>
      <c r="F412" s="12" t="s">
        <v>2314</v>
      </c>
      <c r="G412" s="12" t="s">
        <v>2310</v>
      </c>
      <c r="H412" s="17"/>
      <c r="I412" s="17"/>
      <c r="J412" s="13" t="n">
        <v>105957</v>
      </c>
      <c r="K412" s="12" t="n">
        <v>6.8</v>
      </c>
      <c r="L412" s="12" t="s">
        <v>169</v>
      </c>
      <c r="M412" s="12" t="s">
        <v>3471</v>
      </c>
    </row>
    <row r="413" customFormat="false" ht="15" hidden="false" customHeight="false" outlineLevel="0" collapsed="false">
      <c r="A413" s="12" t="s">
        <v>2306</v>
      </c>
      <c r="B413" s="12" t="s">
        <v>3472</v>
      </c>
      <c r="C413" s="12" t="s">
        <v>3473</v>
      </c>
      <c r="D413" s="12" t="s">
        <v>90</v>
      </c>
      <c r="E413" s="12" t="n">
        <v>2</v>
      </c>
      <c r="F413" s="12" t="s">
        <v>2314</v>
      </c>
      <c r="G413" s="12" t="s">
        <v>2310</v>
      </c>
      <c r="H413" s="17"/>
      <c r="I413" s="17"/>
      <c r="J413" s="13" t="n">
        <v>104097</v>
      </c>
      <c r="K413" s="12" t="n">
        <v>5.4</v>
      </c>
      <c r="L413" s="12" t="s">
        <v>169</v>
      </c>
      <c r="M413" s="12" t="s">
        <v>3474</v>
      </c>
    </row>
    <row r="414" customFormat="false" ht="15" hidden="false" customHeight="false" outlineLevel="0" collapsed="false">
      <c r="A414" s="12" t="s">
        <v>2306</v>
      </c>
      <c r="B414" s="12" t="s">
        <v>3475</v>
      </c>
      <c r="D414" s="12" t="s">
        <v>505</v>
      </c>
      <c r="E414" s="12" t="n">
        <v>1</v>
      </c>
      <c r="F414" s="12" t="s">
        <v>2404</v>
      </c>
      <c r="G414" s="12" t="s">
        <v>2405</v>
      </c>
      <c r="H414" s="13" t="n">
        <v>1780184</v>
      </c>
      <c r="I414" s="17"/>
      <c r="J414" s="17"/>
      <c r="L414" s="12" t="s">
        <v>92</v>
      </c>
    </row>
    <row r="415" customFormat="false" ht="15" hidden="false" customHeight="false" outlineLevel="0" collapsed="false">
      <c r="A415" s="12" t="s">
        <v>2306</v>
      </c>
      <c r="B415" s="12" t="s">
        <v>3476</v>
      </c>
      <c r="C415" s="12" t="s">
        <v>3477</v>
      </c>
      <c r="D415" s="12" t="s">
        <v>286</v>
      </c>
      <c r="E415" s="12" t="n">
        <v>2</v>
      </c>
      <c r="F415" s="12" t="s">
        <v>2387</v>
      </c>
      <c r="G415" s="12" t="s">
        <v>2310</v>
      </c>
      <c r="H415" s="13" t="n">
        <v>1588561</v>
      </c>
      <c r="I415" s="17"/>
      <c r="J415" s="13" t="n">
        <v>138967</v>
      </c>
      <c r="K415" s="12" t="n">
        <v>6.9</v>
      </c>
      <c r="L415" s="12" t="s">
        <v>92</v>
      </c>
      <c r="M415" s="12" t="s">
        <v>3478</v>
      </c>
    </row>
    <row r="416" customFormat="false" ht="15" hidden="false" customHeight="false" outlineLevel="0" collapsed="false">
      <c r="A416" s="12" t="s">
        <v>2306</v>
      </c>
      <c r="B416" s="12" t="s">
        <v>3479</v>
      </c>
      <c r="C416" s="12" t="s">
        <v>3480</v>
      </c>
      <c r="D416" s="12" t="s">
        <v>189</v>
      </c>
      <c r="E416" s="12" t="n">
        <v>2</v>
      </c>
      <c r="F416" s="12" t="s">
        <v>2309</v>
      </c>
      <c r="G416" s="12" t="s">
        <v>2310</v>
      </c>
      <c r="H416" s="17"/>
      <c r="I416" s="17"/>
      <c r="J416" s="13" t="n">
        <v>103243</v>
      </c>
      <c r="K416" s="12" t="n">
        <v>7.4</v>
      </c>
      <c r="L416" s="12" t="s">
        <v>128</v>
      </c>
      <c r="M416" s="12" t="s">
        <v>3481</v>
      </c>
    </row>
    <row r="417" customFormat="false" ht="15" hidden="false" customHeight="false" outlineLevel="0" collapsed="false">
      <c r="A417" s="12" t="s">
        <v>2306</v>
      </c>
      <c r="B417" s="12" t="s">
        <v>3482</v>
      </c>
      <c r="C417" s="12" t="s">
        <v>3483</v>
      </c>
      <c r="D417" s="12" t="s">
        <v>202</v>
      </c>
      <c r="E417" s="12" t="n">
        <v>2</v>
      </c>
      <c r="F417" s="12" t="s">
        <v>2387</v>
      </c>
      <c r="G417" s="12" t="s">
        <v>2310</v>
      </c>
      <c r="H417" s="13" t="n">
        <v>3978191</v>
      </c>
      <c r="I417" s="17"/>
      <c r="J417" s="13" t="n">
        <v>1941</v>
      </c>
      <c r="K417" s="12" t="n">
        <v>5.1</v>
      </c>
      <c r="L417" s="12" t="s">
        <v>92</v>
      </c>
      <c r="M417" s="12" t="s">
        <v>3484</v>
      </c>
    </row>
    <row r="418" customFormat="false" ht="15" hidden="false" customHeight="false" outlineLevel="0" collapsed="false">
      <c r="A418" s="12" t="s">
        <v>2306</v>
      </c>
      <c r="B418" s="12" t="s">
        <v>3485</v>
      </c>
      <c r="C418" s="12" t="s">
        <v>3486</v>
      </c>
      <c r="D418" s="12" t="s">
        <v>286</v>
      </c>
      <c r="E418" s="12" t="n">
        <v>2</v>
      </c>
      <c r="F418" s="12" t="s">
        <v>2387</v>
      </c>
      <c r="G418" s="12" t="s">
        <v>2310</v>
      </c>
      <c r="H418" s="13" t="n">
        <v>3174643</v>
      </c>
      <c r="I418" s="17"/>
      <c r="J418" s="13" t="n">
        <v>8173</v>
      </c>
      <c r="K418" s="12" t="n">
        <v>7.6</v>
      </c>
      <c r="L418" s="12" t="s">
        <v>92</v>
      </c>
      <c r="M418" s="12" t="s">
        <v>3487</v>
      </c>
    </row>
    <row r="419" customFormat="false" ht="15" hidden="false" customHeight="false" outlineLevel="0" collapsed="false">
      <c r="A419" s="12" t="s">
        <v>2306</v>
      </c>
      <c r="B419" s="12" t="s">
        <v>3488</v>
      </c>
      <c r="C419" s="12" t="s">
        <v>3489</v>
      </c>
      <c r="D419" s="12" t="s">
        <v>251</v>
      </c>
      <c r="E419" s="12" t="n">
        <v>2</v>
      </c>
      <c r="F419" s="12" t="s">
        <v>2314</v>
      </c>
      <c r="G419" s="12" t="s">
        <v>2310</v>
      </c>
      <c r="H419" s="17"/>
      <c r="I419" s="17"/>
      <c r="J419" s="13" t="n">
        <v>101811</v>
      </c>
      <c r="K419" s="12" t="n">
        <v>6.8</v>
      </c>
      <c r="L419" s="12" t="s">
        <v>169</v>
      </c>
      <c r="M419" s="12" t="s">
        <v>3490</v>
      </c>
    </row>
    <row r="420" customFormat="false" ht="15" hidden="false" customHeight="false" outlineLevel="0" collapsed="false">
      <c r="A420" s="12" t="s">
        <v>2306</v>
      </c>
      <c r="B420" s="12" t="s">
        <v>3491</v>
      </c>
      <c r="C420" s="12" t="s">
        <v>3492</v>
      </c>
      <c r="D420" s="12" t="s">
        <v>118</v>
      </c>
      <c r="E420" s="12" t="n">
        <v>2</v>
      </c>
      <c r="F420" s="12" t="s">
        <v>2688</v>
      </c>
      <c r="G420" s="12" t="s">
        <v>2310</v>
      </c>
      <c r="H420" s="17"/>
      <c r="I420" s="17"/>
      <c r="J420" s="13" t="n">
        <v>100850</v>
      </c>
      <c r="K420" s="12" t="n">
        <v>6.1</v>
      </c>
      <c r="L420" s="12" t="s">
        <v>674</v>
      </c>
      <c r="M420" s="12" t="s">
        <v>3493</v>
      </c>
    </row>
    <row r="421" customFormat="false" ht="15" hidden="false" customHeight="false" outlineLevel="0" collapsed="false">
      <c r="A421" s="12" t="s">
        <v>2306</v>
      </c>
      <c r="B421" s="12" t="s">
        <v>3494</v>
      </c>
      <c r="C421" s="12" t="s">
        <v>3495</v>
      </c>
      <c r="D421" s="12" t="s">
        <v>140</v>
      </c>
      <c r="E421" s="12" t="n">
        <v>2</v>
      </c>
      <c r="F421" s="12" t="s">
        <v>2387</v>
      </c>
      <c r="G421" s="12" t="s">
        <v>2310</v>
      </c>
      <c r="H421" s="13" t="n">
        <v>3432161</v>
      </c>
      <c r="I421" s="17"/>
      <c r="J421" s="13" t="n">
        <v>3173</v>
      </c>
      <c r="K421" s="12" t="n">
        <v>5.6</v>
      </c>
      <c r="L421" s="12" t="s">
        <v>92</v>
      </c>
      <c r="M421" s="12" t="s">
        <v>3496</v>
      </c>
    </row>
    <row r="422" customFormat="false" ht="15" hidden="false" customHeight="false" outlineLevel="0" collapsed="false">
      <c r="A422" s="12" t="s">
        <v>2306</v>
      </c>
      <c r="B422" s="12" t="s">
        <v>3497</v>
      </c>
      <c r="C422" s="12" t="s">
        <v>3498</v>
      </c>
      <c r="D422" s="12" t="s">
        <v>175</v>
      </c>
      <c r="E422" s="12" t="n">
        <v>2</v>
      </c>
      <c r="F422" s="12" t="s">
        <v>2314</v>
      </c>
      <c r="G422" s="12" t="s">
        <v>2310</v>
      </c>
      <c r="H422" s="17"/>
      <c r="I422" s="17"/>
      <c r="J422" s="13" t="n">
        <v>100826</v>
      </c>
      <c r="K422" s="12" t="n">
        <v>6.6</v>
      </c>
      <c r="L422" s="12" t="s">
        <v>169</v>
      </c>
      <c r="M422" s="12" t="s">
        <v>3499</v>
      </c>
    </row>
    <row r="423" customFormat="false" ht="15" hidden="false" customHeight="false" outlineLevel="0" collapsed="false">
      <c r="A423" s="12" t="s">
        <v>2306</v>
      </c>
      <c r="B423" s="12" t="s">
        <v>3500</v>
      </c>
      <c r="D423" s="12" t="s">
        <v>321</v>
      </c>
      <c r="E423" s="12" t="n">
        <v>1</v>
      </c>
      <c r="F423" s="12" t="s">
        <v>2404</v>
      </c>
      <c r="G423" s="12" t="s">
        <v>2405</v>
      </c>
      <c r="H423" s="13" t="n">
        <v>1746300</v>
      </c>
      <c r="I423" s="17"/>
      <c r="J423" s="17"/>
      <c r="L423" s="12" t="s">
        <v>92</v>
      </c>
    </row>
    <row r="424" customFormat="false" ht="15" hidden="false" customHeight="false" outlineLevel="0" collapsed="false">
      <c r="A424" s="12" t="s">
        <v>2306</v>
      </c>
      <c r="B424" s="12" t="s">
        <v>3501</v>
      </c>
      <c r="C424" s="12" t="s">
        <v>3502</v>
      </c>
      <c r="D424" s="12" t="s">
        <v>111</v>
      </c>
      <c r="E424" s="12" t="n">
        <v>2</v>
      </c>
      <c r="F424" s="12" t="s">
        <v>2314</v>
      </c>
      <c r="G424" s="12" t="s">
        <v>2310</v>
      </c>
      <c r="H424" s="17"/>
      <c r="I424" s="17"/>
      <c r="J424" s="13" t="n">
        <v>99939</v>
      </c>
      <c r="K424" s="12" t="n">
        <v>6.5</v>
      </c>
      <c r="L424" s="12" t="s">
        <v>169</v>
      </c>
      <c r="M424" s="12" t="s">
        <v>3503</v>
      </c>
    </row>
    <row r="425" customFormat="false" ht="15" hidden="false" customHeight="false" outlineLevel="0" collapsed="false">
      <c r="A425" s="12" t="s">
        <v>2306</v>
      </c>
      <c r="B425" s="12" t="s">
        <v>3504</v>
      </c>
      <c r="C425" s="12" t="s">
        <v>3505</v>
      </c>
      <c r="D425" s="12" t="s">
        <v>152</v>
      </c>
      <c r="E425" s="12" t="n">
        <v>2</v>
      </c>
      <c r="F425" s="12" t="s">
        <v>2387</v>
      </c>
      <c r="G425" s="12" t="s">
        <v>2310</v>
      </c>
      <c r="H425" s="13" t="n">
        <v>2140303</v>
      </c>
      <c r="I425" s="17"/>
      <c r="J425" s="13" t="n">
        <v>74868</v>
      </c>
      <c r="K425" s="12" t="n">
        <v>5.4</v>
      </c>
      <c r="L425" s="12" t="s">
        <v>92</v>
      </c>
      <c r="M425" s="12" t="s">
        <v>3506</v>
      </c>
    </row>
    <row r="426" customFormat="false" ht="15" hidden="false" customHeight="false" outlineLevel="0" collapsed="false">
      <c r="A426" s="12" t="s">
        <v>2306</v>
      </c>
      <c r="B426" s="12" t="s">
        <v>3507</v>
      </c>
      <c r="C426" s="12" t="s">
        <v>3508</v>
      </c>
      <c r="D426" s="12" t="s">
        <v>505</v>
      </c>
      <c r="E426" s="12" t="n">
        <v>2</v>
      </c>
      <c r="F426" s="12" t="s">
        <v>2314</v>
      </c>
      <c r="G426" s="12" t="s">
        <v>2310</v>
      </c>
      <c r="H426" s="17"/>
      <c r="I426" s="17"/>
      <c r="J426" s="13" t="n">
        <v>98796</v>
      </c>
      <c r="K426" s="12" t="n">
        <v>5.9</v>
      </c>
      <c r="L426" s="12" t="s">
        <v>169</v>
      </c>
      <c r="M426" s="12" t="s">
        <v>3509</v>
      </c>
    </row>
    <row r="427" customFormat="false" ht="15" hidden="false" customHeight="false" outlineLevel="0" collapsed="false">
      <c r="A427" s="12" t="s">
        <v>2306</v>
      </c>
      <c r="B427" s="12" t="s">
        <v>3510</v>
      </c>
      <c r="C427" s="12" t="s">
        <v>3511</v>
      </c>
      <c r="D427" s="12" t="s">
        <v>265</v>
      </c>
      <c r="E427" s="12" t="n">
        <v>2</v>
      </c>
      <c r="F427" s="12" t="s">
        <v>2309</v>
      </c>
      <c r="G427" s="12" t="s">
        <v>2310</v>
      </c>
      <c r="H427" s="17"/>
      <c r="I427" s="17"/>
      <c r="J427" s="13" t="n">
        <v>98451</v>
      </c>
      <c r="K427" s="12" t="n">
        <v>6.8</v>
      </c>
      <c r="L427" s="12" t="s">
        <v>128</v>
      </c>
      <c r="M427" s="12" t="s">
        <v>3512</v>
      </c>
    </row>
    <row r="428" customFormat="false" ht="15" hidden="false" customHeight="false" outlineLevel="0" collapsed="false">
      <c r="A428" s="12" t="s">
        <v>2306</v>
      </c>
      <c r="B428" s="12" t="s">
        <v>3513</v>
      </c>
      <c r="C428" s="12" t="s">
        <v>3514</v>
      </c>
      <c r="D428" s="12" t="s">
        <v>189</v>
      </c>
      <c r="E428" s="12" t="n">
        <v>2</v>
      </c>
      <c r="F428" s="12" t="s">
        <v>2314</v>
      </c>
      <c r="G428" s="12" t="s">
        <v>2310</v>
      </c>
      <c r="H428" s="17"/>
      <c r="I428" s="17"/>
      <c r="J428" s="13" t="n">
        <v>97854</v>
      </c>
      <c r="K428" s="12" t="n">
        <v>6.9</v>
      </c>
      <c r="L428" s="12" t="s">
        <v>169</v>
      </c>
      <c r="M428" s="12" t="s">
        <v>3515</v>
      </c>
    </row>
    <row r="429" customFormat="false" ht="15" hidden="false" customHeight="false" outlineLevel="0" collapsed="false">
      <c r="A429" s="12" t="s">
        <v>2306</v>
      </c>
      <c r="B429" s="12" t="s">
        <v>3516</v>
      </c>
      <c r="C429" s="12" t="s">
        <v>3517</v>
      </c>
      <c r="D429" s="12" t="s">
        <v>90</v>
      </c>
      <c r="E429" s="12" t="n">
        <v>2</v>
      </c>
      <c r="F429" s="12" t="s">
        <v>2314</v>
      </c>
      <c r="G429" s="12" t="s">
        <v>2310</v>
      </c>
      <c r="H429" s="17"/>
      <c r="I429" s="17"/>
      <c r="J429" s="13" t="n">
        <v>97012</v>
      </c>
      <c r="K429" s="12" t="n">
        <v>5.8</v>
      </c>
      <c r="L429" s="12" t="s">
        <v>169</v>
      </c>
      <c r="M429" s="12" t="s">
        <v>3518</v>
      </c>
    </row>
    <row r="430" customFormat="false" ht="15" hidden="false" customHeight="false" outlineLevel="0" collapsed="false">
      <c r="A430" s="12" t="s">
        <v>2306</v>
      </c>
      <c r="B430" s="12" t="s">
        <v>3519</v>
      </c>
      <c r="C430" s="12" t="s">
        <v>3520</v>
      </c>
      <c r="D430" s="12" t="s">
        <v>111</v>
      </c>
      <c r="E430" s="12" t="n">
        <v>2</v>
      </c>
      <c r="F430" s="12" t="s">
        <v>2314</v>
      </c>
      <c r="G430" s="12" t="s">
        <v>2310</v>
      </c>
      <c r="H430" s="17"/>
      <c r="I430" s="17"/>
      <c r="J430" s="13" t="n">
        <v>96940</v>
      </c>
      <c r="K430" s="12" t="n">
        <v>7.9</v>
      </c>
      <c r="L430" s="12" t="s">
        <v>169</v>
      </c>
      <c r="M430" s="12" t="s">
        <v>3521</v>
      </c>
    </row>
    <row r="431" customFormat="false" ht="15" hidden="false" customHeight="false" outlineLevel="0" collapsed="false">
      <c r="A431" s="12" t="s">
        <v>2306</v>
      </c>
      <c r="B431" s="12" t="s">
        <v>3522</v>
      </c>
      <c r="C431" s="12" t="s">
        <v>3523</v>
      </c>
      <c r="D431" s="12" t="s">
        <v>505</v>
      </c>
      <c r="E431" s="12" t="n">
        <v>2</v>
      </c>
      <c r="F431" s="12" t="s">
        <v>2314</v>
      </c>
      <c r="G431" s="12" t="s">
        <v>2310</v>
      </c>
      <c r="H431" s="17"/>
      <c r="I431" s="17"/>
      <c r="J431" s="13" t="n">
        <v>96268</v>
      </c>
      <c r="K431" s="12" t="n">
        <v>6.5</v>
      </c>
      <c r="L431" s="12" t="s">
        <v>169</v>
      </c>
      <c r="M431" s="12" t="s">
        <v>3524</v>
      </c>
    </row>
    <row r="432" customFormat="false" ht="15" hidden="false" customHeight="false" outlineLevel="0" collapsed="false">
      <c r="A432" s="12" t="s">
        <v>2306</v>
      </c>
      <c r="B432" s="12" t="s">
        <v>3525</v>
      </c>
      <c r="C432" s="12" t="s">
        <v>3526</v>
      </c>
      <c r="D432" s="12" t="s">
        <v>111</v>
      </c>
      <c r="E432" s="12" t="n">
        <v>2</v>
      </c>
      <c r="F432" s="12" t="s">
        <v>2314</v>
      </c>
      <c r="G432" s="12" t="s">
        <v>2310</v>
      </c>
      <c r="H432" s="17"/>
      <c r="I432" s="17"/>
      <c r="J432" s="13" t="n">
        <v>95940</v>
      </c>
      <c r="K432" s="12" t="n">
        <v>6.9</v>
      </c>
      <c r="L432" s="12" t="s">
        <v>169</v>
      </c>
      <c r="M432" s="12" t="s">
        <v>3527</v>
      </c>
    </row>
    <row r="433" customFormat="false" ht="15" hidden="false" customHeight="false" outlineLevel="0" collapsed="false">
      <c r="A433" s="12" t="s">
        <v>2306</v>
      </c>
      <c r="B433" s="12" t="s">
        <v>3528</v>
      </c>
      <c r="C433" s="12" t="s">
        <v>3529</v>
      </c>
      <c r="D433" s="12" t="s">
        <v>101</v>
      </c>
      <c r="E433" s="12" t="n">
        <v>2</v>
      </c>
      <c r="F433" s="12" t="s">
        <v>2314</v>
      </c>
      <c r="G433" s="12" t="s">
        <v>2310</v>
      </c>
      <c r="H433" s="17"/>
      <c r="I433" s="17"/>
      <c r="J433" s="13" t="n">
        <v>93074</v>
      </c>
      <c r="K433" s="12" t="n">
        <v>6.7</v>
      </c>
      <c r="L433" s="12" t="s">
        <v>169</v>
      </c>
      <c r="M433" s="12" t="s">
        <v>3530</v>
      </c>
    </row>
    <row r="434" customFormat="false" ht="15" hidden="false" customHeight="false" outlineLevel="0" collapsed="false">
      <c r="A434" s="12" t="s">
        <v>2306</v>
      </c>
      <c r="B434" s="12" t="s">
        <v>3531</v>
      </c>
      <c r="C434" s="12" t="s">
        <v>3532</v>
      </c>
      <c r="D434" s="12" t="s">
        <v>111</v>
      </c>
      <c r="E434" s="12" t="n">
        <v>2</v>
      </c>
      <c r="F434" s="12" t="s">
        <v>2314</v>
      </c>
      <c r="G434" s="12" t="s">
        <v>2310</v>
      </c>
      <c r="H434" s="17"/>
      <c r="I434" s="17"/>
      <c r="J434" s="13" t="n">
        <v>92966</v>
      </c>
      <c r="K434" s="12" t="n">
        <v>6.2</v>
      </c>
      <c r="L434" s="12" t="s">
        <v>169</v>
      </c>
      <c r="M434" s="12" t="s">
        <v>3533</v>
      </c>
    </row>
    <row r="435" customFormat="false" ht="15" hidden="false" customHeight="false" outlineLevel="0" collapsed="false">
      <c r="A435" s="12" t="s">
        <v>2306</v>
      </c>
      <c r="B435" s="12" t="s">
        <v>3534</v>
      </c>
      <c r="D435" s="12" t="s">
        <v>358</v>
      </c>
      <c r="E435" s="12" t="n">
        <v>2</v>
      </c>
      <c r="F435" s="12" t="s">
        <v>2387</v>
      </c>
      <c r="G435" s="12" t="s">
        <v>2310</v>
      </c>
      <c r="H435" s="13" t="n">
        <v>3414900</v>
      </c>
      <c r="I435" s="17"/>
      <c r="J435" s="13" t="n">
        <v>2178</v>
      </c>
      <c r="K435" s="12" t="n">
        <v>7.1</v>
      </c>
      <c r="L435" s="12" t="s">
        <v>92</v>
      </c>
      <c r="M435" s="12" t="s">
        <v>3535</v>
      </c>
    </row>
    <row r="436" customFormat="false" ht="15" hidden="false" customHeight="false" outlineLevel="0" collapsed="false">
      <c r="A436" s="12" t="s">
        <v>2306</v>
      </c>
      <c r="B436" s="12" t="s">
        <v>3536</v>
      </c>
      <c r="C436" s="12" t="s">
        <v>3537</v>
      </c>
      <c r="D436" s="12" t="s">
        <v>152</v>
      </c>
      <c r="E436" s="12" t="n">
        <v>2</v>
      </c>
      <c r="F436" s="12" t="s">
        <v>2387</v>
      </c>
      <c r="G436" s="12" t="s">
        <v>2310</v>
      </c>
      <c r="H436" s="13" t="n">
        <v>3082522</v>
      </c>
      <c r="I436" s="17"/>
      <c r="J436" s="13" t="n">
        <v>4815</v>
      </c>
      <c r="K436" s="12" t="n">
        <v>6.9</v>
      </c>
      <c r="L436" s="12" t="s">
        <v>92</v>
      </c>
      <c r="M436" s="12" t="s">
        <v>3538</v>
      </c>
    </row>
    <row r="437" customFormat="false" ht="15" hidden="false" customHeight="false" outlineLevel="0" collapsed="false">
      <c r="A437" s="12" t="s">
        <v>2306</v>
      </c>
      <c r="B437" s="12" t="s">
        <v>3539</v>
      </c>
      <c r="C437" s="12" t="s">
        <v>3539</v>
      </c>
      <c r="D437" s="12" t="s">
        <v>251</v>
      </c>
      <c r="E437" s="12" t="n">
        <v>2</v>
      </c>
      <c r="F437" s="12" t="s">
        <v>2314</v>
      </c>
      <c r="G437" s="12" t="s">
        <v>2310</v>
      </c>
      <c r="H437" s="17"/>
      <c r="I437" s="17"/>
      <c r="J437" s="13" t="n">
        <v>92523</v>
      </c>
      <c r="K437" s="12" t="n">
        <v>6.2</v>
      </c>
      <c r="L437" s="12" t="s">
        <v>169</v>
      </c>
      <c r="M437" s="12" t="s">
        <v>3540</v>
      </c>
    </row>
    <row r="438" customFormat="false" ht="15" hidden="false" customHeight="false" outlineLevel="0" collapsed="false">
      <c r="A438" s="12" t="s">
        <v>2306</v>
      </c>
      <c r="B438" s="12" t="s">
        <v>3541</v>
      </c>
      <c r="C438" s="12" t="s">
        <v>3542</v>
      </c>
      <c r="D438" s="12" t="s">
        <v>118</v>
      </c>
      <c r="E438" s="12" t="n">
        <v>2</v>
      </c>
      <c r="F438" s="12" t="s">
        <v>2314</v>
      </c>
      <c r="G438" s="12" t="s">
        <v>2310</v>
      </c>
      <c r="H438" s="17"/>
      <c r="I438" s="17"/>
      <c r="J438" s="13" t="n">
        <v>92284</v>
      </c>
      <c r="K438" s="12" t="n">
        <v>6.1</v>
      </c>
      <c r="L438" s="12" t="s">
        <v>169</v>
      </c>
      <c r="M438" s="12" t="s">
        <v>3543</v>
      </c>
    </row>
    <row r="439" customFormat="false" ht="15" hidden="false" customHeight="false" outlineLevel="0" collapsed="false">
      <c r="A439" s="12" t="s">
        <v>2306</v>
      </c>
      <c r="B439" s="12" t="s">
        <v>3544</v>
      </c>
      <c r="C439" s="12" t="s">
        <v>3545</v>
      </c>
      <c r="D439" s="12" t="s">
        <v>101</v>
      </c>
      <c r="E439" s="12" t="n">
        <v>2</v>
      </c>
      <c r="F439" s="12" t="s">
        <v>2314</v>
      </c>
      <c r="G439" s="12" t="s">
        <v>2310</v>
      </c>
      <c r="H439" s="17"/>
      <c r="I439" s="17"/>
      <c r="J439" s="13" t="n">
        <v>91858</v>
      </c>
      <c r="K439" s="12" t="n">
        <v>5.7</v>
      </c>
      <c r="L439" s="12" t="s">
        <v>169</v>
      </c>
      <c r="M439" s="12" t="s">
        <v>3546</v>
      </c>
    </row>
    <row r="440" customFormat="false" ht="15" hidden="false" customHeight="false" outlineLevel="0" collapsed="false">
      <c r="A440" s="12" t="s">
        <v>2306</v>
      </c>
      <c r="B440" s="12" t="s">
        <v>3547</v>
      </c>
      <c r="D440" s="12" t="s">
        <v>152</v>
      </c>
      <c r="E440" s="12" t="n">
        <v>2</v>
      </c>
      <c r="F440" s="12" t="s">
        <v>2387</v>
      </c>
      <c r="G440" s="12" t="s">
        <v>2310</v>
      </c>
      <c r="H440" s="13" t="n">
        <v>3078030</v>
      </c>
      <c r="I440" s="17"/>
      <c r="J440" s="13" t="n">
        <v>4073</v>
      </c>
      <c r="K440" s="12" t="n">
        <v>6.5</v>
      </c>
      <c r="L440" s="12" t="s">
        <v>92</v>
      </c>
      <c r="M440" s="12" t="s">
        <v>3548</v>
      </c>
    </row>
    <row r="441" customFormat="false" ht="15" hidden="false" customHeight="false" outlineLevel="0" collapsed="false">
      <c r="A441" s="12" t="s">
        <v>2306</v>
      </c>
      <c r="B441" s="12" t="s">
        <v>3549</v>
      </c>
      <c r="C441" s="12" t="s">
        <v>3550</v>
      </c>
      <c r="D441" s="12" t="s">
        <v>505</v>
      </c>
      <c r="E441" s="12" t="n">
        <v>2</v>
      </c>
      <c r="F441" s="12" t="s">
        <v>2314</v>
      </c>
      <c r="G441" s="12" t="s">
        <v>2310</v>
      </c>
      <c r="H441" s="17"/>
      <c r="I441" s="17"/>
      <c r="J441" s="13" t="n">
        <v>91605</v>
      </c>
      <c r="K441" s="12" t="n">
        <v>6.8</v>
      </c>
      <c r="L441" s="12" t="s">
        <v>169</v>
      </c>
      <c r="M441" s="12" t="s">
        <v>3551</v>
      </c>
    </row>
    <row r="442" customFormat="false" ht="15" hidden="false" customHeight="false" outlineLevel="0" collapsed="false">
      <c r="A442" s="12" t="s">
        <v>2306</v>
      </c>
      <c r="B442" s="12" t="s">
        <v>3552</v>
      </c>
      <c r="D442" s="12" t="s">
        <v>183</v>
      </c>
      <c r="E442" s="12" t="n">
        <v>2</v>
      </c>
      <c r="F442" s="12" t="s">
        <v>2387</v>
      </c>
      <c r="G442" s="12" t="s">
        <v>2310</v>
      </c>
      <c r="H442" s="13" t="n">
        <v>3770455</v>
      </c>
      <c r="I442" s="17"/>
      <c r="J442" s="13" t="n">
        <v>1232</v>
      </c>
      <c r="K442" s="12" t="n">
        <v>5.8</v>
      </c>
      <c r="L442" s="12" t="s">
        <v>92</v>
      </c>
      <c r="M442" s="12" t="s">
        <v>3553</v>
      </c>
    </row>
    <row r="443" customFormat="false" ht="15" hidden="false" customHeight="false" outlineLevel="0" collapsed="false">
      <c r="A443" s="12" t="s">
        <v>2306</v>
      </c>
      <c r="B443" s="12" t="s">
        <v>3554</v>
      </c>
      <c r="C443" s="12" t="s">
        <v>3555</v>
      </c>
      <c r="D443" s="12" t="s">
        <v>505</v>
      </c>
      <c r="E443" s="12" t="n">
        <v>2</v>
      </c>
      <c r="F443" s="12" t="s">
        <v>2314</v>
      </c>
      <c r="G443" s="12" t="s">
        <v>2310</v>
      </c>
      <c r="H443" s="17"/>
      <c r="I443" s="17"/>
      <c r="J443" s="13" t="n">
        <v>91586</v>
      </c>
      <c r="K443" s="12" t="n">
        <v>7.7</v>
      </c>
      <c r="L443" s="12" t="s">
        <v>169</v>
      </c>
      <c r="M443" s="12" t="s">
        <v>3556</v>
      </c>
    </row>
    <row r="444" customFormat="false" ht="15" hidden="false" customHeight="false" outlineLevel="0" collapsed="false">
      <c r="A444" s="12" t="s">
        <v>2306</v>
      </c>
      <c r="B444" s="12" t="s">
        <v>3557</v>
      </c>
      <c r="C444" s="12" t="s">
        <v>3558</v>
      </c>
      <c r="D444" s="12" t="s">
        <v>111</v>
      </c>
      <c r="E444" s="12" t="n">
        <v>2</v>
      </c>
      <c r="F444" s="12" t="s">
        <v>2314</v>
      </c>
      <c r="G444" s="12" t="s">
        <v>2310</v>
      </c>
      <c r="H444" s="17"/>
      <c r="I444" s="17"/>
      <c r="J444" s="13" t="n">
        <v>91559</v>
      </c>
      <c r="K444" s="12" t="n">
        <v>6.9</v>
      </c>
      <c r="L444" s="12" t="s">
        <v>169</v>
      </c>
      <c r="M444" s="12" t="s">
        <v>3559</v>
      </c>
    </row>
    <row r="445" customFormat="false" ht="15" hidden="false" customHeight="false" outlineLevel="0" collapsed="false">
      <c r="A445" s="12" t="s">
        <v>2306</v>
      </c>
      <c r="B445" s="12" t="s">
        <v>3560</v>
      </c>
      <c r="C445" s="12" t="s">
        <v>3561</v>
      </c>
      <c r="D445" s="12" t="s">
        <v>505</v>
      </c>
      <c r="E445" s="12" t="n">
        <v>2</v>
      </c>
      <c r="F445" s="12" t="s">
        <v>2314</v>
      </c>
      <c r="G445" s="12" t="s">
        <v>2310</v>
      </c>
      <c r="H445" s="17"/>
      <c r="I445" s="17"/>
      <c r="J445" s="13" t="n">
        <v>90726</v>
      </c>
      <c r="K445" s="12" t="n">
        <v>6.7</v>
      </c>
      <c r="L445" s="12" t="s">
        <v>169</v>
      </c>
      <c r="M445" s="12" t="s">
        <v>3562</v>
      </c>
    </row>
    <row r="446" customFormat="false" ht="15" hidden="false" customHeight="false" outlineLevel="0" collapsed="false">
      <c r="A446" s="12" t="s">
        <v>2306</v>
      </c>
      <c r="B446" s="12" t="s">
        <v>3563</v>
      </c>
      <c r="C446" s="12" t="s">
        <v>3564</v>
      </c>
      <c r="D446" s="12" t="s">
        <v>251</v>
      </c>
      <c r="E446" s="12" t="n">
        <v>2</v>
      </c>
      <c r="F446" s="12" t="s">
        <v>2314</v>
      </c>
      <c r="G446" s="12" t="s">
        <v>2310</v>
      </c>
      <c r="H446" s="17"/>
      <c r="I446" s="17"/>
      <c r="J446" s="13" t="n">
        <v>90586</v>
      </c>
      <c r="K446" s="12" t="n">
        <v>6.3</v>
      </c>
      <c r="L446" s="12" t="s">
        <v>169</v>
      </c>
      <c r="M446" s="12" t="s">
        <v>3565</v>
      </c>
    </row>
    <row r="447" customFormat="false" ht="15" hidden="false" customHeight="false" outlineLevel="0" collapsed="false">
      <c r="A447" s="12" t="s">
        <v>2306</v>
      </c>
      <c r="B447" s="12" t="s">
        <v>3566</v>
      </c>
      <c r="C447" s="12" t="s">
        <v>3567</v>
      </c>
      <c r="D447" s="12" t="s">
        <v>321</v>
      </c>
      <c r="E447" s="12" t="n">
        <v>2</v>
      </c>
      <c r="F447" s="12" t="s">
        <v>2387</v>
      </c>
      <c r="G447" s="12" t="s">
        <v>2310</v>
      </c>
      <c r="H447" s="13" t="n">
        <v>1188460</v>
      </c>
      <c r="I447" s="17"/>
      <c r="J447" s="13" t="n">
        <v>160390</v>
      </c>
      <c r="K447" s="12" t="n">
        <v>6.8</v>
      </c>
      <c r="L447" s="12" t="s">
        <v>92</v>
      </c>
      <c r="M447" s="12" t="s">
        <v>3568</v>
      </c>
    </row>
    <row r="448" customFormat="false" ht="15" hidden="false" customHeight="false" outlineLevel="0" collapsed="false">
      <c r="A448" s="12" t="s">
        <v>2306</v>
      </c>
      <c r="B448" s="12" t="s">
        <v>3569</v>
      </c>
      <c r="C448" s="12" t="s">
        <v>3570</v>
      </c>
      <c r="D448" s="12" t="s">
        <v>111</v>
      </c>
      <c r="E448" s="12" t="n">
        <v>2</v>
      </c>
      <c r="F448" s="12" t="s">
        <v>2314</v>
      </c>
      <c r="G448" s="12" t="s">
        <v>2310</v>
      </c>
      <c r="H448" s="17"/>
      <c r="I448" s="17"/>
      <c r="J448" s="13" t="n">
        <v>87836</v>
      </c>
      <c r="K448" s="12" t="n">
        <v>7.4</v>
      </c>
      <c r="L448" s="12" t="s">
        <v>169</v>
      </c>
      <c r="M448" s="12" t="s">
        <v>3571</v>
      </c>
    </row>
    <row r="449" customFormat="false" ht="15" hidden="false" customHeight="false" outlineLevel="0" collapsed="false">
      <c r="A449" s="12" t="s">
        <v>2306</v>
      </c>
      <c r="B449" s="12" t="s">
        <v>3572</v>
      </c>
      <c r="C449" s="12" t="s">
        <v>3573</v>
      </c>
      <c r="D449" s="12" t="s">
        <v>207</v>
      </c>
      <c r="E449" s="12" t="n">
        <v>2</v>
      </c>
      <c r="F449" s="12" t="s">
        <v>2314</v>
      </c>
      <c r="G449" s="12" t="s">
        <v>2310</v>
      </c>
      <c r="H449" s="17"/>
      <c r="I449" s="17"/>
      <c r="J449" s="13" t="n">
        <v>87817</v>
      </c>
      <c r="K449" s="12" t="n">
        <v>6.8</v>
      </c>
      <c r="L449" s="12" t="s">
        <v>169</v>
      </c>
      <c r="M449" s="12" t="s">
        <v>3574</v>
      </c>
    </row>
    <row r="450" customFormat="false" ht="15" hidden="false" customHeight="false" outlineLevel="0" collapsed="false">
      <c r="A450" s="12" t="s">
        <v>2306</v>
      </c>
      <c r="B450" s="12" t="s">
        <v>3575</v>
      </c>
      <c r="C450" s="12" t="s">
        <v>3576</v>
      </c>
      <c r="D450" s="12" t="s">
        <v>500</v>
      </c>
      <c r="E450" s="12" t="n">
        <v>2</v>
      </c>
      <c r="F450" s="12" t="s">
        <v>2387</v>
      </c>
      <c r="G450" s="12" t="s">
        <v>2310</v>
      </c>
      <c r="H450" s="13" t="n">
        <v>1140465</v>
      </c>
      <c r="I450" s="17"/>
      <c r="J450" s="13" t="n">
        <v>164668</v>
      </c>
      <c r="K450" s="12" t="n">
        <v>6.2</v>
      </c>
      <c r="L450" s="12" t="s">
        <v>92</v>
      </c>
      <c r="M450" s="12" t="s">
        <v>3577</v>
      </c>
    </row>
    <row r="451" customFormat="false" ht="15" hidden="false" customHeight="false" outlineLevel="0" collapsed="false">
      <c r="A451" s="12" t="s">
        <v>2306</v>
      </c>
      <c r="B451" s="12" t="s">
        <v>3578</v>
      </c>
      <c r="C451" s="12" t="s">
        <v>3579</v>
      </c>
      <c r="D451" s="12" t="s">
        <v>111</v>
      </c>
      <c r="E451" s="12" t="n">
        <v>2</v>
      </c>
      <c r="F451" s="12" t="s">
        <v>2314</v>
      </c>
      <c r="G451" s="12" t="s">
        <v>2310</v>
      </c>
      <c r="H451" s="17"/>
      <c r="I451" s="17"/>
      <c r="J451" s="13" t="n">
        <v>87677</v>
      </c>
      <c r="K451" s="12" t="n">
        <v>7.3</v>
      </c>
      <c r="L451" s="12" t="s">
        <v>169</v>
      </c>
      <c r="M451" s="12" t="s">
        <v>3580</v>
      </c>
    </row>
    <row r="452" customFormat="false" ht="15" hidden="false" customHeight="false" outlineLevel="0" collapsed="false">
      <c r="A452" s="12" t="s">
        <v>2306</v>
      </c>
      <c r="B452" s="12" t="s">
        <v>3581</v>
      </c>
      <c r="C452" s="12" t="s">
        <v>3582</v>
      </c>
      <c r="D452" s="12" t="s">
        <v>202</v>
      </c>
      <c r="E452" s="12" t="n">
        <v>2</v>
      </c>
      <c r="F452" s="12" t="s">
        <v>2387</v>
      </c>
      <c r="G452" s="12" t="s">
        <v>2310</v>
      </c>
      <c r="H452" s="13" t="n">
        <v>3140771</v>
      </c>
      <c r="I452" s="17"/>
      <c r="J452" s="13" t="n">
        <v>2700</v>
      </c>
      <c r="K452" s="12" t="n">
        <v>5.8</v>
      </c>
      <c r="L452" s="12" t="s">
        <v>92</v>
      </c>
      <c r="M452" s="12" t="s">
        <v>3583</v>
      </c>
    </row>
    <row r="453" customFormat="false" ht="15" hidden="false" customHeight="false" outlineLevel="0" collapsed="false">
      <c r="A453" s="12" t="s">
        <v>2306</v>
      </c>
      <c r="B453" s="12" t="s">
        <v>3584</v>
      </c>
      <c r="C453" s="12" t="s">
        <v>3585</v>
      </c>
      <c r="D453" s="12" t="s">
        <v>321</v>
      </c>
      <c r="E453" s="12" t="n">
        <v>2</v>
      </c>
      <c r="F453" s="12" t="s">
        <v>2387</v>
      </c>
      <c r="G453" s="12" t="s">
        <v>2310</v>
      </c>
      <c r="H453" s="13" t="n">
        <v>1280823</v>
      </c>
      <c r="I453" s="17"/>
      <c r="J453" s="13" t="n">
        <v>143469</v>
      </c>
      <c r="K453" s="12" t="n">
        <v>5.8</v>
      </c>
      <c r="L453" s="12" t="s">
        <v>92</v>
      </c>
      <c r="M453" s="12" t="s">
        <v>3586</v>
      </c>
    </row>
    <row r="454" customFormat="false" ht="15" hidden="false" customHeight="false" outlineLevel="0" collapsed="false">
      <c r="A454" s="12" t="s">
        <v>2306</v>
      </c>
      <c r="B454" s="12" t="s">
        <v>3587</v>
      </c>
      <c r="C454" s="12" t="s">
        <v>3588</v>
      </c>
      <c r="D454" s="12" t="s">
        <v>90</v>
      </c>
      <c r="E454" s="12" t="n">
        <v>2</v>
      </c>
      <c r="F454" s="12" t="s">
        <v>2314</v>
      </c>
      <c r="G454" s="12" t="s">
        <v>2310</v>
      </c>
      <c r="H454" s="17"/>
      <c r="I454" s="17"/>
      <c r="J454" s="13" t="n">
        <v>87292</v>
      </c>
      <c r="K454" s="12" t="n">
        <v>6.5</v>
      </c>
      <c r="L454" s="12" t="s">
        <v>169</v>
      </c>
      <c r="M454" s="12" t="s">
        <v>3589</v>
      </c>
    </row>
    <row r="455" customFormat="false" ht="15" hidden="false" customHeight="false" outlineLevel="0" collapsed="false">
      <c r="A455" s="12" t="s">
        <v>2306</v>
      </c>
      <c r="B455" s="12" t="s">
        <v>3590</v>
      </c>
      <c r="C455" s="12" t="s">
        <v>3591</v>
      </c>
      <c r="D455" s="12" t="s">
        <v>189</v>
      </c>
      <c r="E455" s="12" t="n">
        <v>2</v>
      </c>
      <c r="F455" s="12" t="s">
        <v>2314</v>
      </c>
      <c r="G455" s="12" t="s">
        <v>2310</v>
      </c>
      <c r="H455" s="17"/>
      <c r="I455" s="17"/>
      <c r="J455" s="13" t="n">
        <v>87249</v>
      </c>
      <c r="K455" s="12" t="n">
        <v>6.6</v>
      </c>
      <c r="L455" s="12" t="s">
        <v>169</v>
      </c>
      <c r="M455" s="12" t="s">
        <v>3592</v>
      </c>
    </row>
    <row r="456" customFormat="false" ht="15" hidden="false" customHeight="false" outlineLevel="0" collapsed="false">
      <c r="A456" s="12" t="s">
        <v>2306</v>
      </c>
      <c r="C456" s="12" t="s">
        <v>3593</v>
      </c>
      <c r="D456" s="12" t="s">
        <v>101</v>
      </c>
      <c r="E456" s="12" t="n">
        <v>2</v>
      </c>
      <c r="F456" s="12" t="s">
        <v>2563</v>
      </c>
      <c r="G456" s="12" t="s">
        <v>2310</v>
      </c>
      <c r="H456" s="17"/>
      <c r="I456" s="13" t="n">
        <v>909596236</v>
      </c>
      <c r="J456" s="13" t="n">
        <v>4950</v>
      </c>
      <c r="K456" s="12" t="n">
        <v>5.5</v>
      </c>
      <c r="L456" s="12" t="s">
        <v>92</v>
      </c>
      <c r="M456" s="12" t="s">
        <v>3594</v>
      </c>
    </row>
    <row r="457" customFormat="false" ht="15" hidden="false" customHeight="false" outlineLevel="0" collapsed="false">
      <c r="A457" s="12" t="s">
        <v>2306</v>
      </c>
      <c r="B457" s="12" t="s">
        <v>3595</v>
      </c>
      <c r="C457" s="12" t="s">
        <v>3596</v>
      </c>
      <c r="D457" s="12" t="s">
        <v>286</v>
      </c>
      <c r="E457" s="12" t="n">
        <v>2</v>
      </c>
      <c r="F457" s="12" t="s">
        <v>2387</v>
      </c>
      <c r="G457" s="12" t="s">
        <v>2310</v>
      </c>
      <c r="H457" s="13" t="n">
        <v>2996467</v>
      </c>
      <c r="I457" s="17"/>
      <c r="J457" s="13" t="n">
        <v>2904</v>
      </c>
      <c r="K457" s="12" t="n">
        <v>6.8</v>
      </c>
      <c r="L457" s="12" t="s">
        <v>92</v>
      </c>
      <c r="M457" s="12" t="s">
        <v>3597</v>
      </c>
    </row>
    <row r="458" customFormat="false" ht="15" hidden="false" customHeight="false" outlineLevel="0" collapsed="false">
      <c r="A458" s="12" t="s">
        <v>2306</v>
      </c>
      <c r="B458" s="12" t="s">
        <v>3598</v>
      </c>
      <c r="C458" s="12" t="s">
        <v>3599</v>
      </c>
      <c r="D458" s="12" t="s">
        <v>101</v>
      </c>
      <c r="E458" s="12" t="n">
        <v>2</v>
      </c>
      <c r="F458" s="12" t="s">
        <v>2314</v>
      </c>
      <c r="G458" s="12" t="s">
        <v>2310</v>
      </c>
      <c r="H458" s="17"/>
      <c r="I458" s="17"/>
      <c r="J458" s="13" t="n">
        <v>84846</v>
      </c>
      <c r="K458" s="12" t="n">
        <v>5.9</v>
      </c>
      <c r="L458" s="12" t="s">
        <v>169</v>
      </c>
      <c r="M458" s="12" t="s">
        <v>3600</v>
      </c>
    </row>
    <row r="459" customFormat="false" ht="15" hidden="false" customHeight="false" outlineLevel="0" collapsed="false">
      <c r="A459" s="12" t="s">
        <v>2306</v>
      </c>
      <c r="B459" s="12" t="s">
        <v>3601</v>
      </c>
      <c r="C459" s="12" t="s">
        <v>3602</v>
      </c>
      <c r="D459" s="12" t="s">
        <v>118</v>
      </c>
      <c r="E459" s="12" t="n">
        <v>2</v>
      </c>
      <c r="F459" s="12" t="s">
        <v>2387</v>
      </c>
      <c r="G459" s="12" t="s">
        <v>2310</v>
      </c>
      <c r="H459" s="13" t="n">
        <v>2117196</v>
      </c>
      <c r="I459" s="17"/>
      <c r="J459" s="13" t="n">
        <v>55218</v>
      </c>
      <c r="K459" s="12" t="n">
        <v>5.9</v>
      </c>
      <c r="L459" s="12" t="s">
        <v>92</v>
      </c>
      <c r="M459" s="12" t="s">
        <v>3603</v>
      </c>
    </row>
    <row r="460" customFormat="false" ht="15" hidden="false" customHeight="false" outlineLevel="0" collapsed="false">
      <c r="A460" s="12" t="s">
        <v>2306</v>
      </c>
      <c r="B460" s="12" t="s">
        <v>3604</v>
      </c>
      <c r="C460" s="12" t="s">
        <v>3604</v>
      </c>
      <c r="D460" s="12" t="s">
        <v>118</v>
      </c>
      <c r="E460" s="12" t="n">
        <v>2</v>
      </c>
      <c r="F460" s="12" t="s">
        <v>2314</v>
      </c>
      <c r="G460" s="12" t="s">
        <v>2310</v>
      </c>
      <c r="H460" s="17"/>
      <c r="I460" s="17"/>
      <c r="J460" s="13" t="n">
        <v>84733</v>
      </c>
      <c r="K460" s="12" t="n">
        <v>5</v>
      </c>
      <c r="L460" s="12" t="s">
        <v>169</v>
      </c>
      <c r="M460" s="12" t="s">
        <v>3605</v>
      </c>
    </row>
    <row r="461" customFormat="false" ht="15" hidden="false" customHeight="false" outlineLevel="0" collapsed="false">
      <c r="A461" s="12" t="s">
        <v>2306</v>
      </c>
      <c r="B461" s="12" t="s">
        <v>3606</v>
      </c>
      <c r="C461" s="12" t="s">
        <v>3607</v>
      </c>
      <c r="D461" s="12" t="s">
        <v>273</v>
      </c>
      <c r="E461" s="12" t="n">
        <v>2</v>
      </c>
      <c r="F461" s="12" t="s">
        <v>2387</v>
      </c>
      <c r="G461" s="12" t="s">
        <v>2310</v>
      </c>
      <c r="H461" s="13" t="n">
        <v>2038586</v>
      </c>
      <c r="I461" s="17"/>
      <c r="J461" s="13" t="n">
        <v>62640</v>
      </c>
      <c r="K461" s="12" t="n">
        <v>5.5</v>
      </c>
      <c r="L461" s="12" t="s">
        <v>92</v>
      </c>
      <c r="M461" s="12" t="s">
        <v>3608</v>
      </c>
    </row>
    <row r="462" customFormat="false" ht="15" hidden="false" customHeight="false" outlineLevel="0" collapsed="false">
      <c r="A462" s="12" t="s">
        <v>2306</v>
      </c>
      <c r="B462" s="12" t="s">
        <v>3609</v>
      </c>
      <c r="C462" s="12" t="s">
        <v>3610</v>
      </c>
      <c r="D462" s="12" t="s">
        <v>505</v>
      </c>
      <c r="E462" s="12" t="n">
        <v>2</v>
      </c>
      <c r="F462" s="12" t="s">
        <v>2309</v>
      </c>
      <c r="G462" s="12" t="s">
        <v>2310</v>
      </c>
      <c r="H462" s="17"/>
      <c r="I462" s="17"/>
      <c r="J462" s="13" t="n">
        <v>83288</v>
      </c>
      <c r="K462" s="12" t="n">
        <v>7</v>
      </c>
      <c r="L462" s="12" t="s">
        <v>128</v>
      </c>
      <c r="M462" s="12" t="s">
        <v>3611</v>
      </c>
    </row>
    <row r="463" customFormat="false" ht="15" hidden="false" customHeight="false" outlineLevel="0" collapsed="false">
      <c r="A463" s="12" t="s">
        <v>2306</v>
      </c>
      <c r="B463" s="12" t="s">
        <v>3612</v>
      </c>
      <c r="C463" s="12" t="s">
        <v>3613</v>
      </c>
      <c r="D463" s="12" t="s">
        <v>127</v>
      </c>
      <c r="E463" s="12" t="n">
        <v>2</v>
      </c>
      <c r="F463" s="12" t="s">
        <v>2387</v>
      </c>
      <c r="G463" s="12" t="s">
        <v>2310</v>
      </c>
      <c r="H463" s="13" t="n">
        <v>1442053</v>
      </c>
      <c r="I463" s="17"/>
      <c r="J463" s="13" t="n">
        <v>111171</v>
      </c>
      <c r="K463" s="12" t="n">
        <v>5.7</v>
      </c>
      <c r="L463" s="12" t="s">
        <v>92</v>
      </c>
      <c r="M463" s="12" t="s">
        <v>3614</v>
      </c>
    </row>
    <row r="464" customFormat="false" ht="15" hidden="false" customHeight="false" outlineLevel="0" collapsed="false">
      <c r="A464" s="12" t="s">
        <v>2306</v>
      </c>
      <c r="B464" s="12" t="s">
        <v>3615</v>
      </c>
      <c r="C464" s="12" t="s">
        <v>3616</v>
      </c>
      <c r="D464" s="12" t="s">
        <v>1103</v>
      </c>
      <c r="E464" s="12" t="n">
        <v>2</v>
      </c>
      <c r="F464" s="12" t="s">
        <v>2314</v>
      </c>
      <c r="G464" s="12" t="s">
        <v>2310</v>
      </c>
      <c r="H464" s="17"/>
      <c r="I464" s="17"/>
      <c r="J464" s="13" t="n">
        <v>83229</v>
      </c>
      <c r="K464" s="12" t="n">
        <v>7.1</v>
      </c>
      <c r="L464" s="12" t="s">
        <v>169</v>
      </c>
      <c r="M464" s="12" t="s">
        <v>3617</v>
      </c>
    </row>
    <row r="465" customFormat="false" ht="15" hidden="false" customHeight="false" outlineLevel="0" collapsed="false">
      <c r="A465" s="12" t="s">
        <v>2306</v>
      </c>
      <c r="B465" s="12" t="s">
        <v>3618</v>
      </c>
      <c r="C465" s="12" t="s">
        <v>3619</v>
      </c>
      <c r="D465" s="12" t="s">
        <v>183</v>
      </c>
      <c r="E465" s="12" t="n">
        <v>2</v>
      </c>
      <c r="F465" s="12" t="s">
        <v>2387</v>
      </c>
      <c r="G465" s="12" t="s">
        <v>2310</v>
      </c>
      <c r="H465" s="13" t="n">
        <v>3307837</v>
      </c>
      <c r="I465" s="17"/>
      <c r="J465" s="13" t="n">
        <v>1209</v>
      </c>
      <c r="K465" s="12" t="n">
        <v>5.1</v>
      </c>
      <c r="L465" s="12" t="s">
        <v>92</v>
      </c>
      <c r="M465" s="12" t="s">
        <v>3620</v>
      </c>
    </row>
    <row r="466" customFormat="false" ht="15" hidden="false" customHeight="false" outlineLevel="0" collapsed="false">
      <c r="A466" s="12" t="s">
        <v>2306</v>
      </c>
      <c r="B466" s="12" t="s">
        <v>3621</v>
      </c>
      <c r="C466" s="12" t="s">
        <v>3621</v>
      </c>
      <c r="D466" s="12" t="s">
        <v>101</v>
      </c>
      <c r="E466" s="12" t="n">
        <v>2</v>
      </c>
      <c r="F466" s="12" t="s">
        <v>2314</v>
      </c>
      <c r="G466" s="12" t="s">
        <v>2310</v>
      </c>
      <c r="H466" s="17"/>
      <c r="I466" s="17"/>
      <c r="J466" s="13" t="n">
        <v>82665</v>
      </c>
      <c r="K466" s="12" t="n">
        <v>6.5</v>
      </c>
      <c r="L466" s="12" t="s">
        <v>169</v>
      </c>
      <c r="M466" s="12" t="s">
        <v>3622</v>
      </c>
    </row>
    <row r="467" customFormat="false" ht="15" hidden="false" customHeight="false" outlineLevel="0" collapsed="false">
      <c r="A467" s="12" t="s">
        <v>2306</v>
      </c>
      <c r="B467" s="12" t="s">
        <v>3623</v>
      </c>
      <c r="C467" s="12" t="s">
        <v>3624</v>
      </c>
      <c r="D467" s="12" t="s">
        <v>118</v>
      </c>
      <c r="E467" s="12" t="n">
        <v>2</v>
      </c>
      <c r="F467" s="12" t="s">
        <v>2314</v>
      </c>
      <c r="G467" s="12" t="s">
        <v>2310</v>
      </c>
      <c r="H467" s="17"/>
      <c r="I467" s="17"/>
      <c r="J467" s="13" t="n">
        <v>81009</v>
      </c>
      <c r="K467" s="12" t="n">
        <v>6</v>
      </c>
      <c r="L467" s="12" t="s">
        <v>169</v>
      </c>
      <c r="M467" s="12" t="s">
        <v>3625</v>
      </c>
    </row>
    <row r="468" customFormat="false" ht="15" hidden="false" customHeight="false" outlineLevel="0" collapsed="false">
      <c r="A468" s="12" t="s">
        <v>2306</v>
      </c>
      <c r="B468" s="12" t="s">
        <v>3626</v>
      </c>
      <c r="C468" s="12" t="s">
        <v>3627</v>
      </c>
      <c r="D468" s="12" t="s">
        <v>505</v>
      </c>
      <c r="E468" s="12" t="n">
        <v>2</v>
      </c>
      <c r="F468" s="12" t="s">
        <v>2314</v>
      </c>
      <c r="G468" s="12" t="s">
        <v>2310</v>
      </c>
      <c r="H468" s="17"/>
      <c r="I468" s="17"/>
      <c r="J468" s="13" t="n">
        <v>80793</v>
      </c>
      <c r="K468" s="12" t="n">
        <v>5.9</v>
      </c>
      <c r="L468" s="12" t="s">
        <v>169</v>
      </c>
      <c r="M468" s="12" t="s">
        <v>3628</v>
      </c>
    </row>
    <row r="469" customFormat="false" ht="15" hidden="false" customHeight="false" outlineLevel="0" collapsed="false">
      <c r="A469" s="12" t="s">
        <v>2306</v>
      </c>
      <c r="B469" s="12" t="s">
        <v>3629</v>
      </c>
      <c r="C469" s="12" t="s">
        <v>3630</v>
      </c>
      <c r="D469" s="12" t="s">
        <v>175</v>
      </c>
      <c r="E469" s="12" t="n">
        <v>2</v>
      </c>
      <c r="F469" s="12" t="s">
        <v>2314</v>
      </c>
      <c r="G469" s="12" t="s">
        <v>2310</v>
      </c>
      <c r="H469" s="17"/>
      <c r="I469" s="17"/>
      <c r="J469" s="13" t="n">
        <v>80710</v>
      </c>
      <c r="K469" s="12" t="n">
        <v>6.6</v>
      </c>
      <c r="L469" s="12" t="s">
        <v>169</v>
      </c>
      <c r="M469" s="12" t="s">
        <v>3631</v>
      </c>
    </row>
    <row r="470" customFormat="false" ht="15" hidden="false" customHeight="false" outlineLevel="0" collapsed="false">
      <c r="A470" s="12" t="s">
        <v>2306</v>
      </c>
      <c r="B470" s="12" t="s">
        <v>3632</v>
      </c>
      <c r="C470" s="12" t="s">
        <v>3633</v>
      </c>
      <c r="D470" s="12" t="s">
        <v>214</v>
      </c>
      <c r="E470" s="12" t="n">
        <v>2</v>
      </c>
      <c r="F470" s="12" t="s">
        <v>2387</v>
      </c>
      <c r="G470" s="12" t="s">
        <v>2310</v>
      </c>
      <c r="H470" s="13" t="n">
        <v>3020337</v>
      </c>
      <c r="I470" s="17"/>
      <c r="J470" s="13" t="n">
        <v>2173</v>
      </c>
      <c r="K470" s="12" t="n">
        <v>5.2</v>
      </c>
      <c r="L470" s="12" t="s">
        <v>92</v>
      </c>
      <c r="M470" s="12" t="s">
        <v>3634</v>
      </c>
    </row>
    <row r="471" customFormat="false" ht="15" hidden="false" customHeight="false" outlineLevel="0" collapsed="false">
      <c r="A471" s="12" t="s">
        <v>2306</v>
      </c>
      <c r="B471" s="12" t="s">
        <v>3635</v>
      </c>
      <c r="C471" s="12" t="s">
        <v>3636</v>
      </c>
      <c r="D471" s="12" t="s">
        <v>273</v>
      </c>
      <c r="E471" s="12" t="n">
        <v>2</v>
      </c>
      <c r="F471" s="12" t="s">
        <v>2387</v>
      </c>
      <c r="G471" s="12" t="s">
        <v>2310</v>
      </c>
      <c r="H471" s="13" t="n">
        <v>1244849</v>
      </c>
      <c r="I471" s="17"/>
      <c r="J471" s="13" t="n">
        <v>132028</v>
      </c>
      <c r="K471" s="12" t="n">
        <v>6.5</v>
      </c>
      <c r="L471" s="12" t="s">
        <v>92</v>
      </c>
      <c r="M471" s="12" t="s">
        <v>3637</v>
      </c>
    </row>
    <row r="472" customFormat="false" ht="15" hidden="false" customHeight="false" outlineLevel="0" collapsed="false">
      <c r="A472" s="12" t="s">
        <v>2306</v>
      </c>
      <c r="B472" s="12" t="s">
        <v>3638</v>
      </c>
      <c r="C472" s="12" t="s">
        <v>3639</v>
      </c>
      <c r="D472" s="12" t="s">
        <v>90</v>
      </c>
      <c r="E472" s="12" t="n">
        <v>2</v>
      </c>
      <c r="F472" s="12" t="s">
        <v>3105</v>
      </c>
      <c r="G472" s="12" t="s">
        <v>2310</v>
      </c>
      <c r="H472" s="17"/>
      <c r="I472" s="17"/>
      <c r="J472" s="13" t="n">
        <v>80317</v>
      </c>
      <c r="K472" s="12" t="n">
        <v>6.4</v>
      </c>
      <c r="L472" s="12" t="s">
        <v>292</v>
      </c>
      <c r="M472" s="12" t="s">
        <v>3640</v>
      </c>
    </row>
    <row r="473" customFormat="false" ht="15" hidden="false" customHeight="false" outlineLevel="0" collapsed="false">
      <c r="A473" s="12" t="s">
        <v>2306</v>
      </c>
      <c r="B473" s="12" t="s">
        <v>3641</v>
      </c>
      <c r="C473" s="12" t="s">
        <v>3642</v>
      </c>
      <c r="D473" s="12" t="s">
        <v>321</v>
      </c>
      <c r="E473" s="12" t="n">
        <v>2</v>
      </c>
      <c r="F473" s="12" t="s">
        <v>2387</v>
      </c>
      <c r="G473" s="12" t="s">
        <v>2310</v>
      </c>
      <c r="H473" s="13" t="n">
        <v>1173893</v>
      </c>
      <c r="I473" s="17"/>
      <c r="J473" s="13" t="n">
        <v>140350</v>
      </c>
      <c r="K473" s="12" t="n">
        <v>5.2</v>
      </c>
      <c r="L473" s="12" t="s">
        <v>92</v>
      </c>
      <c r="M473" s="12" t="s">
        <v>3643</v>
      </c>
    </row>
    <row r="474" customFormat="false" ht="15" hidden="false" customHeight="false" outlineLevel="0" collapsed="false">
      <c r="A474" s="12" t="s">
        <v>2306</v>
      </c>
      <c r="B474" s="12" t="s">
        <v>3644</v>
      </c>
      <c r="C474" s="12" t="s">
        <v>3645</v>
      </c>
      <c r="D474" s="12" t="s">
        <v>251</v>
      </c>
      <c r="E474" s="12" t="n">
        <v>2</v>
      </c>
      <c r="F474" s="12" t="s">
        <v>2309</v>
      </c>
      <c r="G474" s="12" t="s">
        <v>2310</v>
      </c>
      <c r="H474" s="17"/>
      <c r="I474" s="17"/>
      <c r="J474" s="13" t="n">
        <v>80157</v>
      </c>
      <c r="K474" s="12" t="n">
        <v>7.3</v>
      </c>
      <c r="L474" s="12" t="s">
        <v>128</v>
      </c>
      <c r="M474" s="12" t="s">
        <v>3646</v>
      </c>
    </row>
    <row r="475" customFormat="false" ht="15" hidden="false" customHeight="false" outlineLevel="0" collapsed="false">
      <c r="A475" s="12" t="s">
        <v>2306</v>
      </c>
      <c r="B475" s="12" t="s">
        <v>3647</v>
      </c>
      <c r="C475" s="12" t="s">
        <v>3648</v>
      </c>
      <c r="D475" s="12" t="s">
        <v>175</v>
      </c>
      <c r="E475" s="12" t="n">
        <v>2</v>
      </c>
      <c r="F475" s="12" t="s">
        <v>2314</v>
      </c>
      <c r="G475" s="12" t="s">
        <v>2310</v>
      </c>
      <c r="H475" s="17"/>
      <c r="I475" s="17"/>
      <c r="J475" s="13" t="n">
        <v>80082</v>
      </c>
      <c r="K475" s="12" t="n">
        <v>6.6</v>
      </c>
      <c r="L475" s="12" t="s">
        <v>169</v>
      </c>
      <c r="M475" s="12" t="s">
        <v>3649</v>
      </c>
    </row>
    <row r="476" customFormat="false" ht="15" hidden="false" customHeight="false" outlineLevel="0" collapsed="false">
      <c r="A476" s="12" t="s">
        <v>2306</v>
      </c>
      <c r="B476" s="12" t="s">
        <v>3650</v>
      </c>
      <c r="C476" s="12" t="s">
        <v>3651</v>
      </c>
      <c r="D476" s="12" t="s">
        <v>118</v>
      </c>
      <c r="E476" s="12" t="n">
        <v>2</v>
      </c>
      <c r="F476" s="12" t="s">
        <v>2314</v>
      </c>
      <c r="G476" s="12" t="s">
        <v>2310</v>
      </c>
      <c r="H476" s="17"/>
      <c r="I476" s="17"/>
      <c r="J476" s="13" t="n">
        <v>79578</v>
      </c>
      <c r="K476" s="12" t="n">
        <v>5.4</v>
      </c>
      <c r="L476" s="12" t="s">
        <v>169</v>
      </c>
      <c r="M476" s="12" t="s">
        <v>3652</v>
      </c>
    </row>
    <row r="477" customFormat="false" ht="15" hidden="false" customHeight="false" outlineLevel="0" collapsed="false">
      <c r="A477" s="12" t="s">
        <v>2306</v>
      </c>
      <c r="B477" s="12" t="s">
        <v>3653</v>
      </c>
      <c r="C477" s="12" t="s">
        <v>3654</v>
      </c>
      <c r="D477" s="12" t="s">
        <v>175</v>
      </c>
      <c r="E477" s="12" t="n">
        <v>2</v>
      </c>
      <c r="F477" s="12" t="s">
        <v>2314</v>
      </c>
      <c r="G477" s="12" t="s">
        <v>2310</v>
      </c>
      <c r="H477" s="17"/>
      <c r="I477" s="17"/>
      <c r="J477" s="13" t="n">
        <v>79493</v>
      </c>
      <c r="K477" s="12" t="n">
        <v>7.2</v>
      </c>
      <c r="L477" s="12" t="s">
        <v>169</v>
      </c>
      <c r="M477" s="12" t="s">
        <v>3655</v>
      </c>
    </row>
    <row r="478" customFormat="false" ht="15" hidden="false" customHeight="false" outlineLevel="0" collapsed="false">
      <c r="A478" s="12" t="s">
        <v>2306</v>
      </c>
      <c r="C478" s="12" t="s">
        <v>3656</v>
      </c>
      <c r="D478" s="12" t="s">
        <v>207</v>
      </c>
      <c r="E478" s="12" t="n">
        <v>2</v>
      </c>
      <c r="F478" s="12" t="s">
        <v>2563</v>
      </c>
      <c r="G478" s="12" t="s">
        <v>2310</v>
      </c>
      <c r="H478" s="17"/>
      <c r="I478" s="13" t="n">
        <v>870325439</v>
      </c>
      <c r="J478" s="13" t="n">
        <v>9735</v>
      </c>
      <c r="K478" s="12" t="n">
        <v>5.9</v>
      </c>
      <c r="L478" s="12" t="s">
        <v>92</v>
      </c>
      <c r="M478" s="12" t="s">
        <v>3657</v>
      </c>
    </row>
    <row r="479" customFormat="false" ht="15" hidden="false" customHeight="false" outlineLevel="0" collapsed="false">
      <c r="A479" s="12" t="s">
        <v>2306</v>
      </c>
      <c r="B479" s="12" t="s">
        <v>3658</v>
      </c>
      <c r="C479" s="12" t="s">
        <v>3659</v>
      </c>
      <c r="D479" s="12" t="s">
        <v>265</v>
      </c>
      <c r="E479" s="12" t="n">
        <v>2</v>
      </c>
      <c r="F479" s="12" t="s">
        <v>2309</v>
      </c>
      <c r="G479" s="12" t="s">
        <v>2310</v>
      </c>
      <c r="H479" s="17"/>
      <c r="I479" s="17"/>
      <c r="J479" s="13" t="n">
        <v>78675</v>
      </c>
      <c r="K479" s="12" t="n">
        <v>6.5</v>
      </c>
      <c r="L479" s="12" t="s">
        <v>128</v>
      </c>
      <c r="M479" s="12" t="s">
        <v>3660</v>
      </c>
    </row>
    <row r="480" customFormat="false" ht="15" hidden="false" customHeight="false" outlineLevel="0" collapsed="false">
      <c r="A480" s="12" t="s">
        <v>2306</v>
      </c>
      <c r="B480" s="12" t="s">
        <v>3661</v>
      </c>
      <c r="C480" s="12" t="s">
        <v>3662</v>
      </c>
      <c r="D480" s="12" t="s">
        <v>321</v>
      </c>
      <c r="E480" s="12" t="n">
        <v>2</v>
      </c>
      <c r="F480" s="12" t="s">
        <v>2387</v>
      </c>
      <c r="G480" s="12" t="s">
        <v>2310</v>
      </c>
      <c r="H480" s="13" t="n">
        <v>1401392</v>
      </c>
      <c r="I480" s="17"/>
      <c r="J480" s="13" t="n">
        <v>107847</v>
      </c>
      <c r="K480" s="12" t="n">
        <v>5.3</v>
      </c>
      <c r="L480" s="12" t="s">
        <v>92</v>
      </c>
      <c r="M480" s="12" t="s">
        <v>3663</v>
      </c>
    </row>
    <row r="481" customFormat="false" ht="15" hidden="false" customHeight="false" outlineLevel="0" collapsed="false">
      <c r="A481" s="12" t="s">
        <v>2306</v>
      </c>
      <c r="B481" s="12" t="s">
        <v>3664</v>
      </c>
      <c r="C481" s="12" t="s">
        <v>3665</v>
      </c>
      <c r="D481" s="12" t="s">
        <v>118</v>
      </c>
      <c r="E481" s="12" t="n">
        <v>2</v>
      </c>
      <c r="F481" s="12" t="s">
        <v>2688</v>
      </c>
      <c r="G481" s="12" t="s">
        <v>2310</v>
      </c>
      <c r="H481" s="17"/>
      <c r="I481" s="17"/>
      <c r="J481" s="13" t="n">
        <v>78567</v>
      </c>
      <c r="K481" s="12" t="n">
        <v>7.1</v>
      </c>
      <c r="L481" s="12" t="s">
        <v>674</v>
      </c>
      <c r="M481" s="12" t="s">
        <v>3666</v>
      </c>
    </row>
    <row r="482" customFormat="false" ht="15" hidden="false" customHeight="false" outlineLevel="0" collapsed="false">
      <c r="A482" s="12" t="s">
        <v>2306</v>
      </c>
      <c r="B482" s="12" t="s">
        <v>3667</v>
      </c>
      <c r="C482" s="12" t="s">
        <v>3668</v>
      </c>
      <c r="D482" s="12" t="s">
        <v>90</v>
      </c>
      <c r="E482" s="12" t="n">
        <v>2</v>
      </c>
      <c r="F482" s="12" t="s">
        <v>2387</v>
      </c>
      <c r="G482" s="12" t="s">
        <v>2310</v>
      </c>
      <c r="H482" s="13" t="n">
        <v>3590714</v>
      </c>
      <c r="I482" s="17"/>
      <c r="J482" s="13" t="n">
        <v>650</v>
      </c>
      <c r="K482" s="12" t="n">
        <v>5.4</v>
      </c>
      <c r="L482" s="12" t="s">
        <v>92</v>
      </c>
      <c r="M482" s="12" t="s">
        <v>3669</v>
      </c>
    </row>
    <row r="483" customFormat="false" ht="15" hidden="false" customHeight="false" outlineLevel="0" collapsed="false">
      <c r="A483" s="12" t="s">
        <v>2306</v>
      </c>
      <c r="B483" s="12" t="s">
        <v>3670</v>
      </c>
      <c r="C483" s="12" t="s">
        <v>3671</v>
      </c>
      <c r="D483" s="12" t="s">
        <v>265</v>
      </c>
      <c r="E483" s="12" t="n">
        <v>2</v>
      </c>
      <c r="F483" s="12" t="s">
        <v>2309</v>
      </c>
      <c r="G483" s="12" t="s">
        <v>2310</v>
      </c>
      <c r="H483" s="17"/>
      <c r="I483" s="17"/>
      <c r="J483" s="13" t="n">
        <v>78499</v>
      </c>
      <c r="K483" s="12" t="n">
        <v>6.2</v>
      </c>
      <c r="L483" s="12" t="s">
        <v>128</v>
      </c>
      <c r="M483" s="12" t="s">
        <v>3672</v>
      </c>
    </row>
    <row r="484" customFormat="false" ht="15" hidden="false" customHeight="false" outlineLevel="0" collapsed="false">
      <c r="A484" s="12" t="s">
        <v>2306</v>
      </c>
      <c r="B484" s="12" t="s">
        <v>3673</v>
      </c>
      <c r="C484" s="12" t="s">
        <v>3673</v>
      </c>
      <c r="D484" s="12" t="s">
        <v>101</v>
      </c>
      <c r="E484" s="12" t="n">
        <v>2</v>
      </c>
      <c r="F484" s="12" t="s">
        <v>2314</v>
      </c>
      <c r="G484" s="12" t="s">
        <v>2310</v>
      </c>
      <c r="H484" s="17"/>
      <c r="I484" s="17"/>
      <c r="J484" s="13" t="n">
        <v>78370</v>
      </c>
      <c r="K484" s="12" t="n">
        <v>7.5</v>
      </c>
      <c r="L484" s="12" t="s">
        <v>169</v>
      </c>
      <c r="M484" s="12" t="s">
        <v>3674</v>
      </c>
    </row>
    <row r="485" customFormat="false" ht="15" hidden="false" customHeight="false" outlineLevel="0" collapsed="false">
      <c r="A485" s="12" t="s">
        <v>2306</v>
      </c>
      <c r="B485" s="12" t="s">
        <v>3675</v>
      </c>
      <c r="C485" s="12" t="s">
        <v>3676</v>
      </c>
      <c r="D485" s="12" t="s">
        <v>101</v>
      </c>
      <c r="E485" s="12" t="n">
        <v>2</v>
      </c>
      <c r="F485" s="12" t="s">
        <v>2314</v>
      </c>
      <c r="G485" s="12" t="s">
        <v>2310</v>
      </c>
      <c r="H485" s="17"/>
      <c r="I485" s="17"/>
      <c r="J485" s="13" t="n">
        <v>77730</v>
      </c>
      <c r="K485" s="12" t="n">
        <v>6.6</v>
      </c>
      <c r="L485" s="12" t="s">
        <v>169</v>
      </c>
      <c r="M485" s="12" t="s">
        <v>3677</v>
      </c>
    </row>
    <row r="486" customFormat="false" ht="15" hidden="false" customHeight="false" outlineLevel="0" collapsed="false">
      <c r="A486" s="12" t="s">
        <v>2306</v>
      </c>
      <c r="B486" s="12" t="s">
        <v>3678</v>
      </c>
      <c r="C486" s="12" t="s">
        <v>3679</v>
      </c>
      <c r="D486" s="12" t="s">
        <v>505</v>
      </c>
      <c r="E486" s="12" t="n">
        <v>2</v>
      </c>
      <c r="F486" s="12" t="s">
        <v>2314</v>
      </c>
      <c r="G486" s="12" t="s">
        <v>2310</v>
      </c>
      <c r="H486" s="17"/>
      <c r="I486" s="17"/>
      <c r="J486" s="13" t="n">
        <v>77177</v>
      </c>
      <c r="K486" s="12" t="n">
        <v>7.5</v>
      </c>
      <c r="L486" s="12" t="s">
        <v>169</v>
      </c>
      <c r="M486" s="12" t="s">
        <v>3680</v>
      </c>
    </row>
    <row r="487" customFormat="false" ht="15" hidden="false" customHeight="false" outlineLevel="0" collapsed="false">
      <c r="A487" s="12" t="s">
        <v>2306</v>
      </c>
      <c r="B487" s="12" t="s">
        <v>3681</v>
      </c>
      <c r="C487" s="12" t="s">
        <v>3682</v>
      </c>
      <c r="D487" s="12" t="s">
        <v>175</v>
      </c>
      <c r="E487" s="12" t="n">
        <v>2</v>
      </c>
      <c r="F487" s="12" t="s">
        <v>2314</v>
      </c>
      <c r="G487" s="12" t="s">
        <v>2310</v>
      </c>
      <c r="H487" s="17"/>
      <c r="I487" s="17"/>
      <c r="J487" s="13" t="n">
        <v>77154</v>
      </c>
      <c r="K487" s="12" t="n">
        <v>6.6</v>
      </c>
      <c r="L487" s="12" t="s">
        <v>169</v>
      </c>
      <c r="M487" s="12" t="s">
        <v>3683</v>
      </c>
    </row>
    <row r="488" customFormat="false" ht="15" hidden="false" customHeight="false" outlineLevel="0" collapsed="false">
      <c r="A488" s="12" t="s">
        <v>2306</v>
      </c>
      <c r="B488" s="12" t="s">
        <v>3684</v>
      </c>
      <c r="C488" s="12" t="s">
        <v>3685</v>
      </c>
      <c r="D488" s="12" t="s">
        <v>251</v>
      </c>
      <c r="E488" s="12" t="n">
        <v>2</v>
      </c>
      <c r="F488" s="12" t="s">
        <v>2314</v>
      </c>
      <c r="G488" s="12" t="s">
        <v>2310</v>
      </c>
      <c r="H488" s="17"/>
      <c r="I488" s="17"/>
      <c r="J488" s="13" t="n">
        <v>76383</v>
      </c>
      <c r="K488" s="12" t="n">
        <v>7</v>
      </c>
      <c r="L488" s="12" t="s">
        <v>169</v>
      </c>
      <c r="M488" s="12" t="s">
        <v>3686</v>
      </c>
    </row>
    <row r="489" customFormat="false" ht="15" hidden="false" customHeight="false" outlineLevel="0" collapsed="false">
      <c r="A489" s="12" t="s">
        <v>2306</v>
      </c>
      <c r="B489" s="12" t="s">
        <v>3687</v>
      </c>
      <c r="C489" s="12" t="s">
        <v>3688</v>
      </c>
      <c r="D489" s="12" t="s">
        <v>90</v>
      </c>
      <c r="E489" s="12" t="n">
        <v>2</v>
      </c>
      <c r="F489" s="12" t="s">
        <v>2314</v>
      </c>
      <c r="G489" s="12" t="s">
        <v>2310</v>
      </c>
      <c r="H489" s="17"/>
      <c r="I489" s="17"/>
      <c r="J489" s="13" t="n">
        <v>76252</v>
      </c>
      <c r="K489" s="12" t="n">
        <v>7.5</v>
      </c>
      <c r="L489" s="12" t="s">
        <v>169</v>
      </c>
      <c r="M489" s="12" t="s">
        <v>3689</v>
      </c>
    </row>
    <row r="490" customFormat="false" ht="15" hidden="false" customHeight="false" outlineLevel="0" collapsed="false">
      <c r="A490" s="12" t="s">
        <v>2306</v>
      </c>
      <c r="B490" s="12" t="s">
        <v>3690</v>
      </c>
      <c r="C490" s="12" t="s">
        <v>3691</v>
      </c>
      <c r="D490" s="12" t="s">
        <v>118</v>
      </c>
      <c r="E490" s="12" t="n">
        <v>2</v>
      </c>
      <c r="F490" s="12" t="s">
        <v>2314</v>
      </c>
      <c r="G490" s="12" t="s">
        <v>2310</v>
      </c>
      <c r="H490" s="17"/>
      <c r="I490" s="17"/>
      <c r="J490" s="13" t="n">
        <v>76242</v>
      </c>
      <c r="K490" s="12" t="n">
        <v>6.8</v>
      </c>
      <c r="L490" s="12" t="s">
        <v>169</v>
      </c>
      <c r="M490" s="12" t="s">
        <v>3692</v>
      </c>
    </row>
    <row r="491" customFormat="false" ht="15" hidden="false" customHeight="false" outlineLevel="0" collapsed="false">
      <c r="A491" s="12" t="s">
        <v>2306</v>
      </c>
      <c r="B491" s="12" t="s">
        <v>3693</v>
      </c>
      <c r="C491" s="12" t="s">
        <v>3694</v>
      </c>
      <c r="D491" s="12" t="s">
        <v>251</v>
      </c>
      <c r="E491" s="12" t="n">
        <v>2</v>
      </c>
      <c r="F491" s="12" t="s">
        <v>2387</v>
      </c>
      <c r="G491" s="12" t="s">
        <v>2310</v>
      </c>
      <c r="H491" s="13" t="n">
        <v>1955150</v>
      </c>
      <c r="I491" s="17"/>
      <c r="J491" s="13" t="n">
        <v>51627</v>
      </c>
      <c r="K491" s="12" t="n">
        <v>5.5</v>
      </c>
      <c r="L491" s="12" t="s">
        <v>92</v>
      </c>
      <c r="M491" s="12" t="s">
        <v>3695</v>
      </c>
    </row>
    <row r="492" customFormat="false" ht="15" hidden="false" customHeight="false" outlineLevel="0" collapsed="false">
      <c r="A492" s="12" t="s">
        <v>2306</v>
      </c>
      <c r="B492" s="12" t="s">
        <v>3696</v>
      </c>
      <c r="C492" s="12" t="s">
        <v>3697</v>
      </c>
      <c r="D492" s="12" t="s">
        <v>111</v>
      </c>
      <c r="E492" s="12" t="n">
        <v>2</v>
      </c>
      <c r="F492" s="12" t="s">
        <v>2309</v>
      </c>
      <c r="G492" s="12" t="s">
        <v>2310</v>
      </c>
      <c r="H492" s="17"/>
      <c r="I492" s="17"/>
      <c r="J492" s="13" t="n">
        <v>76197</v>
      </c>
      <c r="K492" s="12" t="n">
        <v>6.9</v>
      </c>
      <c r="L492" s="12" t="s">
        <v>128</v>
      </c>
      <c r="M492" s="12" t="s">
        <v>3698</v>
      </c>
    </row>
    <row r="493" customFormat="false" ht="15" hidden="false" customHeight="false" outlineLevel="0" collapsed="false">
      <c r="A493" s="12" t="s">
        <v>2306</v>
      </c>
      <c r="B493" s="12" t="s">
        <v>3699</v>
      </c>
      <c r="C493" s="12" t="s">
        <v>3699</v>
      </c>
      <c r="D493" s="12" t="s">
        <v>189</v>
      </c>
      <c r="E493" s="12" t="n">
        <v>2</v>
      </c>
      <c r="F493" s="12" t="s">
        <v>2314</v>
      </c>
      <c r="G493" s="12" t="s">
        <v>2310</v>
      </c>
      <c r="H493" s="17"/>
      <c r="I493" s="17"/>
      <c r="J493" s="13" t="n">
        <v>75976</v>
      </c>
      <c r="K493" s="12" t="n">
        <v>6.2</v>
      </c>
      <c r="L493" s="12" t="s">
        <v>169</v>
      </c>
      <c r="M493" s="12" t="s">
        <v>3700</v>
      </c>
    </row>
    <row r="494" customFormat="false" ht="15" hidden="false" customHeight="false" outlineLevel="0" collapsed="false">
      <c r="A494" s="12" t="s">
        <v>2306</v>
      </c>
      <c r="B494" s="12" t="s">
        <v>3701</v>
      </c>
      <c r="C494" s="12" t="s">
        <v>3702</v>
      </c>
      <c r="D494" s="12" t="s">
        <v>175</v>
      </c>
      <c r="E494" s="12" t="n">
        <v>2</v>
      </c>
      <c r="F494" s="12" t="s">
        <v>2314</v>
      </c>
      <c r="G494" s="12" t="s">
        <v>2310</v>
      </c>
      <c r="H494" s="17"/>
      <c r="I494" s="17"/>
      <c r="J494" s="13" t="n">
        <v>75687</v>
      </c>
      <c r="K494" s="12" t="n">
        <v>6</v>
      </c>
      <c r="L494" s="12" t="s">
        <v>169</v>
      </c>
      <c r="M494" s="12" t="s">
        <v>3703</v>
      </c>
    </row>
    <row r="495" customFormat="false" ht="15" hidden="false" customHeight="false" outlineLevel="0" collapsed="false">
      <c r="A495" s="12" t="s">
        <v>2306</v>
      </c>
      <c r="B495" s="12" t="s">
        <v>3704</v>
      </c>
      <c r="C495" s="12" t="s">
        <v>3705</v>
      </c>
      <c r="D495" s="12" t="s">
        <v>118</v>
      </c>
      <c r="E495" s="12" t="n">
        <v>2</v>
      </c>
      <c r="F495" s="12" t="s">
        <v>2314</v>
      </c>
      <c r="G495" s="12" t="s">
        <v>2310</v>
      </c>
      <c r="H495" s="17"/>
      <c r="I495" s="17"/>
      <c r="J495" s="13" t="n">
        <v>75368</v>
      </c>
      <c r="K495" s="12" t="n">
        <v>6.5</v>
      </c>
      <c r="L495" s="12" t="s">
        <v>169</v>
      </c>
      <c r="M495" s="12" t="s">
        <v>3706</v>
      </c>
    </row>
    <row r="496" customFormat="false" ht="15" hidden="false" customHeight="false" outlineLevel="0" collapsed="false">
      <c r="A496" s="12" t="s">
        <v>2306</v>
      </c>
      <c r="B496" s="12" t="s">
        <v>3707</v>
      </c>
      <c r="C496" s="12" t="s">
        <v>3708</v>
      </c>
      <c r="D496" s="12" t="s">
        <v>505</v>
      </c>
      <c r="E496" s="12" t="n">
        <v>2</v>
      </c>
      <c r="F496" s="12" t="s">
        <v>2314</v>
      </c>
      <c r="G496" s="12" t="s">
        <v>2310</v>
      </c>
      <c r="H496" s="17"/>
      <c r="I496" s="17"/>
      <c r="J496" s="13" t="n">
        <v>75228</v>
      </c>
      <c r="K496" s="12" t="n">
        <v>6.6</v>
      </c>
      <c r="L496" s="12" t="s">
        <v>169</v>
      </c>
      <c r="M496" s="12" t="s">
        <v>3709</v>
      </c>
    </row>
    <row r="497" customFormat="false" ht="15" hidden="false" customHeight="false" outlineLevel="0" collapsed="false">
      <c r="A497" s="12" t="s">
        <v>2306</v>
      </c>
      <c r="B497" s="12" t="s">
        <v>3710</v>
      </c>
      <c r="C497" s="12" t="s">
        <v>3711</v>
      </c>
      <c r="D497" s="12" t="s">
        <v>118</v>
      </c>
      <c r="E497" s="12" t="n">
        <v>2</v>
      </c>
      <c r="F497" s="12" t="s">
        <v>2688</v>
      </c>
      <c r="G497" s="12" t="s">
        <v>2310</v>
      </c>
      <c r="H497" s="17"/>
      <c r="I497" s="17"/>
      <c r="J497" s="13" t="n">
        <v>75114</v>
      </c>
      <c r="K497" s="12" t="n">
        <v>6.7</v>
      </c>
      <c r="L497" s="12" t="s">
        <v>674</v>
      </c>
      <c r="M497" s="12" t="s">
        <v>3712</v>
      </c>
    </row>
    <row r="498" customFormat="false" ht="15" hidden="false" customHeight="false" outlineLevel="0" collapsed="false">
      <c r="A498" s="12" t="s">
        <v>2306</v>
      </c>
      <c r="B498" s="12" t="s">
        <v>602</v>
      </c>
      <c r="D498" s="12" t="s">
        <v>265</v>
      </c>
      <c r="E498" s="12" t="n">
        <v>2</v>
      </c>
      <c r="F498" s="12" t="s">
        <v>2387</v>
      </c>
      <c r="G498" s="12" t="s">
        <v>2310</v>
      </c>
      <c r="H498" s="13" t="n">
        <v>2264563</v>
      </c>
      <c r="I498" s="17"/>
      <c r="J498" s="13" t="n">
        <v>19338</v>
      </c>
      <c r="K498" s="12" t="n">
        <v>5.8</v>
      </c>
      <c r="L498" s="12" t="s">
        <v>92</v>
      </c>
      <c r="M498" s="12" t="s">
        <v>3713</v>
      </c>
    </row>
    <row r="499" customFormat="false" ht="15" hidden="false" customHeight="false" outlineLevel="0" collapsed="false">
      <c r="A499" s="12" t="s">
        <v>2306</v>
      </c>
      <c r="B499" s="12" t="s">
        <v>3714</v>
      </c>
      <c r="C499" s="12" t="s">
        <v>3715</v>
      </c>
      <c r="D499" s="12" t="s">
        <v>189</v>
      </c>
      <c r="E499" s="12" t="n">
        <v>2</v>
      </c>
      <c r="F499" s="12" t="s">
        <v>2314</v>
      </c>
      <c r="G499" s="12" t="s">
        <v>2310</v>
      </c>
      <c r="H499" s="17"/>
      <c r="I499" s="17"/>
      <c r="J499" s="13" t="n">
        <v>74946</v>
      </c>
      <c r="K499" s="12" t="n">
        <v>6.7</v>
      </c>
      <c r="L499" s="12" t="s">
        <v>169</v>
      </c>
      <c r="M499" s="12" t="s">
        <v>3716</v>
      </c>
    </row>
    <row r="500" customFormat="false" ht="15" hidden="false" customHeight="false" outlineLevel="0" collapsed="false">
      <c r="A500" s="12" t="s">
        <v>2306</v>
      </c>
      <c r="B500" s="12" t="s">
        <v>3717</v>
      </c>
      <c r="C500" s="12" t="s">
        <v>3718</v>
      </c>
      <c r="D500" s="12" t="s">
        <v>251</v>
      </c>
      <c r="E500" s="12" t="n">
        <v>2</v>
      </c>
      <c r="F500" s="12" t="s">
        <v>2314</v>
      </c>
      <c r="G500" s="12" t="s">
        <v>2310</v>
      </c>
      <c r="H500" s="17"/>
      <c r="I500" s="17"/>
      <c r="J500" s="13" t="n">
        <v>74646</v>
      </c>
      <c r="K500" s="12" t="n">
        <v>6.4</v>
      </c>
      <c r="L500" s="12" t="s">
        <v>169</v>
      </c>
      <c r="M500" s="12" t="s">
        <v>3719</v>
      </c>
    </row>
    <row r="501" customFormat="false" ht="15" hidden="false" customHeight="false" outlineLevel="0" collapsed="false">
      <c r="A501" s="12" t="s">
        <v>2306</v>
      </c>
      <c r="B501" s="12" t="s">
        <v>3720</v>
      </c>
      <c r="C501" s="12" t="s">
        <v>3720</v>
      </c>
      <c r="D501" s="12" t="s">
        <v>118</v>
      </c>
      <c r="E501" s="12" t="n">
        <v>2</v>
      </c>
      <c r="F501" s="12" t="s">
        <v>2688</v>
      </c>
      <c r="G501" s="12" t="s">
        <v>2310</v>
      </c>
      <c r="H501" s="17"/>
      <c r="I501" s="17"/>
      <c r="J501" s="13" t="n">
        <v>74565</v>
      </c>
      <c r="K501" s="12" t="n">
        <v>5.5</v>
      </c>
      <c r="L501" s="12" t="s">
        <v>674</v>
      </c>
      <c r="M501" s="12" t="s">
        <v>3721</v>
      </c>
    </row>
    <row r="502" customFormat="false" ht="15" hidden="false" customHeight="false" outlineLevel="0" collapsed="false">
      <c r="A502" s="12" t="s">
        <v>2306</v>
      </c>
      <c r="B502" s="12" t="s">
        <v>3722</v>
      </c>
      <c r="C502" s="12" t="s">
        <v>3723</v>
      </c>
      <c r="D502" s="12" t="s">
        <v>175</v>
      </c>
      <c r="E502" s="12" t="n">
        <v>2</v>
      </c>
      <c r="F502" s="12" t="s">
        <v>2314</v>
      </c>
      <c r="G502" s="12" t="s">
        <v>2310</v>
      </c>
      <c r="H502" s="17"/>
      <c r="I502" s="17"/>
      <c r="J502" s="13" t="n">
        <v>74297</v>
      </c>
      <c r="K502" s="12" t="n">
        <v>6.7</v>
      </c>
      <c r="L502" s="12" t="s">
        <v>169</v>
      </c>
      <c r="M502" s="12" t="s">
        <v>3724</v>
      </c>
    </row>
    <row r="503" customFormat="false" ht="15" hidden="false" customHeight="false" outlineLevel="0" collapsed="false">
      <c r="A503" s="12" t="s">
        <v>2306</v>
      </c>
      <c r="B503" s="12" t="s">
        <v>3725</v>
      </c>
      <c r="C503" s="12" t="s">
        <v>3726</v>
      </c>
      <c r="D503" s="12" t="s">
        <v>505</v>
      </c>
      <c r="E503" s="12" t="n">
        <v>2</v>
      </c>
      <c r="F503" s="12" t="s">
        <v>2314</v>
      </c>
      <c r="G503" s="12" t="s">
        <v>2310</v>
      </c>
      <c r="H503" s="17"/>
      <c r="I503" s="17"/>
      <c r="J503" s="13" t="n">
        <v>74266</v>
      </c>
      <c r="K503" s="12" t="n">
        <v>6.6</v>
      </c>
      <c r="L503" s="12" t="s">
        <v>169</v>
      </c>
      <c r="M503" s="12" t="s">
        <v>3727</v>
      </c>
    </row>
    <row r="504" customFormat="false" ht="15" hidden="false" customHeight="false" outlineLevel="0" collapsed="false">
      <c r="A504" s="12" t="s">
        <v>2306</v>
      </c>
      <c r="B504" s="12" t="s">
        <v>3728</v>
      </c>
      <c r="C504" s="12" t="s">
        <v>3729</v>
      </c>
      <c r="D504" s="12" t="s">
        <v>118</v>
      </c>
      <c r="E504" s="12" t="n">
        <v>2</v>
      </c>
      <c r="F504" s="12" t="s">
        <v>2688</v>
      </c>
      <c r="G504" s="12" t="s">
        <v>2310</v>
      </c>
      <c r="H504" s="17"/>
      <c r="I504" s="17"/>
      <c r="J504" s="13" t="n">
        <v>73890</v>
      </c>
      <c r="K504" s="12" t="n">
        <v>5.5</v>
      </c>
      <c r="L504" s="12" t="s">
        <v>674</v>
      </c>
      <c r="M504" s="12" t="s">
        <v>3730</v>
      </c>
    </row>
    <row r="505" customFormat="false" ht="15" hidden="false" customHeight="false" outlineLevel="0" collapsed="false">
      <c r="A505" s="12" t="s">
        <v>2306</v>
      </c>
      <c r="B505" s="12" t="s">
        <v>3731</v>
      </c>
      <c r="C505" s="12" t="s">
        <v>3731</v>
      </c>
      <c r="D505" s="12" t="s">
        <v>1103</v>
      </c>
      <c r="E505" s="12" t="n">
        <v>2</v>
      </c>
      <c r="F505" s="12" t="s">
        <v>2314</v>
      </c>
      <c r="G505" s="12" t="s">
        <v>2310</v>
      </c>
      <c r="H505" s="17"/>
      <c r="I505" s="17"/>
      <c r="J505" s="13" t="n">
        <v>73549</v>
      </c>
      <c r="K505" s="12" t="n">
        <v>6.7</v>
      </c>
      <c r="L505" s="12" t="s">
        <v>169</v>
      </c>
      <c r="M505" s="12" t="s">
        <v>3732</v>
      </c>
    </row>
    <row r="506" customFormat="false" ht="15" hidden="false" customHeight="false" outlineLevel="0" collapsed="false">
      <c r="A506" s="12" t="s">
        <v>2306</v>
      </c>
      <c r="B506" s="12" t="s">
        <v>3733</v>
      </c>
      <c r="C506" s="12" t="s">
        <v>3734</v>
      </c>
      <c r="D506" s="12" t="s">
        <v>265</v>
      </c>
      <c r="E506" s="12" t="n">
        <v>2</v>
      </c>
      <c r="F506" s="12" t="s">
        <v>2387</v>
      </c>
      <c r="G506" s="12" t="s">
        <v>2310</v>
      </c>
      <c r="H506" s="13" t="n">
        <v>1634871</v>
      </c>
      <c r="I506" s="17"/>
      <c r="J506" s="13" t="n">
        <v>69210</v>
      </c>
      <c r="K506" s="12" t="n">
        <v>5.5</v>
      </c>
      <c r="L506" s="12" t="s">
        <v>92</v>
      </c>
      <c r="M506" s="12" t="s">
        <v>3735</v>
      </c>
    </row>
    <row r="507" customFormat="false" ht="15" hidden="false" customHeight="false" outlineLevel="0" collapsed="false">
      <c r="A507" s="12" t="s">
        <v>2306</v>
      </c>
      <c r="B507" s="12" t="s">
        <v>3736</v>
      </c>
      <c r="C507" s="12" t="s">
        <v>3737</v>
      </c>
      <c r="D507" s="12" t="s">
        <v>251</v>
      </c>
      <c r="E507" s="12" t="n">
        <v>2</v>
      </c>
      <c r="F507" s="12" t="s">
        <v>2314</v>
      </c>
      <c r="G507" s="12" t="s">
        <v>2310</v>
      </c>
      <c r="H507" s="17"/>
      <c r="I507" s="17"/>
      <c r="J507" s="13" t="n">
        <v>73138</v>
      </c>
      <c r="K507" s="12" t="n">
        <v>6.5</v>
      </c>
      <c r="L507" s="12" t="s">
        <v>169</v>
      </c>
      <c r="M507" s="12" t="s">
        <v>3738</v>
      </c>
    </row>
    <row r="508" customFormat="false" ht="15" hidden="false" customHeight="false" outlineLevel="0" collapsed="false">
      <c r="A508" s="12" t="s">
        <v>2306</v>
      </c>
      <c r="B508" s="12" t="s">
        <v>3739</v>
      </c>
      <c r="C508" s="12" t="s">
        <v>3740</v>
      </c>
      <c r="D508" s="12" t="s">
        <v>90</v>
      </c>
      <c r="E508" s="12" t="n">
        <v>2</v>
      </c>
      <c r="F508" s="12" t="s">
        <v>2314</v>
      </c>
      <c r="G508" s="12" t="s">
        <v>2310</v>
      </c>
      <c r="H508" s="17"/>
      <c r="I508" s="17"/>
      <c r="J508" s="13" t="n">
        <v>72924</v>
      </c>
      <c r="K508" s="12" t="n">
        <v>7.5</v>
      </c>
      <c r="L508" s="12" t="s">
        <v>169</v>
      </c>
      <c r="M508" s="12" t="s">
        <v>3741</v>
      </c>
    </row>
    <row r="509" customFormat="false" ht="15" hidden="false" customHeight="false" outlineLevel="0" collapsed="false">
      <c r="A509" s="12" t="s">
        <v>2306</v>
      </c>
      <c r="B509" s="12" t="s">
        <v>3742</v>
      </c>
      <c r="C509" s="12" t="s">
        <v>3743</v>
      </c>
      <c r="D509" s="12" t="s">
        <v>118</v>
      </c>
      <c r="E509" s="12" t="n">
        <v>2</v>
      </c>
      <c r="F509" s="12" t="s">
        <v>2688</v>
      </c>
      <c r="G509" s="12" t="s">
        <v>2310</v>
      </c>
      <c r="H509" s="17"/>
      <c r="I509" s="17"/>
      <c r="J509" s="13" t="n">
        <v>72170</v>
      </c>
      <c r="K509" s="12" t="n">
        <v>4.7</v>
      </c>
      <c r="L509" s="12" t="s">
        <v>674</v>
      </c>
      <c r="M509" s="12" t="s">
        <v>3744</v>
      </c>
    </row>
    <row r="510" customFormat="false" ht="15" hidden="false" customHeight="false" outlineLevel="0" collapsed="false">
      <c r="A510" s="12" t="s">
        <v>2306</v>
      </c>
      <c r="B510" s="12" t="s">
        <v>3745</v>
      </c>
      <c r="C510" s="12" t="s">
        <v>3746</v>
      </c>
      <c r="D510" s="12" t="s">
        <v>202</v>
      </c>
      <c r="E510" s="12" t="n">
        <v>2</v>
      </c>
      <c r="F510" s="12" t="s">
        <v>2387</v>
      </c>
      <c r="G510" s="12" t="s">
        <v>2310</v>
      </c>
      <c r="H510" s="13" t="n">
        <v>2735546</v>
      </c>
      <c r="I510" s="17"/>
      <c r="J510" s="13" t="n">
        <v>1528</v>
      </c>
      <c r="K510" s="12" t="n">
        <v>5.8</v>
      </c>
      <c r="L510" s="12" t="s">
        <v>92</v>
      </c>
      <c r="M510" s="12" t="s">
        <v>3747</v>
      </c>
    </row>
    <row r="511" customFormat="false" ht="15" hidden="false" customHeight="false" outlineLevel="0" collapsed="false">
      <c r="A511" s="12" t="s">
        <v>2306</v>
      </c>
      <c r="B511" s="12" t="s">
        <v>3748</v>
      </c>
      <c r="C511" s="12" t="s">
        <v>3749</v>
      </c>
      <c r="D511" s="12" t="s">
        <v>118</v>
      </c>
      <c r="E511" s="12" t="n">
        <v>2</v>
      </c>
      <c r="F511" s="12" t="s">
        <v>2314</v>
      </c>
      <c r="G511" s="12" t="s">
        <v>2310</v>
      </c>
      <c r="H511" s="17"/>
      <c r="I511" s="17"/>
      <c r="J511" s="13" t="n">
        <v>71789</v>
      </c>
      <c r="K511" s="12" t="n">
        <v>7.2</v>
      </c>
      <c r="L511" s="12" t="s">
        <v>169</v>
      </c>
      <c r="M511" s="12" t="s">
        <v>3750</v>
      </c>
    </row>
    <row r="512" customFormat="false" ht="15" hidden="false" customHeight="false" outlineLevel="0" collapsed="false">
      <c r="A512" s="12" t="s">
        <v>2306</v>
      </c>
      <c r="B512" s="12" t="s">
        <v>3751</v>
      </c>
      <c r="C512" s="12" t="s">
        <v>3752</v>
      </c>
      <c r="D512" s="12" t="s">
        <v>505</v>
      </c>
      <c r="E512" s="12" t="n">
        <v>2</v>
      </c>
      <c r="F512" s="12" t="s">
        <v>2314</v>
      </c>
      <c r="G512" s="12" t="s">
        <v>2310</v>
      </c>
      <c r="H512" s="17"/>
      <c r="I512" s="17"/>
      <c r="J512" s="13" t="n">
        <v>71671</v>
      </c>
      <c r="K512" s="12" t="n">
        <v>6</v>
      </c>
      <c r="L512" s="12" t="s">
        <v>169</v>
      </c>
      <c r="M512" s="12" t="s">
        <v>3753</v>
      </c>
    </row>
    <row r="513" customFormat="false" ht="15" hidden="false" customHeight="false" outlineLevel="0" collapsed="false">
      <c r="A513" s="12" t="s">
        <v>2306</v>
      </c>
      <c r="B513" s="12" t="s">
        <v>3754</v>
      </c>
      <c r="C513" s="12" t="s">
        <v>3755</v>
      </c>
      <c r="D513" s="12" t="s">
        <v>175</v>
      </c>
      <c r="E513" s="12" t="n">
        <v>2</v>
      </c>
      <c r="F513" s="12" t="s">
        <v>2314</v>
      </c>
      <c r="G513" s="12" t="s">
        <v>2310</v>
      </c>
      <c r="H513" s="17"/>
      <c r="I513" s="17"/>
      <c r="J513" s="13" t="n">
        <v>71157</v>
      </c>
      <c r="K513" s="12" t="n">
        <v>6.5</v>
      </c>
      <c r="L513" s="12" t="s">
        <v>169</v>
      </c>
      <c r="M513" s="12" t="s">
        <v>3756</v>
      </c>
    </row>
    <row r="514" customFormat="false" ht="15" hidden="false" customHeight="false" outlineLevel="0" collapsed="false">
      <c r="A514" s="12" t="s">
        <v>2306</v>
      </c>
      <c r="B514" s="12" t="s">
        <v>3757</v>
      </c>
      <c r="C514" s="12" t="s">
        <v>3758</v>
      </c>
      <c r="D514" s="12" t="s">
        <v>500</v>
      </c>
      <c r="E514" s="12" t="n">
        <v>2</v>
      </c>
      <c r="F514" s="12" t="s">
        <v>2387</v>
      </c>
      <c r="G514" s="12" t="s">
        <v>2310</v>
      </c>
      <c r="H514" s="13" t="n">
        <v>1470877</v>
      </c>
      <c r="I514" s="17"/>
      <c r="J514" s="13" t="n">
        <v>73342</v>
      </c>
      <c r="K514" s="12" t="n">
        <v>6.5</v>
      </c>
      <c r="L514" s="12" t="s">
        <v>92</v>
      </c>
      <c r="M514" s="12" t="s">
        <v>3759</v>
      </c>
    </row>
    <row r="515" customFormat="false" ht="15" hidden="false" customHeight="false" outlineLevel="0" collapsed="false">
      <c r="A515" s="12" t="s">
        <v>2306</v>
      </c>
      <c r="B515" s="12" t="s">
        <v>3760</v>
      </c>
      <c r="D515" s="12" t="s">
        <v>207</v>
      </c>
      <c r="E515" s="12" t="n">
        <v>2</v>
      </c>
      <c r="F515" s="12" t="s">
        <v>2387</v>
      </c>
      <c r="G515" s="12" t="s">
        <v>2310</v>
      </c>
      <c r="H515" s="13" t="n">
        <v>2911611</v>
      </c>
      <c r="I515" s="17"/>
      <c r="J515" s="13" t="n">
        <v>843</v>
      </c>
      <c r="K515" s="12" t="n">
        <v>6.1</v>
      </c>
      <c r="L515" s="12" t="s">
        <v>92</v>
      </c>
      <c r="M515" s="12" t="s">
        <v>3761</v>
      </c>
    </row>
    <row r="516" customFormat="false" ht="15" hidden="false" customHeight="false" outlineLevel="0" collapsed="false">
      <c r="A516" s="12" t="s">
        <v>2306</v>
      </c>
      <c r="B516" s="12" t="s">
        <v>3762</v>
      </c>
      <c r="C516" s="12" t="s">
        <v>3763</v>
      </c>
      <c r="D516" s="12" t="s">
        <v>505</v>
      </c>
      <c r="E516" s="12" t="n">
        <v>2</v>
      </c>
      <c r="F516" s="12" t="s">
        <v>2314</v>
      </c>
      <c r="G516" s="12" t="s">
        <v>2310</v>
      </c>
      <c r="H516" s="17"/>
      <c r="I516" s="17"/>
      <c r="J516" s="13" t="n">
        <v>70748</v>
      </c>
      <c r="K516" s="12" t="n">
        <v>8.3</v>
      </c>
      <c r="L516" s="12" t="s">
        <v>169</v>
      </c>
      <c r="M516" s="12" t="s">
        <v>3764</v>
      </c>
    </row>
    <row r="517" customFormat="false" ht="15" hidden="false" customHeight="false" outlineLevel="0" collapsed="false">
      <c r="A517" s="12" t="s">
        <v>2306</v>
      </c>
      <c r="B517" s="12" t="s">
        <v>3765</v>
      </c>
      <c r="D517" s="12" t="s">
        <v>265</v>
      </c>
      <c r="E517" s="12" t="n">
        <v>1</v>
      </c>
      <c r="F517" s="12" t="s">
        <v>2404</v>
      </c>
      <c r="G517" s="12" t="s">
        <v>2405</v>
      </c>
      <c r="H517" s="13" t="n">
        <v>1385953</v>
      </c>
      <c r="I517" s="17"/>
      <c r="J517" s="17"/>
      <c r="L517" s="12" t="s">
        <v>92</v>
      </c>
    </row>
    <row r="518" customFormat="false" ht="15" hidden="false" customHeight="false" outlineLevel="0" collapsed="false">
      <c r="A518" s="12" t="s">
        <v>2306</v>
      </c>
      <c r="B518" s="12" t="s">
        <v>3766</v>
      </c>
      <c r="C518" s="12" t="s">
        <v>3767</v>
      </c>
      <c r="D518" s="12" t="s">
        <v>140</v>
      </c>
      <c r="E518" s="12" t="n">
        <v>2</v>
      </c>
      <c r="F518" s="12" t="s">
        <v>2387</v>
      </c>
      <c r="G518" s="12" t="s">
        <v>2310</v>
      </c>
      <c r="H518" s="13" t="n">
        <v>2601265</v>
      </c>
      <c r="I518" s="17"/>
      <c r="J518" s="13" t="n">
        <v>2219</v>
      </c>
      <c r="K518" s="12" t="n">
        <v>5.7</v>
      </c>
      <c r="L518" s="12" t="s">
        <v>92</v>
      </c>
      <c r="M518" s="12" t="s">
        <v>3768</v>
      </c>
    </row>
    <row r="519" customFormat="false" ht="15" hidden="false" customHeight="false" outlineLevel="0" collapsed="false">
      <c r="A519" s="12" t="s">
        <v>2306</v>
      </c>
      <c r="B519" s="12" t="s">
        <v>3769</v>
      </c>
      <c r="C519" s="12" t="s">
        <v>3770</v>
      </c>
      <c r="D519" s="12" t="s">
        <v>146</v>
      </c>
      <c r="E519" s="12" t="n">
        <v>2</v>
      </c>
      <c r="F519" s="12" t="s">
        <v>2387</v>
      </c>
      <c r="G519" s="12" t="s">
        <v>2310</v>
      </c>
      <c r="H519" s="13" t="n">
        <v>1159520</v>
      </c>
      <c r="I519" s="17"/>
      <c r="J519" s="13" t="n">
        <v>104685</v>
      </c>
      <c r="K519" s="12" t="n">
        <v>6.7</v>
      </c>
      <c r="L519" s="12" t="s">
        <v>92</v>
      </c>
      <c r="M519" s="12" t="s">
        <v>3771</v>
      </c>
    </row>
    <row r="520" customFormat="false" ht="15" hidden="false" customHeight="false" outlineLevel="0" collapsed="false">
      <c r="A520" s="12" t="s">
        <v>2306</v>
      </c>
      <c r="B520" s="12" t="s">
        <v>3772</v>
      </c>
      <c r="C520" s="12" t="s">
        <v>3773</v>
      </c>
      <c r="D520" s="12" t="s">
        <v>1103</v>
      </c>
      <c r="E520" s="12" t="n">
        <v>2</v>
      </c>
      <c r="F520" s="12" t="s">
        <v>2314</v>
      </c>
      <c r="G520" s="12" t="s">
        <v>2310</v>
      </c>
      <c r="H520" s="17"/>
      <c r="I520" s="17"/>
      <c r="J520" s="13" t="n">
        <v>70043</v>
      </c>
      <c r="K520" s="12" t="n">
        <v>5.3</v>
      </c>
      <c r="L520" s="12" t="s">
        <v>169</v>
      </c>
      <c r="M520" s="12" t="s">
        <v>3774</v>
      </c>
    </row>
    <row r="521" customFormat="false" ht="15" hidden="false" customHeight="false" outlineLevel="0" collapsed="false">
      <c r="A521" s="12" t="s">
        <v>2306</v>
      </c>
      <c r="B521" s="12" t="s">
        <v>3775</v>
      </c>
      <c r="C521" s="12" t="s">
        <v>3776</v>
      </c>
      <c r="D521" s="12" t="s">
        <v>90</v>
      </c>
      <c r="E521" s="12" t="n">
        <v>2</v>
      </c>
      <c r="F521" s="12" t="s">
        <v>2314</v>
      </c>
      <c r="G521" s="12" t="s">
        <v>2310</v>
      </c>
      <c r="H521" s="17"/>
      <c r="I521" s="17"/>
      <c r="J521" s="13" t="n">
        <v>69510</v>
      </c>
      <c r="K521" s="12" t="n">
        <v>5.7</v>
      </c>
      <c r="L521" s="12" t="s">
        <v>169</v>
      </c>
      <c r="M521" s="12" t="s">
        <v>3777</v>
      </c>
    </row>
    <row r="522" customFormat="false" ht="15" hidden="false" customHeight="false" outlineLevel="0" collapsed="false">
      <c r="A522" s="12" t="s">
        <v>2306</v>
      </c>
      <c r="B522" s="12" t="s">
        <v>3778</v>
      </c>
      <c r="C522" s="12" t="s">
        <v>3779</v>
      </c>
      <c r="D522" s="12" t="s">
        <v>146</v>
      </c>
      <c r="E522" s="12" t="n">
        <v>2</v>
      </c>
      <c r="F522" s="12" t="s">
        <v>2387</v>
      </c>
      <c r="G522" s="12" t="s">
        <v>2310</v>
      </c>
      <c r="H522" s="13" t="n">
        <v>1181635</v>
      </c>
      <c r="I522" s="17"/>
      <c r="J522" s="13" t="n">
        <v>102751</v>
      </c>
      <c r="K522" s="12" t="n">
        <v>5.9</v>
      </c>
      <c r="L522" s="12" t="s">
        <v>92</v>
      </c>
      <c r="M522" s="12" t="s">
        <v>3780</v>
      </c>
    </row>
    <row r="523" customFormat="false" ht="15" hidden="false" customHeight="false" outlineLevel="0" collapsed="false">
      <c r="A523" s="12" t="s">
        <v>2306</v>
      </c>
      <c r="B523" s="12" t="s">
        <v>3781</v>
      </c>
      <c r="C523" s="12" t="s">
        <v>3782</v>
      </c>
      <c r="D523" s="12" t="s">
        <v>505</v>
      </c>
      <c r="E523" s="12" t="n">
        <v>2</v>
      </c>
      <c r="F523" s="12" t="s">
        <v>2314</v>
      </c>
      <c r="G523" s="12" t="s">
        <v>2310</v>
      </c>
      <c r="H523" s="17"/>
      <c r="I523" s="17"/>
      <c r="J523" s="13" t="n">
        <v>69447</v>
      </c>
      <c r="K523" s="12" t="n">
        <v>6.9</v>
      </c>
      <c r="L523" s="12" t="s">
        <v>169</v>
      </c>
      <c r="M523" s="12" t="s">
        <v>3783</v>
      </c>
    </row>
    <row r="524" customFormat="false" ht="15" hidden="false" customHeight="false" outlineLevel="0" collapsed="false">
      <c r="A524" s="12" t="s">
        <v>2306</v>
      </c>
      <c r="B524" s="12" t="s">
        <v>3784</v>
      </c>
      <c r="C524" s="12" t="s">
        <v>3785</v>
      </c>
      <c r="D524" s="12" t="s">
        <v>146</v>
      </c>
      <c r="E524" s="12" t="n">
        <v>2</v>
      </c>
      <c r="F524" s="12" t="s">
        <v>2563</v>
      </c>
      <c r="G524" s="12" t="s">
        <v>2310</v>
      </c>
      <c r="H524" s="17"/>
      <c r="I524" s="13" t="n">
        <v>459242249</v>
      </c>
      <c r="J524" s="13" t="n">
        <v>270023</v>
      </c>
      <c r="K524" s="12" t="n">
        <v>6.5</v>
      </c>
      <c r="L524" s="12" t="s">
        <v>92</v>
      </c>
      <c r="M524" s="12" t="s">
        <v>3786</v>
      </c>
    </row>
    <row r="525" customFormat="false" ht="15" hidden="false" customHeight="false" outlineLevel="0" collapsed="false">
      <c r="A525" s="12" t="s">
        <v>2306</v>
      </c>
      <c r="B525" s="12" t="s">
        <v>3787</v>
      </c>
      <c r="C525" s="12" t="s">
        <v>3788</v>
      </c>
      <c r="D525" s="12" t="s">
        <v>505</v>
      </c>
      <c r="E525" s="12" t="n">
        <v>2</v>
      </c>
      <c r="F525" s="12" t="s">
        <v>2314</v>
      </c>
      <c r="G525" s="12" t="s">
        <v>2310</v>
      </c>
      <c r="H525" s="17"/>
      <c r="I525" s="17"/>
      <c r="J525" s="13" t="n">
        <v>69081</v>
      </c>
      <c r="K525" s="12" t="n">
        <v>8.3</v>
      </c>
      <c r="L525" s="12" t="s">
        <v>169</v>
      </c>
      <c r="M525" s="12" t="s">
        <v>3789</v>
      </c>
    </row>
    <row r="526" customFormat="false" ht="15" hidden="false" customHeight="false" outlineLevel="0" collapsed="false">
      <c r="A526" s="12" t="s">
        <v>2306</v>
      </c>
      <c r="B526" s="12" t="s">
        <v>3790</v>
      </c>
      <c r="C526" s="12" t="s">
        <v>3791</v>
      </c>
      <c r="D526" s="12" t="s">
        <v>111</v>
      </c>
      <c r="E526" s="12" t="n">
        <v>2</v>
      </c>
      <c r="F526" s="12" t="s">
        <v>2387</v>
      </c>
      <c r="G526" s="12" t="s">
        <v>2310</v>
      </c>
      <c r="H526" s="13" t="n">
        <v>2604733</v>
      </c>
      <c r="I526" s="17"/>
      <c r="J526" s="13" t="n">
        <v>1655</v>
      </c>
      <c r="K526" s="12" t="n">
        <v>6</v>
      </c>
      <c r="L526" s="12" t="s">
        <v>92</v>
      </c>
      <c r="M526" s="12" t="s">
        <v>3792</v>
      </c>
    </row>
    <row r="527" customFormat="false" ht="15" hidden="false" customHeight="false" outlineLevel="0" collapsed="false">
      <c r="A527" s="12" t="s">
        <v>2306</v>
      </c>
      <c r="B527" s="12" t="s">
        <v>3793</v>
      </c>
      <c r="C527" s="12" t="s">
        <v>3794</v>
      </c>
      <c r="D527" s="12" t="s">
        <v>207</v>
      </c>
      <c r="E527" s="12" t="n">
        <v>2</v>
      </c>
      <c r="F527" s="12" t="s">
        <v>2314</v>
      </c>
      <c r="G527" s="12" t="s">
        <v>2310</v>
      </c>
      <c r="H527" s="17"/>
      <c r="I527" s="17"/>
      <c r="J527" s="13" t="n">
        <v>68695</v>
      </c>
      <c r="K527" s="12" t="n">
        <v>7.1</v>
      </c>
      <c r="L527" s="12" t="s">
        <v>169</v>
      </c>
      <c r="M527" s="12" t="s">
        <v>3795</v>
      </c>
    </row>
    <row r="528" customFormat="false" ht="15" hidden="false" customHeight="false" outlineLevel="0" collapsed="false">
      <c r="A528" s="12" t="s">
        <v>2306</v>
      </c>
      <c r="B528" s="12" t="s">
        <v>3796</v>
      </c>
      <c r="C528" s="12" t="s">
        <v>3797</v>
      </c>
      <c r="D528" s="12" t="s">
        <v>273</v>
      </c>
      <c r="E528" s="12" t="n">
        <v>2</v>
      </c>
      <c r="F528" s="12" t="s">
        <v>2387</v>
      </c>
      <c r="G528" s="12" t="s">
        <v>2310</v>
      </c>
      <c r="H528" s="13" t="n">
        <v>1055910</v>
      </c>
      <c r="I528" s="17"/>
      <c r="J528" s="13" t="n">
        <v>109096</v>
      </c>
      <c r="K528" s="12" t="n">
        <v>6.7</v>
      </c>
      <c r="L528" s="12" t="s">
        <v>92</v>
      </c>
      <c r="M528" s="12" t="s">
        <v>3798</v>
      </c>
    </row>
    <row r="529" customFormat="false" ht="15" hidden="false" customHeight="false" outlineLevel="0" collapsed="false">
      <c r="A529" s="12" t="s">
        <v>2306</v>
      </c>
      <c r="B529" s="12" t="s">
        <v>3799</v>
      </c>
      <c r="C529" s="12" t="s">
        <v>3800</v>
      </c>
      <c r="D529" s="12" t="s">
        <v>118</v>
      </c>
      <c r="E529" s="12" t="n">
        <v>2</v>
      </c>
      <c r="F529" s="12" t="s">
        <v>2688</v>
      </c>
      <c r="G529" s="12" t="s">
        <v>2310</v>
      </c>
      <c r="H529" s="17"/>
      <c r="I529" s="17"/>
      <c r="J529" s="13" t="n">
        <v>68197</v>
      </c>
      <c r="K529" s="12" t="n">
        <v>5.9</v>
      </c>
      <c r="L529" s="12" t="s">
        <v>674</v>
      </c>
      <c r="M529" s="12" t="s">
        <v>3801</v>
      </c>
    </row>
    <row r="530" customFormat="false" ht="15" hidden="false" customHeight="false" outlineLevel="0" collapsed="false">
      <c r="A530" s="12" t="s">
        <v>2306</v>
      </c>
      <c r="B530" s="12" t="s">
        <v>3802</v>
      </c>
      <c r="C530" s="12" t="s">
        <v>3803</v>
      </c>
      <c r="D530" s="12" t="s">
        <v>134</v>
      </c>
      <c r="E530" s="12" t="n">
        <v>2</v>
      </c>
      <c r="F530" s="12" t="s">
        <v>2387</v>
      </c>
      <c r="G530" s="12" t="s">
        <v>2310</v>
      </c>
      <c r="H530" s="13" t="n">
        <v>2353646</v>
      </c>
      <c r="I530" s="17"/>
      <c r="J530" s="13" t="n">
        <v>4378</v>
      </c>
      <c r="K530" s="12" t="n">
        <v>6.3</v>
      </c>
      <c r="L530" s="12" t="s">
        <v>92</v>
      </c>
      <c r="M530" s="12" t="s">
        <v>3804</v>
      </c>
    </row>
    <row r="531" customFormat="false" ht="15" hidden="false" customHeight="false" outlineLevel="0" collapsed="false">
      <c r="A531" s="12" t="s">
        <v>2306</v>
      </c>
      <c r="B531" s="12" t="s">
        <v>3805</v>
      </c>
      <c r="C531" s="12" t="s">
        <v>3806</v>
      </c>
      <c r="D531" s="12" t="s">
        <v>505</v>
      </c>
      <c r="E531" s="12" t="n">
        <v>2</v>
      </c>
      <c r="F531" s="12" t="s">
        <v>2309</v>
      </c>
      <c r="G531" s="12" t="s">
        <v>2310</v>
      </c>
      <c r="H531" s="17"/>
      <c r="I531" s="17"/>
      <c r="J531" s="13" t="n">
        <v>68027</v>
      </c>
      <c r="K531" s="12" t="n">
        <v>7.5</v>
      </c>
      <c r="L531" s="12" t="s">
        <v>128</v>
      </c>
      <c r="M531" s="12" t="s">
        <v>3807</v>
      </c>
    </row>
    <row r="532" customFormat="false" ht="15" hidden="false" customHeight="false" outlineLevel="0" collapsed="false">
      <c r="A532" s="12" t="s">
        <v>2306</v>
      </c>
      <c r="C532" s="12" t="s">
        <v>3808</v>
      </c>
      <c r="D532" s="12" t="s">
        <v>101</v>
      </c>
      <c r="E532" s="12" t="n">
        <v>2</v>
      </c>
      <c r="F532" s="12" t="s">
        <v>2563</v>
      </c>
      <c r="G532" s="12" t="s">
        <v>2310</v>
      </c>
      <c r="H532" s="17"/>
      <c r="I532" s="13" t="n">
        <v>841674419</v>
      </c>
      <c r="J532" s="13" t="n">
        <v>3798</v>
      </c>
      <c r="K532" s="12" t="n">
        <v>6.9</v>
      </c>
      <c r="L532" s="12" t="s">
        <v>92</v>
      </c>
      <c r="M532" s="12" t="s">
        <v>3809</v>
      </c>
    </row>
    <row r="533" customFormat="false" ht="15" hidden="false" customHeight="false" outlineLevel="0" collapsed="false">
      <c r="A533" s="12" t="s">
        <v>2306</v>
      </c>
      <c r="B533" s="12" t="s">
        <v>3810</v>
      </c>
      <c r="C533" s="12" t="s">
        <v>3811</v>
      </c>
      <c r="D533" s="12" t="s">
        <v>175</v>
      </c>
      <c r="E533" s="12" t="n">
        <v>2</v>
      </c>
      <c r="F533" s="12" t="s">
        <v>2314</v>
      </c>
      <c r="G533" s="12" t="s">
        <v>2310</v>
      </c>
      <c r="H533" s="17"/>
      <c r="I533" s="17"/>
      <c r="J533" s="13" t="n">
        <v>67980</v>
      </c>
      <c r="K533" s="12" t="n">
        <v>7</v>
      </c>
      <c r="L533" s="12" t="s">
        <v>169</v>
      </c>
      <c r="M533" s="12" t="s">
        <v>3812</v>
      </c>
    </row>
    <row r="534" customFormat="false" ht="15" hidden="false" customHeight="false" outlineLevel="0" collapsed="false">
      <c r="A534" s="12" t="s">
        <v>2306</v>
      </c>
      <c r="B534" s="12" t="s">
        <v>3813</v>
      </c>
      <c r="C534" s="12" t="s">
        <v>3813</v>
      </c>
      <c r="D534" s="12" t="s">
        <v>101</v>
      </c>
      <c r="E534" s="12" t="n">
        <v>2</v>
      </c>
      <c r="F534" s="12" t="s">
        <v>2314</v>
      </c>
      <c r="G534" s="12" t="s">
        <v>2310</v>
      </c>
      <c r="H534" s="17"/>
      <c r="I534" s="17"/>
      <c r="J534" s="13" t="n">
        <v>67976</v>
      </c>
      <c r="K534" s="12" t="n">
        <v>6.4</v>
      </c>
      <c r="L534" s="12" t="s">
        <v>169</v>
      </c>
      <c r="M534" s="12" t="s">
        <v>3814</v>
      </c>
    </row>
    <row r="535" customFormat="false" ht="15" hidden="false" customHeight="false" outlineLevel="0" collapsed="false">
      <c r="A535" s="12" t="s">
        <v>2306</v>
      </c>
      <c r="B535" s="12" t="s">
        <v>3815</v>
      </c>
      <c r="C535" s="12" t="s">
        <v>3816</v>
      </c>
      <c r="D535" s="12" t="s">
        <v>214</v>
      </c>
      <c r="E535" s="12" t="n">
        <v>2</v>
      </c>
      <c r="F535" s="12" t="s">
        <v>2387</v>
      </c>
      <c r="G535" s="12" t="s">
        <v>2310</v>
      </c>
      <c r="H535" s="13" t="n">
        <v>2177018</v>
      </c>
      <c r="I535" s="17"/>
      <c r="J535" s="13" t="n">
        <v>8951</v>
      </c>
      <c r="K535" s="12" t="n">
        <v>6.2</v>
      </c>
      <c r="L535" s="12" t="s">
        <v>92</v>
      </c>
      <c r="M535" s="12" t="s">
        <v>3817</v>
      </c>
    </row>
    <row r="536" customFormat="false" ht="15" hidden="false" customHeight="false" outlineLevel="0" collapsed="false">
      <c r="A536" s="12" t="s">
        <v>2306</v>
      </c>
      <c r="B536" s="12" t="s">
        <v>3818</v>
      </c>
      <c r="C536" s="12" t="s">
        <v>3818</v>
      </c>
      <c r="D536" s="12" t="s">
        <v>111</v>
      </c>
      <c r="E536" s="12" t="n">
        <v>2</v>
      </c>
      <c r="F536" s="12" t="s">
        <v>2314</v>
      </c>
      <c r="G536" s="12" t="s">
        <v>2310</v>
      </c>
      <c r="H536" s="17"/>
      <c r="I536" s="17"/>
      <c r="J536" s="13" t="n">
        <v>67123</v>
      </c>
      <c r="K536" s="12" t="n">
        <v>6.9</v>
      </c>
      <c r="L536" s="12" t="s">
        <v>169</v>
      </c>
      <c r="M536" s="12" t="s">
        <v>3819</v>
      </c>
    </row>
    <row r="537" customFormat="false" ht="15" hidden="false" customHeight="false" outlineLevel="0" collapsed="false">
      <c r="A537" s="12" t="s">
        <v>2306</v>
      </c>
      <c r="B537" s="12" t="s">
        <v>3820</v>
      </c>
      <c r="C537" s="12" t="s">
        <v>3821</v>
      </c>
      <c r="D537" s="12" t="s">
        <v>207</v>
      </c>
      <c r="E537" s="12" t="n">
        <v>2</v>
      </c>
      <c r="F537" s="12" t="s">
        <v>2314</v>
      </c>
      <c r="G537" s="12" t="s">
        <v>2310</v>
      </c>
      <c r="H537" s="17"/>
      <c r="I537" s="17"/>
      <c r="J537" s="13" t="n">
        <v>66842</v>
      </c>
      <c r="K537" s="12" t="n">
        <v>6.3</v>
      </c>
      <c r="L537" s="12" t="s">
        <v>169</v>
      </c>
      <c r="M537" s="12" t="s">
        <v>3822</v>
      </c>
    </row>
    <row r="538" customFormat="false" ht="15" hidden="false" customHeight="false" outlineLevel="0" collapsed="false">
      <c r="A538" s="12" t="s">
        <v>2306</v>
      </c>
      <c r="B538" s="12" t="s">
        <v>3823</v>
      </c>
      <c r="C538" s="12" t="s">
        <v>3824</v>
      </c>
      <c r="D538" s="12" t="s">
        <v>118</v>
      </c>
      <c r="E538" s="12" t="n">
        <v>2</v>
      </c>
      <c r="F538" s="12" t="s">
        <v>2688</v>
      </c>
      <c r="G538" s="12" t="s">
        <v>2310</v>
      </c>
      <c r="H538" s="17"/>
      <c r="I538" s="17"/>
      <c r="J538" s="13" t="n">
        <v>66666</v>
      </c>
      <c r="K538" s="12" t="n">
        <v>7</v>
      </c>
      <c r="L538" s="12" t="s">
        <v>674</v>
      </c>
      <c r="M538" s="12" t="s">
        <v>3825</v>
      </c>
    </row>
    <row r="539" customFormat="false" ht="15" hidden="false" customHeight="false" outlineLevel="0" collapsed="false">
      <c r="A539" s="12" t="s">
        <v>2306</v>
      </c>
      <c r="B539" s="12" t="s">
        <v>3826</v>
      </c>
      <c r="C539" s="12" t="s">
        <v>3826</v>
      </c>
      <c r="D539" s="12" t="s">
        <v>505</v>
      </c>
      <c r="E539" s="12" t="n">
        <v>2</v>
      </c>
      <c r="F539" s="12" t="s">
        <v>2314</v>
      </c>
      <c r="G539" s="12" t="s">
        <v>2310</v>
      </c>
      <c r="H539" s="17"/>
      <c r="I539" s="17"/>
      <c r="J539" s="13" t="n">
        <v>66601</v>
      </c>
      <c r="K539" s="12" t="n">
        <v>6.6</v>
      </c>
      <c r="L539" s="12" t="s">
        <v>169</v>
      </c>
      <c r="M539" s="12" t="s">
        <v>3827</v>
      </c>
    </row>
    <row r="540" customFormat="false" ht="15" hidden="false" customHeight="false" outlineLevel="0" collapsed="false">
      <c r="A540" s="12" t="s">
        <v>2306</v>
      </c>
      <c r="B540" s="12" t="s">
        <v>3828</v>
      </c>
      <c r="D540" s="12" t="s">
        <v>111</v>
      </c>
      <c r="E540" s="12" t="n">
        <v>1</v>
      </c>
      <c r="F540" s="12" t="s">
        <v>2404</v>
      </c>
      <c r="G540" s="12" t="s">
        <v>2405</v>
      </c>
      <c r="H540" s="13" t="n">
        <v>1327627</v>
      </c>
      <c r="I540" s="17"/>
      <c r="J540" s="17"/>
      <c r="L540" s="12" t="s">
        <v>92</v>
      </c>
    </row>
    <row r="541" customFormat="false" ht="15" hidden="false" customHeight="false" outlineLevel="0" collapsed="false">
      <c r="A541" s="12" t="s">
        <v>2306</v>
      </c>
      <c r="B541" s="12" t="s">
        <v>3829</v>
      </c>
      <c r="C541" s="12" t="s">
        <v>3830</v>
      </c>
      <c r="D541" s="12" t="s">
        <v>90</v>
      </c>
      <c r="E541" s="12" t="n">
        <v>2</v>
      </c>
      <c r="F541" s="12" t="s">
        <v>2314</v>
      </c>
      <c r="G541" s="12" t="s">
        <v>2310</v>
      </c>
      <c r="H541" s="17"/>
      <c r="I541" s="17"/>
      <c r="J541" s="13" t="n">
        <v>66401</v>
      </c>
      <c r="K541" s="12" t="n">
        <v>6.1</v>
      </c>
      <c r="L541" s="12" t="s">
        <v>169</v>
      </c>
      <c r="M541" s="12" t="s">
        <v>3831</v>
      </c>
    </row>
    <row r="542" customFormat="false" ht="15" hidden="false" customHeight="false" outlineLevel="0" collapsed="false">
      <c r="A542" s="12" t="s">
        <v>2306</v>
      </c>
      <c r="B542" s="12" t="s">
        <v>3832</v>
      </c>
      <c r="C542" s="12" t="s">
        <v>3833</v>
      </c>
      <c r="D542" s="12" t="s">
        <v>90</v>
      </c>
      <c r="E542" s="12" t="n">
        <v>2</v>
      </c>
      <c r="F542" s="12" t="s">
        <v>2314</v>
      </c>
      <c r="G542" s="12" t="s">
        <v>2310</v>
      </c>
      <c r="H542" s="17"/>
      <c r="I542" s="17"/>
      <c r="J542" s="13" t="n">
        <v>66169</v>
      </c>
      <c r="K542" s="12" t="n">
        <v>6</v>
      </c>
      <c r="L542" s="12" t="s">
        <v>169</v>
      </c>
      <c r="M542" s="12" t="s">
        <v>3834</v>
      </c>
    </row>
    <row r="543" customFormat="false" ht="15" hidden="false" customHeight="false" outlineLevel="0" collapsed="false">
      <c r="A543" s="12" t="s">
        <v>2306</v>
      </c>
      <c r="B543" s="12" t="s">
        <v>3835</v>
      </c>
      <c r="C543" s="12" t="s">
        <v>3836</v>
      </c>
      <c r="D543" s="12" t="s">
        <v>251</v>
      </c>
      <c r="E543" s="12" t="n">
        <v>2</v>
      </c>
      <c r="F543" s="12" t="s">
        <v>2314</v>
      </c>
      <c r="G543" s="12" t="s">
        <v>2310</v>
      </c>
      <c r="H543" s="17"/>
      <c r="I543" s="17"/>
      <c r="J543" s="13" t="n">
        <v>65849</v>
      </c>
      <c r="K543" s="12" t="n">
        <v>6.6</v>
      </c>
      <c r="L543" s="12" t="s">
        <v>169</v>
      </c>
      <c r="M543" s="12" t="s">
        <v>3837</v>
      </c>
    </row>
    <row r="544" customFormat="false" ht="15" hidden="false" customHeight="false" outlineLevel="0" collapsed="false">
      <c r="A544" s="12" t="s">
        <v>2306</v>
      </c>
      <c r="B544" s="12" t="s">
        <v>3838</v>
      </c>
      <c r="D544" s="12" t="s">
        <v>500</v>
      </c>
      <c r="E544" s="12" t="n">
        <v>1</v>
      </c>
      <c r="F544" s="12" t="s">
        <v>2404</v>
      </c>
      <c r="G544" s="12" t="s">
        <v>2405</v>
      </c>
      <c r="H544" s="13" t="n">
        <v>1323319</v>
      </c>
      <c r="I544" s="17"/>
      <c r="J544" s="17"/>
      <c r="L544" s="12" t="s">
        <v>92</v>
      </c>
    </row>
    <row r="545" customFormat="false" ht="15" hidden="false" customHeight="false" outlineLevel="0" collapsed="false">
      <c r="A545" s="12" t="s">
        <v>2306</v>
      </c>
      <c r="B545" s="12" t="s">
        <v>3839</v>
      </c>
      <c r="C545" s="12" t="s">
        <v>3840</v>
      </c>
      <c r="D545" s="12" t="s">
        <v>189</v>
      </c>
      <c r="E545" s="12" t="n">
        <v>2</v>
      </c>
      <c r="F545" s="12" t="s">
        <v>2314</v>
      </c>
      <c r="G545" s="12" t="s">
        <v>2310</v>
      </c>
      <c r="H545" s="17"/>
      <c r="I545" s="17"/>
      <c r="J545" s="13" t="n">
        <v>65045</v>
      </c>
      <c r="K545" s="12" t="n">
        <v>6.9</v>
      </c>
      <c r="L545" s="12" t="s">
        <v>169</v>
      </c>
      <c r="M545" s="12" t="s">
        <v>3841</v>
      </c>
    </row>
    <row r="546" customFormat="false" ht="15" hidden="false" customHeight="false" outlineLevel="0" collapsed="false">
      <c r="A546" s="12" t="s">
        <v>2306</v>
      </c>
      <c r="B546" s="12" t="s">
        <v>3842</v>
      </c>
      <c r="C546" s="12" t="s">
        <v>3843</v>
      </c>
      <c r="D546" s="12" t="s">
        <v>321</v>
      </c>
      <c r="E546" s="12" t="n">
        <v>2</v>
      </c>
      <c r="F546" s="12" t="s">
        <v>2387</v>
      </c>
      <c r="G546" s="12" t="s">
        <v>2310</v>
      </c>
      <c r="H546" s="13" t="n">
        <v>2115331</v>
      </c>
      <c r="I546" s="17"/>
      <c r="J546" s="13" t="n">
        <v>9002</v>
      </c>
      <c r="K546" s="12" t="n">
        <v>7.2</v>
      </c>
      <c r="L546" s="12" t="s">
        <v>92</v>
      </c>
      <c r="M546" s="12" t="s">
        <v>3844</v>
      </c>
    </row>
    <row r="547" customFormat="false" ht="15" hidden="false" customHeight="false" outlineLevel="0" collapsed="false">
      <c r="A547" s="12" t="s">
        <v>2306</v>
      </c>
      <c r="B547" s="12" t="s">
        <v>3845</v>
      </c>
      <c r="C547" s="12" t="s">
        <v>3846</v>
      </c>
      <c r="D547" s="12" t="s">
        <v>118</v>
      </c>
      <c r="E547" s="12" t="n">
        <v>2</v>
      </c>
      <c r="F547" s="12" t="s">
        <v>2387</v>
      </c>
      <c r="G547" s="12" t="s">
        <v>2310</v>
      </c>
      <c r="H547" s="13" t="n">
        <v>1207659</v>
      </c>
      <c r="I547" s="17"/>
      <c r="J547" s="13" t="n">
        <v>84492</v>
      </c>
      <c r="K547" s="12" t="n">
        <v>6.9</v>
      </c>
      <c r="L547" s="12" t="s">
        <v>92</v>
      </c>
      <c r="M547" s="12" t="s">
        <v>3847</v>
      </c>
    </row>
    <row r="548" customFormat="false" ht="15" hidden="false" customHeight="false" outlineLevel="0" collapsed="false">
      <c r="A548" s="12" t="s">
        <v>2306</v>
      </c>
      <c r="B548" s="12" t="s">
        <v>3848</v>
      </c>
      <c r="C548" s="12" t="s">
        <v>3849</v>
      </c>
      <c r="D548" s="12" t="s">
        <v>251</v>
      </c>
      <c r="E548" s="12" t="n">
        <v>2</v>
      </c>
      <c r="F548" s="12" t="s">
        <v>2314</v>
      </c>
      <c r="G548" s="12" t="s">
        <v>2310</v>
      </c>
      <c r="H548" s="17"/>
      <c r="I548" s="17"/>
      <c r="J548" s="13" t="n">
        <v>63892</v>
      </c>
      <c r="K548" s="12" t="n">
        <v>5.7</v>
      </c>
      <c r="L548" s="12" t="s">
        <v>169</v>
      </c>
      <c r="M548" s="12" t="s">
        <v>3850</v>
      </c>
    </row>
    <row r="549" customFormat="false" ht="15" hidden="false" customHeight="false" outlineLevel="0" collapsed="false">
      <c r="A549" s="12" t="s">
        <v>2306</v>
      </c>
      <c r="B549" s="12" t="s">
        <v>3851</v>
      </c>
      <c r="C549" s="12" t="s">
        <v>3851</v>
      </c>
      <c r="D549" s="12" t="s">
        <v>175</v>
      </c>
      <c r="E549" s="12" t="n">
        <v>2</v>
      </c>
      <c r="F549" s="12" t="s">
        <v>2314</v>
      </c>
      <c r="G549" s="12" t="s">
        <v>2310</v>
      </c>
      <c r="H549" s="17"/>
      <c r="I549" s="17"/>
      <c r="J549" s="13" t="n">
        <v>63779</v>
      </c>
      <c r="K549" s="12" t="n">
        <v>7.5</v>
      </c>
      <c r="L549" s="12" t="s">
        <v>169</v>
      </c>
      <c r="M549" s="12" t="s">
        <v>3852</v>
      </c>
    </row>
    <row r="550" customFormat="false" ht="15" hidden="false" customHeight="false" outlineLevel="0" collapsed="false">
      <c r="A550" s="12" t="s">
        <v>2306</v>
      </c>
      <c r="B550" s="12" t="s">
        <v>3853</v>
      </c>
      <c r="C550" s="12" t="s">
        <v>3854</v>
      </c>
      <c r="D550" s="12" t="s">
        <v>111</v>
      </c>
      <c r="E550" s="12" t="n">
        <v>2</v>
      </c>
      <c r="F550" s="12" t="s">
        <v>2314</v>
      </c>
      <c r="G550" s="12" t="s">
        <v>2310</v>
      </c>
      <c r="H550" s="17"/>
      <c r="I550" s="17"/>
      <c r="J550" s="13" t="n">
        <v>63255</v>
      </c>
      <c r="K550" s="12" t="n">
        <v>6.5</v>
      </c>
      <c r="L550" s="12" t="s">
        <v>169</v>
      </c>
      <c r="M550" s="12" t="s">
        <v>3855</v>
      </c>
    </row>
    <row r="551" customFormat="false" ht="15" hidden="false" customHeight="false" outlineLevel="0" collapsed="false">
      <c r="A551" s="12" t="s">
        <v>2306</v>
      </c>
      <c r="B551" s="12" t="s">
        <v>3856</v>
      </c>
      <c r="C551" s="12" t="s">
        <v>3857</v>
      </c>
      <c r="D551" s="12" t="s">
        <v>265</v>
      </c>
      <c r="E551" s="12" t="n">
        <v>2</v>
      </c>
      <c r="F551" s="12" t="s">
        <v>2309</v>
      </c>
      <c r="G551" s="12" t="s">
        <v>2310</v>
      </c>
      <c r="H551" s="17"/>
      <c r="I551" s="17"/>
      <c r="J551" s="13" t="n">
        <v>63251</v>
      </c>
      <c r="K551" s="12" t="n">
        <v>5.5</v>
      </c>
      <c r="L551" s="12" t="s">
        <v>128</v>
      </c>
      <c r="M551" s="12" t="s">
        <v>3858</v>
      </c>
    </row>
    <row r="552" customFormat="false" ht="15" hidden="false" customHeight="false" outlineLevel="0" collapsed="false">
      <c r="A552" s="12" t="s">
        <v>2306</v>
      </c>
      <c r="B552" s="12" t="s">
        <v>3859</v>
      </c>
      <c r="C552" s="12" t="s">
        <v>3860</v>
      </c>
      <c r="D552" s="12" t="s">
        <v>251</v>
      </c>
      <c r="E552" s="12" t="n">
        <v>2</v>
      </c>
      <c r="F552" s="12" t="s">
        <v>2387</v>
      </c>
      <c r="G552" s="12" t="s">
        <v>2310</v>
      </c>
      <c r="H552" s="13" t="n">
        <v>1840923</v>
      </c>
      <c r="I552" s="17"/>
      <c r="J552" s="13" t="n">
        <v>29097</v>
      </c>
      <c r="K552" s="12" t="n">
        <v>5.7</v>
      </c>
      <c r="L552" s="12" t="s">
        <v>92</v>
      </c>
      <c r="M552" s="12" t="s">
        <v>3861</v>
      </c>
    </row>
    <row r="553" customFormat="false" ht="15" hidden="false" customHeight="false" outlineLevel="0" collapsed="false">
      <c r="A553" s="12" t="s">
        <v>2306</v>
      </c>
      <c r="B553" s="12" t="s">
        <v>3862</v>
      </c>
      <c r="C553" s="12" t="s">
        <v>3863</v>
      </c>
      <c r="D553" s="12" t="s">
        <v>251</v>
      </c>
      <c r="E553" s="12" t="n">
        <v>2</v>
      </c>
      <c r="F553" s="12" t="s">
        <v>2309</v>
      </c>
      <c r="G553" s="12" t="s">
        <v>2310</v>
      </c>
      <c r="H553" s="17"/>
      <c r="I553" s="17"/>
      <c r="J553" s="13" t="n">
        <v>60649</v>
      </c>
      <c r="K553" s="12" t="n">
        <v>6.8</v>
      </c>
      <c r="L553" s="12" t="s">
        <v>128</v>
      </c>
      <c r="M553" s="12" t="s">
        <v>3864</v>
      </c>
    </row>
    <row r="554" customFormat="false" ht="15" hidden="false" customHeight="false" outlineLevel="0" collapsed="false">
      <c r="A554" s="12" t="s">
        <v>2306</v>
      </c>
      <c r="B554" s="12" t="s">
        <v>3865</v>
      </c>
      <c r="C554" s="12" t="s">
        <v>3866</v>
      </c>
      <c r="D554" s="12" t="s">
        <v>118</v>
      </c>
      <c r="E554" s="12" t="n">
        <v>2</v>
      </c>
      <c r="F554" s="12" t="s">
        <v>3105</v>
      </c>
      <c r="G554" s="12" t="s">
        <v>2310</v>
      </c>
      <c r="H554" s="17"/>
      <c r="I554" s="17"/>
      <c r="J554" s="13" t="n">
        <v>60379</v>
      </c>
      <c r="K554" s="12" t="n">
        <v>6</v>
      </c>
      <c r="L554" s="12" t="s">
        <v>292</v>
      </c>
      <c r="M554" s="12" t="s">
        <v>3867</v>
      </c>
    </row>
    <row r="555" customFormat="false" ht="15" hidden="false" customHeight="false" outlineLevel="0" collapsed="false">
      <c r="A555" s="12" t="s">
        <v>2306</v>
      </c>
      <c r="B555" s="12" t="s">
        <v>3868</v>
      </c>
      <c r="C555" s="12" t="s">
        <v>3869</v>
      </c>
      <c r="D555" s="12" t="s">
        <v>127</v>
      </c>
      <c r="E555" s="12" t="n">
        <v>2</v>
      </c>
      <c r="F555" s="12" t="s">
        <v>2387</v>
      </c>
      <c r="G555" s="12" t="s">
        <v>2310</v>
      </c>
      <c r="H555" s="13" t="n">
        <v>1320012</v>
      </c>
      <c r="I555" s="17"/>
      <c r="J555" s="13" t="n">
        <v>70280</v>
      </c>
      <c r="K555" s="12" t="n">
        <v>5.6</v>
      </c>
      <c r="L555" s="12" t="s">
        <v>92</v>
      </c>
      <c r="M555" s="12" t="s">
        <v>3870</v>
      </c>
    </row>
    <row r="556" customFormat="false" ht="15" hidden="false" customHeight="false" outlineLevel="0" collapsed="false">
      <c r="A556" s="12" t="s">
        <v>2306</v>
      </c>
      <c r="B556" s="12" t="s">
        <v>3871</v>
      </c>
      <c r="C556" s="12" t="s">
        <v>3872</v>
      </c>
      <c r="D556" s="12" t="s">
        <v>140</v>
      </c>
      <c r="E556" s="12" t="n">
        <v>2</v>
      </c>
      <c r="F556" s="12" t="s">
        <v>2387</v>
      </c>
      <c r="G556" s="12" t="s">
        <v>2310</v>
      </c>
      <c r="H556" s="13" t="n">
        <v>2548441</v>
      </c>
      <c r="I556" s="17"/>
      <c r="J556" s="13" t="n">
        <v>1122</v>
      </c>
      <c r="K556" s="12" t="n">
        <v>5.3</v>
      </c>
      <c r="L556" s="12" t="s">
        <v>92</v>
      </c>
      <c r="M556" s="12" t="s">
        <v>3873</v>
      </c>
    </row>
    <row r="557" customFormat="false" ht="15" hidden="false" customHeight="false" outlineLevel="0" collapsed="false">
      <c r="A557" s="12" t="s">
        <v>2306</v>
      </c>
      <c r="B557" s="12" t="s">
        <v>3874</v>
      </c>
      <c r="C557" s="12" t="s">
        <v>3875</v>
      </c>
      <c r="D557" s="12" t="s">
        <v>175</v>
      </c>
      <c r="E557" s="12" t="n">
        <v>2</v>
      </c>
      <c r="F557" s="12" t="s">
        <v>2314</v>
      </c>
      <c r="G557" s="12" t="s">
        <v>2310</v>
      </c>
      <c r="H557" s="17"/>
      <c r="I557" s="17"/>
      <c r="J557" s="13" t="n">
        <v>60072</v>
      </c>
      <c r="K557" s="12" t="n">
        <v>6.7</v>
      </c>
      <c r="L557" s="12" t="s">
        <v>169</v>
      </c>
      <c r="M557" s="12" t="s">
        <v>3876</v>
      </c>
    </row>
    <row r="558" customFormat="false" ht="15" hidden="false" customHeight="false" outlineLevel="0" collapsed="false">
      <c r="A558" s="12" t="s">
        <v>2306</v>
      </c>
      <c r="B558" s="12" t="s">
        <v>3877</v>
      </c>
      <c r="C558" s="12" t="s">
        <v>3878</v>
      </c>
      <c r="D558" s="12" t="s">
        <v>118</v>
      </c>
      <c r="E558" s="12" t="n">
        <v>2</v>
      </c>
      <c r="F558" s="12" t="s">
        <v>2314</v>
      </c>
      <c r="G558" s="12" t="s">
        <v>2310</v>
      </c>
      <c r="H558" s="17"/>
      <c r="I558" s="17"/>
      <c r="J558" s="13" t="n">
        <v>58270</v>
      </c>
      <c r="K558" s="12" t="n">
        <v>6.3</v>
      </c>
      <c r="L558" s="12" t="s">
        <v>169</v>
      </c>
      <c r="M558" s="12" t="s">
        <v>3879</v>
      </c>
    </row>
    <row r="559" customFormat="false" ht="15" hidden="false" customHeight="false" outlineLevel="0" collapsed="false">
      <c r="A559" s="12" t="s">
        <v>2306</v>
      </c>
      <c r="B559" s="12" t="s">
        <v>3880</v>
      </c>
      <c r="C559" s="12" t="s">
        <v>3881</v>
      </c>
      <c r="D559" s="12" t="s">
        <v>1103</v>
      </c>
      <c r="E559" s="12" t="n">
        <v>2</v>
      </c>
      <c r="F559" s="12" t="s">
        <v>2387</v>
      </c>
      <c r="G559" s="12" t="s">
        <v>2310</v>
      </c>
      <c r="H559" s="13" t="n">
        <v>333430</v>
      </c>
      <c r="I559" s="17"/>
      <c r="J559" s="13" t="n">
        <v>177254</v>
      </c>
      <c r="K559" s="12" t="n">
        <v>6.4</v>
      </c>
      <c r="L559" s="12" t="s">
        <v>92</v>
      </c>
      <c r="M559" s="12" t="s">
        <v>3882</v>
      </c>
    </row>
    <row r="560" customFormat="false" ht="15" hidden="false" customHeight="false" outlineLevel="0" collapsed="false">
      <c r="A560" s="12" t="s">
        <v>2306</v>
      </c>
      <c r="B560" s="12" t="s">
        <v>3883</v>
      </c>
      <c r="C560" s="12" t="s">
        <v>3884</v>
      </c>
      <c r="D560" s="12" t="s">
        <v>396</v>
      </c>
      <c r="E560" s="12" t="n">
        <v>2</v>
      </c>
      <c r="F560" s="12" t="s">
        <v>2387</v>
      </c>
      <c r="G560" s="12" t="s">
        <v>2310</v>
      </c>
      <c r="H560" s="13" t="n">
        <v>2657091</v>
      </c>
      <c r="I560" s="17"/>
      <c r="J560" s="13" t="n">
        <v>763</v>
      </c>
      <c r="K560" s="12" t="n">
        <v>2.3</v>
      </c>
      <c r="L560" s="12" t="s">
        <v>92</v>
      </c>
      <c r="M560" s="12" t="s">
        <v>3885</v>
      </c>
    </row>
    <row r="561" customFormat="false" ht="15" hidden="false" customHeight="false" outlineLevel="0" collapsed="false">
      <c r="A561" s="12" t="s">
        <v>2306</v>
      </c>
      <c r="B561" s="12" t="s">
        <v>3886</v>
      </c>
      <c r="C561" s="12" t="s">
        <v>3887</v>
      </c>
      <c r="D561" s="12" t="s">
        <v>265</v>
      </c>
      <c r="E561" s="12" t="n">
        <v>2</v>
      </c>
      <c r="F561" s="12" t="s">
        <v>2387</v>
      </c>
      <c r="G561" s="12" t="s">
        <v>2310</v>
      </c>
      <c r="H561" s="13" t="n">
        <v>946629</v>
      </c>
      <c r="I561" s="17"/>
      <c r="J561" s="13" t="n">
        <v>94441</v>
      </c>
      <c r="K561" s="12" t="n">
        <v>6.1</v>
      </c>
      <c r="L561" s="12" t="s">
        <v>92</v>
      </c>
      <c r="M561" s="12" t="s">
        <v>3888</v>
      </c>
    </row>
    <row r="562" customFormat="false" ht="15" hidden="false" customHeight="false" outlineLevel="0" collapsed="false">
      <c r="A562" s="12" t="s">
        <v>2306</v>
      </c>
      <c r="B562" s="12" t="s">
        <v>3889</v>
      </c>
      <c r="C562" s="12" t="s">
        <v>3890</v>
      </c>
      <c r="D562" s="12" t="s">
        <v>1103</v>
      </c>
      <c r="E562" s="12" t="n">
        <v>2</v>
      </c>
      <c r="F562" s="12" t="s">
        <v>2314</v>
      </c>
      <c r="G562" s="12" t="s">
        <v>2310</v>
      </c>
      <c r="H562" s="17"/>
      <c r="I562" s="17"/>
      <c r="J562" s="13" t="n">
        <v>58049</v>
      </c>
      <c r="K562" s="12" t="n">
        <v>6.5</v>
      </c>
      <c r="L562" s="12" t="s">
        <v>169</v>
      </c>
      <c r="M562" s="12" t="s">
        <v>3891</v>
      </c>
    </row>
    <row r="563" customFormat="false" ht="15" hidden="false" customHeight="false" outlineLevel="0" collapsed="false">
      <c r="A563" s="12" t="s">
        <v>2306</v>
      </c>
      <c r="B563" s="12" t="s">
        <v>3892</v>
      </c>
      <c r="C563" s="12" t="s">
        <v>3893</v>
      </c>
      <c r="D563" s="12" t="s">
        <v>1103</v>
      </c>
      <c r="E563" s="12" t="n">
        <v>2</v>
      </c>
      <c r="F563" s="12" t="s">
        <v>2314</v>
      </c>
      <c r="G563" s="12" t="s">
        <v>2310</v>
      </c>
      <c r="H563" s="17"/>
      <c r="I563" s="17"/>
      <c r="J563" s="13" t="n">
        <v>57432</v>
      </c>
      <c r="K563" s="12" t="n">
        <v>5.9</v>
      </c>
      <c r="L563" s="12" t="s">
        <v>169</v>
      </c>
      <c r="M563" s="12" t="s">
        <v>3894</v>
      </c>
    </row>
    <row r="564" customFormat="false" ht="15" hidden="false" customHeight="false" outlineLevel="0" collapsed="false">
      <c r="A564" s="12" t="s">
        <v>2306</v>
      </c>
      <c r="B564" s="12" t="s">
        <v>3895</v>
      </c>
      <c r="C564" s="12" t="s">
        <v>3895</v>
      </c>
      <c r="D564" s="12" t="s">
        <v>175</v>
      </c>
      <c r="E564" s="12" t="n">
        <v>2</v>
      </c>
      <c r="F564" s="12" t="s">
        <v>2314</v>
      </c>
      <c r="G564" s="12" t="s">
        <v>2310</v>
      </c>
      <c r="H564" s="17"/>
      <c r="I564" s="17"/>
      <c r="J564" s="13" t="n">
        <v>56856</v>
      </c>
      <c r="K564" s="12" t="n">
        <v>6.4</v>
      </c>
      <c r="L564" s="12" t="s">
        <v>169</v>
      </c>
      <c r="M564" s="12" t="s">
        <v>3896</v>
      </c>
    </row>
    <row r="565" customFormat="false" ht="15" hidden="false" customHeight="false" outlineLevel="0" collapsed="false">
      <c r="A565" s="12" t="s">
        <v>2306</v>
      </c>
      <c r="B565" s="12" t="s">
        <v>3897</v>
      </c>
      <c r="C565" s="12" t="s">
        <v>3898</v>
      </c>
      <c r="D565" s="12" t="s">
        <v>101</v>
      </c>
      <c r="E565" s="12" t="n">
        <v>2</v>
      </c>
      <c r="F565" s="12" t="s">
        <v>2314</v>
      </c>
      <c r="G565" s="12" t="s">
        <v>2310</v>
      </c>
      <c r="H565" s="17"/>
      <c r="I565" s="17"/>
      <c r="J565" s="13" t="n">
        <v>56457</v>
      </c>
      <c r="K565" s="12" t="n">
        <v>7.2</v>
      </c>
      <c r="L565" s="12" t="s">
        <v>169</v>
      </c>
      <c r="M565" s="12" t="s">
        <v>3899</v>
      </c>
    </row>
    <row r="566" customFormat="false" ht="15" hidden="false" customHeight="false" outlineLevel="0" collapsed="false">
      <c r="A566" s="12" t="s">
        <v>2306</v>
      </c>
      <c r="B566" s="12" t="s">
        <v>3900</v>
      </c>
      <c r="C566" s="12" t="s">
        <v>3901</v>
      </c>
      <c r="D566" s="12" t="s">
        <v>1103</v>
      </c>
      <c r="E566" s="12" t="n">
        <v>2</v>
      </c>
      <c r="F566" s="12" t="s">
        <v>2314</v>
      </c>
      <c r="G566" s="12" t="s">
        <v>2310</v>
      </c>
      <c r="H566" s="17"/>
      <c r="I566" s="17"/>
      <c r="J566" s="13" t="n">
        <v>56252</v>
      </c>
      <c r="K566" s="12" t="n">
        <v>6.4</v>
      </c>
      <c r="L566" s="12" t="s">
        <v>169</v>
      </c>
      <c r="M566" s="12" t="s">
        <v>3902</v>
      </c>
    </row>
    <row r="567" customFormat="false" ht="15" hidden="false" customHeight="false" outlineLevel="0" collapsed="false">
      <c r="A567" s="12" t="s">
        <v>2306</v>
      </c>
      <c r="B567" s="12" t="s">
        <v>3903</v>
      </c>
      <c r="C567" s="12" t="s">
        <v>3904</v>
      </c>
      <c r="D567" s="12" t="s">
        <v>189</v>
      </c>
      <c r="E567" s="12" t="n">
        <v>2</v>
      </c>
      <c r="F567" s="12" t="s">
        <v>2314</v>
      </c>
      <c r="G567" s="12" t="s">
        <v>2310</v>
      </c>
      <c r="H567" s="17"/>
      <c r="I567" s="17"/>
      <c r="J567" s="13" t="n">
        <v>55776</v>
      </c>
      <c r="K567" s="12" t="n">
        <v>7.3</v>
      </c>
      <c r="L567" s="12" t="s">
        <v>169</v>
      </c>
      <c r="M567" s="12" t="s">
        <v>3905</v>
      </c>
    </row>
    <row r="568" customFormat="false" ht="15" hidden="false" customHeight="false" outlineLevel="0" collapsed="false">
      <c r="A568" s="12" t="s">
        <v>2306</v>
      </c>
      <c r="B568" s="12" t="s">
        <v>3906</v>
      </c>
      <c r="C568" s="12" t="s">
        <v>3907</v>
      </c>
      <c r="D568" s="12" t="s">
        <v>111</v>
      </c>
      <c r="E568" s="12" t="n">
        <v>2</v>
      </c>
      <c r="F568" s="12" t="s">
        <v>2314</v>
      </c>
      <c r="G568" s="12" t="s">
        <v>2310</v>
      </c>
      <c r="H568" s="17"/>
      <c r="I568" s="17"/>
      <c r="J568" s="13" t="n">
        <v>55552</v>
      </c>
      <c r="K568" s="12" t="n">
        <v>7.1</v>
      </c>
      <c r="L568" s="12" t="s">
        <v>169</v>
      </c>
      <c r="M568" s="12" t="s">
        <v>3908</v>
      </c>
    </row>
    <row r="569" customFormat="false" ht="15" hidden="false" customHeight="false" outlineLevel="0" collapsed="false">
      <c r="A569" s="12" t="s">
        <v>2306</v>
      </c>
      <c r="B569" s="12" t="s">
        <v>3909</v>
      </c>
      <c r="C569" s="12" t="s">
        <v>3910</v>
      </c>
      <c r="D569" s="12" t="s">
        <v>1103</v>
      </c>
      <c r="E569" s="12" t="n">
        <v>2</v>
      </c>
      <c r="F569" s="12" t="s">
        <v>2314</v>
      </c>
      <c r="G569" s="12" t="s">
        <v>2310</v>
      </c>
      <c r="H569" s="17"/>
      <c r="I569" s="17"/>
      <c r="J569" s="13" t="n">
        <v>55370</v>
      </c>
      <c r="K569" s="12" t="n">
        <v>6.1</v>
      </c>
      <c r="L569" s="12" t="s">
        <v>169</v>
      </c>
      <c r="M569" s="12" t="s">
        <v>3911</v>
      </c>
    </row>
    <row r="570" customFormat="false" ht="15" hidden="false" customHeight="false" outlineLevel="0" collapsed="false">
      <c r="A570" s="12" t="s">
        <v>2306</v>
      </c>
      <c r="B570" s="12" t="s">
        <v>3912</v>
      </c>
      <c r="C570" s="12" t="s">
        <v>3912</v>
      </c>
      <c r="D570" s="12" t="s">
        <v>1103</v>
      </c>
      <c r="E570" s="12" t="n">
        <v>2</v>
      </c>
      <c r="F570" s="12" t="s">
        <v>2314</v>
      </c>
      <c r="G570" s="12" t="s">
        <v>2310</v>
      </c>
      <c r="H570" s="17"/>
      <c r="I570" s="17"/>
      <c r="J570" s="13" t="n">
        <v>55343</v>
      </c>
      <c r="K570" s="12" t="n">
        <v>6.5</v>
      </c>
      <c r="L570" s="12" t="s">
        <v>169</v>
      </c>
      <c r="M570" s="12" t="s">
        <v>3913</v>
      </c>
    </row>
    <row r="571" customFormat="false" ht="15" hidden="false" customHeight="false" outlineLevel="0" collapsed="false">
      <c r="A571" s="12" t="s">
        <v>2306</v>
      </c>
      <c r="B571" s="12" t="s">
        <v>3914</v>
      </c>
      <c r="C571" s="12" t="s">
        <v>3915</v>
      </c>
      <c r="D571" s="12" t="s">
        <v>396</v>
      </c>
      <c r="E571" s="12" t="n">
        <v>2</v>
      </c>
      <c r="F571" s="12" t="s">
        <v>2387</v>
      </c>
      <c r="G571" s="12" t="s">
        <v>2310</v>
      </c>
      <c r="H571" s="13" t="n">
        <v>1221858</v>
      </c>
      <c r="I571" s="17"/>
      <c r="J571" s="13" t="n">
        <v>71553</v>
      </c>
      <c r="K571" s="12" t="n">
        <v>6</v>
      </c>
      <c r="L571" s="12" t="s">
        <v>92</v>
      </c>
      <c r="M571" s="12" t="s">
        <v>3916</v>
      </c>
    </row>
    <row r="572" customFormat="false" ht="15" hidden="false" customHeight="false" outlineLevel="0" collapsed="false">
      <c r="A572" s="12" t="s">
        <v>2306</v>
      </c>
      <c r="B572" s="12" t="s">
        <v>3917</v>
      </c>
      <c r="C572" s="12" t="s">
        <v>3918</v>
      </c>
      <c r="D572" s="12" t="s">
        <v>321</v>
      </c>
      <c r="E572" s="12" t="n">
        <v>2</v>
      </c>
      <c r="F572" s="12" t="s">
        <v>2309</v>
      </c>
      <c r="G572" s="12" t="s">
        <v>2310</v>
      </c>
      <c r="H572" s="17"/>
      <c r="I572" s="17"/>
      <c r="J572" s="13" t="n">
        <v>55173</v>
      </c>
      <c r="K572" s="12" t="n">
        <v>6.2</v>
      </c>
      <c r="L572" s="12" t="s">
        <v>128</v>
      </c>
      <c r="M572" s="12" t="s">
        <v>3919</v>
      </c>
    </row>
    <row r="573" customFormat="false" ht="15" hidden="false" customHeight="false" outlineLevel="0" collapsed="false">
      <c r="A573" s="12" t="s">
        <v>2306</v>
      </c>
      <c r="B573" s="12" t="s">
        <v>3920</v>
      </c>
      <c r="D573" s="12" t="s">
        <v>207</v>
      </c>
      <c r="E573" s="12" t="n">
        <v>1</v>
      </c>
      <c r="F573" s="12" t="s">
        <v>2404</v>
      </c>
      <c r="G573" s="12" t="s">
        <v>2405</v>
      </c>
      <c r="H573" s="13" t="n">
        <v>1223055</v>
      </c>
      <c r="I573" s="17"/>
      <c r="J573" s="17"/>
      <c r="L573" s="12" t="s">
        <v>92</v>
      </c>
    </row>
    <row r="574" customFormat="false" ht="15" hidden="false" customHeight="false" outlineLevel="0" collapsed="false">
      <c r="A574" s="12" t="s">
        <v>2306</v>
      </c>
      <c r="B574" s="12" t="s">
        <v>3921</v>
      </c>
      <c r="C574" s="12" t="s">
        <v>3922</v>
      </c>
      <c r="D574" s="12" t="s">
        <v>101</v>
      </c>
      <c r="E574" s="12" t="n">
        <v>2</v>
      </c>
      <c r="F574" s="12" t="s">
        <v>2387</v>
      </c>
      <c r="G574" s="12" t="s">
        <v>2310</v>
      </c>
      <c r="H574" s="13" t="n">
        <v>861198</v>
      </c>
      <c r="I574" s="17"/>
      <c r="J574" s="13" t="n">
        <v>88799</v>
      </c>
      <c r="K574" s="12" t="n">
        <v>4.5</v>
      </c>
      <c r="L574" s="12" t="s">
        <v>92</v>
      </c>
      <c r="M574" s="12" t="s">
        <v>3923</v>
      </c>
    </row>
    <row r="575" customFormat="false" ht="15" hidden="false" customHeight="false" outlineLevel="0" collapsed="false">
      <c r="A575" s="12" t="s">
        <v>2306</v>
      </c>
      <c r="B575" s="12" t="s">
        <v>3924</v>
      </c>
      <c r="C575" s="12" t="s">
        <v>3925</v>
      </c>
      <c r="D575" s="12" t="s">
        <v>265</v>
      </c>
      <c r="E575" s="12" t="n">
        <v>2</v>
      </c>
      <c r="F575" s="12" t="s">
        <v>2309</v>
      </c>
      <c r="G575" s="12" t="s">
        <v>2310</v>
      </c>
      <c r="H575" s="17"/>
      <c r="I575" s="17"/>
      <c r="J575" s="13" t="n">
        <v>55127</v>
      </c>
      <c r="K575" s="12" t="n">
        <v>6.2</v>
      </c>
      <c r="L575" s="12" t="s">
        <v>128</v>
      </c>
      <c r="M575" s="12" t="s">
        <v>3926</v>
      </c>
    </row>
    <row r="576" customFormat="false" ht="15" hidden="false" customHeight="false" outlineLevel="0" collapsed="false">
      <c r="A576" s="12" t="s">
        <v>2306</v>
      </c>
      <c r="B576" s="12" t="s">
        <v>3927</v>
      </c>
      <c r="C576" s="12" t="s">
        <v>3928</v>
      </c>
      <c r="D576" s="12" t="s">
        <v>90</v>
      </c>
      <c r="E576" s="12" t="n">
        <v>2</v>
      </c>
      <c r="F576" s="12" t="s">
        <v>2314</v>
      </c>
      <c r="G576" s="12" t="s">
        <v>2310</v>
      </c>
      <c r="H576" s="17"/>
      <c r="I576" s="17"/>
      <c r="J576" s="13" t="n">
        <v>55023</v>
      </c>
      <c r="K576" s="12" t="n">
        <v>7.2</v>
      </c>
      <c r="L576" s="12" t="s">
        <v>169</v>
      </c>
      <c r="M576" s="12" t="s">
        <v>3929</v>
      </c>
    </row>
    <row r="577" customFormat="false" ht="15" hidden="false" customHeight="false" outlineLevel="0" collapsed="false">
      <c r="A577" s="12" t="s">
        <v>2306</v>
      </c>
      <c r="B577" s="12" t="s">
        <v>3930</v>
      </c>
      <c r="C577" s="12" t="s">
        <v>3931</v>
      </c>
      <c r="D577" s="12" t="s">
        <v>111</v>
      </c>
      <c r="E577" s="12" t="n">
        <v>2</v>
      </c>
      <c r="F577" s="12" t="s">
        <v>2314</v>
      </c>
      <c r="G577" s="12" t="s">
        <v>2310</v>
      </c>
      <c r="H577" s="17"/>
      <c r="I577" s="17"/>
      <c r="J577" s="13" t="n">
        <v>54671</v>
      </c>
      <c r="K577" s="12" t="n">
        <v>6.4</v>
      </c>
      <c r="L577" s="12" t="s">
        <v>169</v>
      </c>
      <c r="M577" s="12" t="s">
        <v>3932</v>
      </c>
    </row>
    <row r="578" customFormat="false" ht="15" hidden="false" customHeight="false" outlineLevel="0" collapsed="false">
      <c r="A578" s="12" t="s">
        <v>2306</v>
      </c>
      <c r="B578" s="12" t="s">
        <v>3933</v>
      </c>
      <c r="C578" s="12" t="s">
        <v>3934</v>
      </c>
      <c r="D578" s="12" t="s">
        <v>251</v>
      </c>
      <c r="E578" s="12" t="n">
        <v>2</v>
      </c>
      <c r="F578" s="12" t="s">
        <v>2314</v>
      </c>
      <c r="G578" s="12" t="s">
        <v>2310</v>
      </c>
      <c r="H578" s="17"/>
      <c r="I578" s="17"/>
      <c r="J578" s="13" t="n">
        <v>54610</v>
      </c>
      <c r="K578" s="12" t="n">
        <v>6.6</v>
      </c>
      <c r="L578" s="12" t="s">
        <v>169</v>
      </c>
      <c r="M578" s="12" t="s">
        <v>3935</v>
      </c>
    </row>
    <row r="579" customFormat="false" ht="15" hidden="false" customHeight="false" outlineLevel="0" collapsed="false">
      <c r="A579" s="12" t="s">
        <v>2306</v>
      </c>
      <c r="B579" s="12" t="s">
        <v>3936</v>
      </c>
      <c r="C579" s="12" t="s">
        <v>3937</v>
      </c>
      <c r="D579" s="12" t="s">
        <v>90</v>
      </c>
      <c r="E579" s="12" t="n">
        <v>2</v>
      </c>
      <c r="F579" s="12" t="s">
        <v>2387</v>
      </c>
      <c r="G579" s="12" t="s">
        <v>2310</v>
      </c>
      <c r="H579" s="13" t="n">
        <v>2129326</v>
      </c>
      <c r="I579" s="17"/>
      <c r="J579" s="13" t="n">
        <v>2793</v>
      </c>
      <c r="K579" s="12" t="n">
        <v>7.1</v>
      </c>
      <c r="L579" s="12" t="s">
        <v>92</v>
      </c>
      <c r="M579" s="12" t="s">
        <v>3938</v>
      </c>
    </row>
    <row r="580" customFormat="false" ht="15" hidden="false" customHeight="false" outlineLevel="0" collapsed="false">
      <c r="A580" s="12" t="s">
        <v>2306</v>
      </c>
      <c r="B580" s="12" t="s">
        <v>3939</v>
      </c>
      <c r="C580" s="12" t="s">
        <v>3940</v>
      </c>
      <c r="D580" s="12" t="s">
        <v>265</v>
      </c>
      <c r="E580" s="12" t="n">
        <v>2</v>
      </c>
      <c r="F580" s="12" t="s">
        <v>2309</v>
      </c>
      <c r="G580" s="12" t="s">
        <v>2310</v>
      </c>
      <c r="H580" s="17"/>
      <c r="I580" s="17"/>
      <c r="J580" s="13" t="n">
        <v>54126</v>
      </c>
      <c r="K580" s="12" t="n">
        <v>7.6</v>
      </c>
      <c r="L580" s="12" t="s">
        <v>128</v>
      </c>
      <c r="M580" s="12" t="s">
        <v>3941</v>
      </c>
    </row>
    <row r="581" customFormat="false" ht="15" hidden="false" customHeight="false" outlineLevel="0" collapsed="false">
      <c r="A581" s="12" t="s">
        <v>2306</v>
      </c>
      <c r="B581" s="12" t="s">
        <v>3942</v>
      </c>
      <c r="C581" s="12" t="s">
        <v>3943</v>
      </c>
      <c r="D581" s="12" t="s">
        <v>189</v>
      </c>
      <c r="E581" s="12" t="n">
        <v>2</v>
      </c>
      <c r="F581" s="12" t="s">
        <v>2314</v>
      </c>
      <c r="G581" s="12" t="s">
        <v>2310</v>
      </c>
      <c r="H581" s="17"/>
      <c r="I581" s="17"/>
      <c r="J581" s="13" t="n">
        <v>54107</v>
      </c>
      <c r="K581" s="12" t="n">
        <v>6.3</v>
      </c>
      <c r="L581" s="12" t="s">
        <v>169</v>
      </c>
      <c r="M581" s="12" t="s">
        <v>3944</v>
      </c>
    </row>
    <row r="582" customFormat="false" ht="15" hidden="false" customHeight="false" outlineLevel="0" collapsed="false">
      <c r="A582" s="12" t="s">
        <v>2306</v>
      </c>
      <c r="B582" s="12" t="s">
        <v>3945</v>
      </c>
      <c r="C582" s="12" t="s">
        <v>3946</v>
      </c>
      <c r="D582" s="12" t="s">
        <v>1103</v>
      </c>
      <c r="E582" s="12" t="n">
        <v>2</v>
      </c>
      <c r="F582" s="12" t="s">
        <v>2314</v>
      </c>
      <c r="G582" s="12" t="s">
        <v>2310</v>
      </c>
      <c r="H582" s="17"/>
      <c r="I582" s="17"/>
      <c r="J582" s="13" t="n">
        <v>53818</v>
      </c>
      <c r="K582" s="12" t="n">
        <v>6.6</v>
      </c>
      <c r="L582" s="12" t="s">
        <v>169</v>
      </c>
      <c r="M582" s="12" t="s">
        <v>3947</v>
      </c>
    </row>
    <row r="583" customFormat="false" ht="15" hidden="false" customHeight="false" outlineLevel="0" collapsed="false">
      <c r="A583" s="12" t="s">
        <v>2306</v>
      </c>
      <c r="B583" s="12" t="s">
        <v>3948</v>
      </c>
      <c r="C583" s="12" t="s">
        <v>3949</v>
      </c>
      <c r="D583" s="12" t="s">
        <v>265</v>
      </c>
      <c r="E583" s="12" t="n">
        <v>2</v>
      </c>
      <c r="F583" s="12" t="s">
        <v>2309</v>
      </c>
      <c r="G583" s="12" t="s">
        <v>2310</v>
      </c>
      <c r="H583" s="17"/>
      <c r="I583" s="17"/>
      <c r="J583" s="13" t="n">
        <v>53614</v>
      </c>
      <c r="K583" s="12" t="n">
        <v>6.3</v>
      </c>
      <c r="L583" s="12" t="s">
        <v>128</v>
      </c>
      <c r="M583" s="12" t="s">
        <v>3950</v>
      </c>
    </row>
    <row r="584" customFormat="false" ht="15" hidden="false" customHeight="false" outlineLevel="0" collapsed="false">
      <c r="A584" s="12" t="s">
        <v>2306</v>
      </c>
      <c r="B584" s="12" t="s">
        <v>3951</v>
      </c>
      <c r="C584" s="12" t="s">
        <v>3952</v>
      </c>
      <c r="D584" s="12" t="s">
        <v>1103</v>
      </c>
      <c r="E584" s="12" t="n">
        <v>2</v>
      </c>
      <c r="F584" s="12" t="s">
        <v>2314</v>
      </c>
      <c r="G584" s="12" t="s">
        <v>2310</v>
      </c>
      <c r="H584" s="17"/>
      <c r="I584" s="17"/>
      <c r="J584" s="13" t="n">
        <v>53242</v>
      </c>
      <c r="K584" s="12" t="n">
        <v>6.5</v>
      </c>
      <c r="L584" s="12" t="s">
        <v>169</v>
      </c>
      <c r="M584" s="12" t="s">
        <v>3953</v>
      </c>
    </row>
    <row r="585" customFormat="false" ht="15" hidden="false" customHeight="false" outlineLevel="0" collapsed="false">
      <c r="A585" s="12" t="s">
        <v>2306</v>
      </c>
      <c r="B585" s="12" t="s">
        <v>3954</v>
      </c>
      <c r="D585" s="12" t="s">
        <v>158</v>
      </c>
      <c r="E585" s="12" t="n">
        <v>2</v>
      </c>
      <c r="F585" s="12" t="s">
        <v>2387</v>
      </c>
      <c r="G585" s="12" t="s">
        <v>2310</v>
      </c>
      <c r="H585" s="13" t="n">
        <v>2237776</v>
      </c>
      <c r="I585" s="17"/>
      <c r="J585" s="13" t="n">
        <v>1566</v>
      </c>
      <c r="K585" s="12" t="n">
        <v>5.6</v>
      </c>
      <c r="L585" s="12" t="s">
        <v>92</v>
      </c>
      <c r="M585" s="12" t="s">
        <v>3955</v>
      </c>
    </row>
    <row r="586" customFormat="false" ht="15" hidden="false" customHeight="false" outlineLevel="0" collapsed="false">
      <c r="A586" s="12" t="s">
        <v>2306</v>
      </c>
      <c r="B586" s="12" t="s">
        <v>3956</v>
      </c>
      <c r="D586" s="12" t="s">
        <v>111</v>
      </c>
      <c r="E586" s="12" t="n">
        <v>1</v>
      </c>
      <c r="F586" s="12" t="s">
        <v>2404</v>
      </c>
      <c r="G586" s="12" t="s">
        <v>2405</v>
      </c>
      <c r="H586" s="13" t="n">
        <v>1190754</v>
      </c>
      <c r="I586" s="17"/>
      <c r="J586" s="17"/>
      <c r="L586" s="12" t="s">
        <v>92</v>
      </c>
    </row>
    <row r="587" customFormat="false" ht="15" hidden="false" customHeight="false" outlineLevel="0" collapsed="false">
      <c r="A587" s="12" t="s">
        <v>2306</v>
      </c>
      <c r="B587" s="12" t="s">
        <v>3957</v>
      </c>
      <c r="C587" s="12" t="s">
        <v>3958</v>
      </c>
      <c r="D587" s="12" t="s">
        <v>500</v>
      </c>
      <c r="E587" s="12" t="n">
        <v>2</v>
      </c>
      <c r="F587" s="12" t="s">
        <v>2387</v>
      </c>
      <c r="G587" s="12" t="s">
        <v>2310</v>
      </c>
      <c r="H587" s="13" t="n">
        <v>1327577</v>
      </c>
      <c r="I587" s="17"/>
      <c r="J587" s="13" t="n">
        <v>51697</v>
      </c>
      <c r="K587" s="12" t="n">
        <v>5</v>
      </c>
      <c r="L587" s="12" t="s">
        <v>92</v>
      </c>
      <c r="M587" s="12" t="s">
        <v>3959</v>
      </c>
    </row>
    <row r="588" customFormat="false" ht="15" hidden="false" customHeight="false" outlineLevel="0" collapsed="false">
      <c r="A588" s="12" t="s">
        <v>2306</v>
      </c>
      <c r="B588" s="12" t="s">
        <v>3960</v>
      </c>
      <c r="C588" s="12" t="s">
        <v>3961</v>
      </c>
      <c r="D588" s="12" t="s">
        <v>90</v>
      </c>
      <c r="E588" s="12" t="n">
        <v>2</v>
      </c>
      <c r="F588" s="12" t="s">
        <v>2314</v>
      </c>
      <c r="G588" s="12" t="s">
        <v>2310</v>
      </c>
      <c r="H588" s="17"/>
      <c r="I588" s="17"/>
      <c r="J588" s="13" t="n">
        <v>51409</v>
      </c>
      <c r="K588" s="12" t="n">
        <v>6.7</v>
      </c>
      <c r="L588" s="12" t="s">
        <v>169</v>
      </c>
      <c r="M588" s="12" t="s">
        <v>3962</v>
      </c>
    </row>
    <row r="589" customFormat="false" ht="15" hidden="false" customHeight="false" outlineLevel="0" collapsed="false">
      <c r="A589" s="12" t="s">
        <v>2306</v>
      </c>
      <c r="B589" s="12" t="s">
        <v>3963</v>
      </c>
      <c r="C589" s="12" t="s">
        <v>3964</v>
      </c>
      <c r="D589" s="12" t="s">
        <v>251</v>
      </c>
      <c r="E589" s="12" t="n">
        <v>2</v>
      </c>
      <c r="F589" s="12" t="s">
        <v>2314</v>
      </c>
      <c r="G589" s="12" t="s">
        <v>2310</v>
      </c>
      <c r="H589" s="17"/>
      <c r="I589" s="17"/>
      <c r="J589" s="13" t="n">
        <v>51034</v>
      </c>
      <c r="K589" s="12" t="n">
        <v>7.6</v>
      </c>
      <c r="L589" s="12" t="s">
        <v>169</v>
      </c>
      <c r="M589" s="12" t="s">
        <v>3965</v>
      </c>
    </row>
    <row r="590" customFormat="false" ht="15" hidden="false" customHeight="false" outlineLevel="0" collapsed="false">
      <c r="A590" s="12" t="s">
        <v>2306</v>
      </c>
      <c r="B590" s="12" t="s">
        <v>3966</v>
      </c>
      <c r="C590" s="12" t="s">
        <v>3967</v>
      </c>
      <c r="D590" s="12" t="s">
        <v>321</v>
      </c>
      <c r="E590" s="12" t="n">
        <v>2</v>
      </c>
      <c r="F590" s="12" t="s">
        <v>2387</v>
      </c>
      <c r="G590" s="12" t="s">
        <v>2310</v>
      </c>
      <c r="H590" s="13" t="n">
        <v>904514</v>
      </c>
      <c r="I590" s="17"/>
      <c r="J590" s="13" t="n">
        <v>77633</v>
      </c>
      <c r="K590" s="12" t="n">
        <v>6.5</v>
      </c>
      <c r="L590" s="12" t="s">
        <v>92</v>
      </c>
      <c r="M590" s="12" t="s">
        <v>3968</v>
      </c>
    </row>
    <row r="591" customFormat="false" ht="15" hidden="false" customHeight="false" outlineLevel="0" collapsed="false">
      <c r="A591" s="12" t="s">
        <v>2306</v>
      </c>
      <c r="B591" s="12" t="s">
        <v>3969</v>
      </c>
      <c r="C591" s="12" t="s">
        <v>3970</v>
      </c>
      <c r="D591" s="12" t="s">
        <v>189</v>
      </c>
      <c r="E591" s="12" t="n">
        <v>2</v>
      </c>
      <c r="F591" s="12" t="s">
        <v>2314</v>
      </c>
      <c r="G591" s="12" t="s">
        <v>2310</v>
      </c>
      <c r="H591" s="17"/>
      <c r="I591" s="17"/>
      <c r="J591" s="13" t="n">
        <v>50391</v>
      </c>
      <c r="K591" s="12" t="n">
        <v>7</v>
      </c>
      <c r="L591" s="12" t="s">
        <v>169</v>
      </c>
      <c r="M591" s="12" t="s">
        <v>3971</v>
      </c>
    </row>
    <row r="592" customFormat="false" ht="15" hidden="false" customHeight="false" outlineLevel="0" collapsed="false">
      <c r="A592" s="12" t="s">
        <v>2306</v>
      </c>
      <c r="B592" s="12" t="s">
        <v>3972</v>
      </c>
      <c r="D592" s="12" t="s">
        <v>175</v>
      </c>
      <c r="E592" s="12" t="n">
        <v>2</v>
      </c>
      <c r="F592" s="12" t="s">
        <v>2387</v>
      </c>
      <c r="G592" s="12" t="s">
        <v>2310</v>
      </c>
      <c r="H592" s="13" t="n">
        <v>2285864</v>
      </c>
      <c r="I592" s="17"/>
      <c r="J592" s="13" t="n">
        <v>1116</v>
      </c>
      <c r="K592" s="12" t="n">
        <v>5.8</v>
      </c>
      <c r="L592" s="12" t="s">
        <v>92</v>
      </c>
      <c r="M592" s="12" t="s">
        <v>3973</v>
      </c>
    </row>
    <row r="593" customFormat="false" ht="15" hidden="false" customHeight="false" outlineLevel="0" collapsed="false">
      <c r="A593" s="12" t="s">
        <v>2306</v>
      </c>
      <c r="B593" s="12" t="s">
        <v>3974</v>
      </c>
      <c r="C593" s="12" t="s">
        <v>3975</v>
      </c>
      <c r="D593" s="12" t="s">
        <v>505</v>
      </c>
      <c r="E593" s="12" t="n">
        <v>2</v>
      </c>
      <c r="F593" s="12" t="s">
        <v>2314</v>
      </c>
      <c r="G593" s="12" t="s">
        <v>2310</v>
      </c>
      <c r="H593" s="17"/>
      <c r="I593" s="17"/>
      <c r="J593" s="13" t="n">
        <v>50158</v>
      </c>
      <c r="K593" s="12" t="n">
        <v>6</v>
      </c>
      <c r="L593" s="12" t="s">
        <v>169</v>
      </c>
      <c r="M593" s="12" t="s">
        <v>3976</v>
      </c>
    </row>
    <row r="594" customFormat="false" ht="15" hidden="false" customHeight="false" outlineLevel="0" collapsed="false">
      <c r="A594" s="12" t="s">
        <v>2306</v>
      </c>
      <c r="B594" s="12" t="s">
        <v>3977</v>
      </c>
      <c r="C594" s="12" t="s">
        <v>3978</v>
      </c>
      <c r="D594" s="12" t="s">
        <v>207</v>
      </c>
      <c r="E594" s="12" t="n">
        <v>2</v>
      </c>
      <c r="F594" s="12" t="s">
        <v>2314</v>
      </c>
      <c r="G594" s="12" t="s">
        <v>2310</v>
      </c>
      <c r="H594" s="17"/>
      <c r="I594" s="17"/>
      <c r="J594" s="13" t="n">
        <v>49979</v>
      </c>
      <c r="K594" s="12" t="n">
        <v>6.6</v>
      </c>
      <c r="L594" s="12" t="s">
        <v>169</v>
      </c>
      <c r="M594" s="12" t="s">
        <v>3979</v>
      </c>
    </row>
    <row r="595" customFormat="false" ht="15" hidden="false" customHeight="false" outlineLevel="0" collapsed="false">
      <c r="A595" s="12" t="s">
        <v>2306</v>
      </c>
      <c r="B595" s="12" t="s">
        <v>3980</v>
      </c>
      <c r="C595" s="12" t="s">
        <v>3981</v>
      </c>
      <c r="D595" s="12" t="s">
        <v>505</v>
      </c>
      <c r="E595" s="12" t="n">
        <v>2</v>
      </c>
      <c r="F595" s="12" t="s">
        <v>2314</v>
      </c>
      <c r="G595" s="12" t="s">
        <v>2310</v>
      </c>
      <c r="H595" s="17"/>
      <c r="I595" s="17"/>
      <c r="J595" s="13" t="n">
        <v>49721</v>
      </c>
      <c r="K595" s="12" t="n">
        <v>7</v>
      </c>
      <c r="L595" s="12" t="s">
        <v>169</v>
      </c>
      <c r="M595" s="12" t="s">
        <v>3982</v>
      </c>
    </row>
    <row r="596" customFormat="false" ht="15" hidden="false" customHeight="false" outlineLevel="0" collapsed="false">
      <c r="A596" s="12" t="s">
        <v>2306</v>
      </c>
      <c r="B596" s="12" t="s">
        <v>3983</v>
      </c>
      <c r="D596" s="12" t="s">
        <v>183</v>
      </c>
      <c r="E596" s="12" t="n">
        <v>2</v>
      </c>
      <c r="F596" s="12" t="s">
        <v>2387</v>
      </c>
      <c r="G596" s="12" t="s">
        <v>2310</v>
      </c>
      <c r="H596" s="13" t="n">
        <v>2537628</v>
      </c>
      <c r="I596" s="17"/>
      <c r="J596" s="13" t="n">
        <v>597</v>
      </c>
      <c r="K596" s="12" t="n">
        <v>5.4</v>
      </c>
      <c r="L596" s="12" t="s">
        <v>92</v>
      </c>
      <c r="M596" s="12" t="s">
        <v>3984</v>
      </c>
    </row>
    <row r="597" customFormat="false" ht="15" hidden="false" customHeight="false" outlineLevel="0" collapsed="false">
      <c r="A597" s="12" t="s">
        <v>2306</v>
      </c>
      <c r="B597" s="12" t="s">
        <v>3985</v>
      </c>
      <c r="C597" s="12" t="s">
        <v>3986</v>
      </c>
      <c r="D597" s="12" t="s">
        <v>251</v>
      </c>
      <c r="E597" s="12" t="n">
        <v>2</v>
      </c>
      <c r="F597" s="12" t="s">
        <v>2314</v>
      </c>
      <c r="G597" s="12" t="s">
        <v>2310</v>
      </c>
      <c r="H597" s="17"/>
      <c r="I597" s="17"/>
      <c r="J597" s="13" t="n">
        <v>49236</v>
      </c>
      <c r="K597" s="12" t="n">
        <v>5.8</v>
      </c>
      <c r="L597" s="12" t="s">
        <v>169</v>
      </c>
      <c r="M597" s="12" t="s">
        <v>3987</v>
      </c>
    </row>
    <row r="598" customFormat="false" ht="15" hidden="false" customHeight="false" outlineLevel="0" collapsed="false">
      <c r="A598" s="12" t="s">
        <v>2306</v>
      </c>
      <c r="B598" s="12" t="s">
        <v>3988</v>
      </c>
      <c r="C598" s="12" t="s">
        <v>3988</v>
      </c>
      <c r="D598" s="12" t="s">
        <v>265</v>
      </c>
      <c r="E598" s="12" t="n">
        <v>2</v>
      </c>
      <c r="F598" s="12" t="s">
        <v>2309</v>
      </c>
      <c r="G598" s="12" t="s">
        <v>2310</v>
      </c>
      <c r="H598" s="17"/>
      <c r="I598" s="17"/>
      <c r="J598" s="13" t="n">
        <v>49200</v>
      </c>
      <c r="K598" s="12" t="n">
        <v>6.8</v>
      </c>
      <c r="L598" s="12" t="s">
        <v>128</v>
      </c>
      <c r="M598" s="12" t="s">
        <v>3989</v>
      </c>
    </row>
    <row r="599" customFormat="false" ht="15" hidden="false" customHeight="false" outlineLevel="0" collapsed="false">
      <c r="A599" s="12" t="s">
        <v>2306</v>
      </c>
      <c r="B599" s="12" t="s">
        <v>3990</v>
      </c>
      <c r="C599" s="12" t="s">
        <v>3991</v>
      </c>
      <c r="D599" s="12" t="s">
        <v>118</v>
      </c>
      <c r="E599" s="12" t="n">
        <v>2</v>
      </c>
      <c r="F599" s="12" t="s">
        <v>2688</v>
      </c>
      <c r="G599" s="12" t="s">
        <v>2310</v>
      </c>
      <c r="H599" s="17"/>
      <c r="I599" s="17"/>
      <c r="J599" s="13" t="n">
        <v>49002</v>
      </c>
      <c r="K599" s="12" t="n">
        <v>6.1</v>
      </c>
      <c r="L599" s="12" t="s">
        <v>674</v>
      </c>
      <c r="M599" s="12" t="s">
        <v>3992</v>
      </c>
    </row>
    <row r="600" customFormat="false" ht="15" hidden="false" customHeight="false" outlineLevel="0" collapsed="false">
      <c r="A600" s="12" t="s">
        <v>2306</v>
      </c>
      <c r="B600" s="12" t="s">
        <v>3993</v>
      </c>
      <c r="C600" s="12" t="s">
        <v>3994</v>
      </c>
      <c r="D600" s="12" t="s">
        <v>189</v>
      </c>
      <c r="E600" s="12" t="n">
        <v>2</v>
      </c>
      <c r="F600" s="12" t="s">
        <v>2309</v>
      </c>
      <c r="G600" s="12" t="s">
        <v>2310</v>
      </c>
      <c r="H600" s="17"/>
      <c r="I600" s="17"/>
      <c r="J600" s="13" t="n">
        <v>48722</v>
      </c>
      <c r="K600" s="12" t="n">
        <v>5.9</v>
      </c>
      <c r="L600" s="12" t="s">
        <v>128</v>
      </c>
      <c r="M600" s="12" t="s">
        <v>3995</v>
      </c>
    </row>
    <row r="601" customFormat="false" ht="15" hidden="false" customHeight="false" outlineLevel="0" collapsed="false">
      <c r="A601" s="12" t="s">
        <v>2306</v>
      </c>
      <c r="B601" s="12" t="s">
        <v>3996</v>
      </c>
      <c r="C601" s="12" t="s">
        <v>3997</v>
      </c>
      <c r="D601" s="12" t="s">
        <v>1103</v>
      </c>
      <c r="E601" s="12" t="n">
        <v>2</v>
      </c>
      <c r="F601" s="12" t="s">
        <v>2314</v>
      </c>
      <c r="G601" s="12" t="s">
        <v>2310</v>
      </c>
      <c r="H601" s="17"/>
      <c r="I601" s="17"/>
      <c r="J601" s="13" t="n">
        <v>48173</v>
      </c>
      <c r="K601" s="12" t="n">
        <v>6.9</v>
      </c>
      <c r="L601" s="12" t="s">
        <v>169</v>
      </c>
      <c r="M601" s="12" t="s">
        <v>3998</v>
      </c>
    </row>
    <row r="602" customFormat="false" ht="15" hidden="false" customHeight="false" outlineLevel="0" collapsed="false">
      <c r="A602" s="12" t="s">
        <v>2306</v>
      </c>
      <c r="B602" s="12" t="s">
        <v>3999</v>
      </c>
      <c r="C602" s="12" t="s">
        <v>3999</v>
      </c>
      <c r="D602" s="12" t="s">
        <v>286</v>
      </c>
      <c r="E602" s="12" t="n">
        <v>2</v>
      </c>
      <c r="F602" s="12" t="s">
        <v>2563</v>
      </c>
      <c r="G602" s="12" t="s">
        <v>2310</v>
      </c>
      <c r="H602" s="17"/>
      <c r="I602" s="13" t="n">
        <v>273339556</v>
      </c>
      <c r="J602" s="13" t="n">
        <v>291400</v>
      </c>
      <c r="K602" s="12" t="n">
        <v>6.6</v>
      </c>
      <c r="L602" s="12" t="s">
        <v>92</v>
      </c>
      <c r="M602" s="12" t="s">
        <v>4000</v>
      </c>
    </row>
    <row r="603" customFormat="false" ht="15" hidden="false" customHeight="false" outlineLevel="0" collapsed="false">
      <c r="A603" s="12" t="s">
        <v>2306</v>
      </c>
      <c r="B603" s="12" t="s">
        <v>4001</v>
      </c>
      <c r="C603" s="12" t="s">
        <v>4002</v>
      </c>
      <c r="D603" s="12" t="s">
        <v>183</v>
      </c>
      <c r="E603" s="12" t="n">
        <v>2</v>
      </c>
      <c r="F603" s="12" t="s">
        <v>2314</v>
      </c>
      <c r="G603" s="12" t="s">
        <v>2310</v>
      </c>
      <c r="H603" s="17"/>
      <c r="I603" s="17"/>
      <c r="J603" s="13" t="n">
        <v>48008</v>
      </c>
      <c r="K603" s="12" t="n">
        <v>5.5</v>
      </c>
      <c r="L603" s="12" t="s">
        <v>169</v>
      </c>
      <c r="M603" s="12" t="s">
        <v>4003</v>
      </c>
    </row>
    <row r="604" customFormat="false" ht="15" hidden="false" customHeight="false" outlineLevel="0" collapsed="false">
      <c r="A604" s="12" t="s">
        <v>2306</v>
      </c>
      <c r="B604" s="12" t="s">
        <v>4004</v>
      </c>
      <c r="C604" s="12" t="s">
        <v>4005</v>
      </c>
      <c r="D604" s="12" t="s">
        <v>118</v>
      </c>
      <c r="E604" s="12" t="n">
        <v>2</v>
      </c>
      <c r="F604" s="12" t="s">
        <v>2314</v>
      </c>
      <c r="G604" s="12" t="s">
        <v>2310</v>
      </c>
      <c r="H604" s="17"/>
      <c r="I604" s="17"/>
      <c r="J604" s="13" t="n">
        <v>47825</v>
      </c>
      <c r="K604" s="12" t="n">
        <v>5.8</v>
      </c>
      <c r="L604" s="12" t="s">
        <v>169</v>
      </c>
      <c r="M604" s="12" t="s">
        <v>4006</v>
      </c>
    </row>
    <row r="605" customFormat="false" ht="15" hidden="false" customHeight="false" outlineLevel="0" collapsed="false">
      <c r="A605" s="12" t="s">
        <v>2306</v>
      </c>
      <c r="B605" s="12" t="s">
        <v>4007</v>
      </c>
      <c r="C605" s="12" t="s">
        <v>4008</v>
      </c>
      <c r="D605" s="12" t="s">
        <v>214</v>
      </c>
      <c r="E605" s="12" t="n">
        <v>2</v>
      </c>
      <c r="F605" s="12" t="s">
        <v>2387</v>
      </c>
      <c r="G605" s="12" t="s">
        <v>2310</v>
      </c>
      <c r="H605" s="13" t="n">
        <v>1966736</v>
      </c>
      <c r="I605" s="17"/>
      <c r="J605" s="13" t="n">
        <v>2657</v>
      </c>
      <c r="K605" s="12" t="n">
        <v>5.9</v>
      </c>
      <c r="L605" s="12" t="s">
        <v>92</v>
      </c>
      <c r="M605" s="12" t="s">
        <v>4009</v>
      </c>
    </row>
    <row r="606" customFormat="false" ht="15" hidden="false" customHeight="false" outlineLevel="0" collapsed="false">
      <c r="A606" s="12" t="s">
        <v>2306</v>
      </c>
      <c r="B606" s="12" t="s">
        <v>4010</v>
      </c>
      <c r="C606" s="12" t="s">
        <v>4011</v>
      </c>
      <c r="D606" s="12" t="s">
        <v>90</v>
      </c>
      <c r="E606" s="12" t="n">
        <v>2</v>
      </c>
      <c r="F606" s="12" t="s">
        <v>2314</v>
      </c>
      <c r="G606" s="12" t="s">
        <v>2310</v>
      </c>
      <c r="H606" s="17"/>
      <c r="I606" s="17"/>
      <c r="J606" s="13" t="n">
        <v>46667</v>
      </c>
      <c r="K606" s="12" t="n">
        <v>7.1</v>
      </c>
      <c r="L606" s="12" t="s">
        <v>169</v>
      </c>
      <c r="M606" s="12" t="s">
        <v>4012</v>
      </c>
    </row>
    <row r="607" customFormat="false" ht="15" hidden="false" customHeight="false" outlineLevel="0" collapsed="false">
      <c r="A607" s="12" t="s">
        <v>2306</v>
      </c>
      <c r="B607" s="12" t="s">
        <v>4013</v>
      </c>
      <c r="C607" s="12" t="s">
        <v>4013</v>
      </c>
      <c r="D607" s="12" t="s">
        <v>1103</v>
      </c>
      <c r="E607" s="12" t="n">
        <v>2</v>
      </c>
      <c r="F607" s="12" t="s">
        <v>2314</v>
      </c>
      <c r="G607" s="12" t="s">
        <v>2310</v>
      </c>
      <c r="H607" s="17"/>
      <c r="I607" s="17"/>
      <c r="J607" s="13" t="n">
        <v>46422</v>
      </c>
      <c r="K607" s="12" t="n">
        <v>8</v>
      </c>
      <c r="L607" s="12" t="s">
        <v>169</v>
      </c>
      <c r="M607" s="12" t="s">
        <v>4014</v>
      </c>
    </row>
    <row r="608" customFormat="false" ht="15" hidden="false" customHeight="false" outlineLevel="0" collapsed="false">
      <c r="A608" s="12" t="s">
        <v>2306</v>
      </c>
      <c r="B608" s="12" t="s">
        <v>4015</v>
      </c>
      <c r="C608" s="12" t="s">
        <v>4015</v>
      </c>
      <c r="D608" s="12" t="s">
        <v>189</v>
      </c>
      <c r="E608" s="12" t="n">
        <v>2</v>
      </c>
      <c r="F608" s="12" t="s">
        <v>2314</v>
      </c>
      <c r="G608" s="12" t="s">
        <v>2310</v>
      </c>
      <c r="H608" s="17"/>
      <c r="I608" s="17"/>
      <c r="J608" s="13" t="n">
        <v>46222</v>
      </c>
      <c r="K608" s="12" t="n">
        <v>6.1</v>
      </c>
      <c r="L608" s="12" t="s">
        <v>169</v>
      </c>
      <c r="M608" s="12" t="s">
        <v>4016</v>
      </c>
    </row>
    <row r="609" customFormat="false" ht="15" hidden="false" customHeight="false" outlineLevel="0" collapsed="false">
      <c r="A609" s="12" t="s">
        <v>2306</v>
      </c>
      <c r="B609" s="12" t="s">
        <v>4017</v>
      </c>
      <c r="C609" s="12" t="s">
        <v>4018</v>
      </c>
      <c r="D609" s="12" t="s">
        <v>111</v>
      </c>
      <c r="E609" s="12" t="n">
        <v>2</v>
      </c>
      <c r="F609" s="12" t="s">
        <v>2314</v>
      </c>
      <c r="G609" s="12" t="s">
        <v>2310</v>
      </c>
      <c r="H609" s="17"/>
      <c r="I609" s="17"/>
      <c r="J609" s="13" t="n">
        <v>46135</v>
      </c>
      <c r="K609" s="12" t="n">
        <v>5.7</v>
      </c>
      <c r="L609" s="12" t="s">
        <v>169</v>
      </c>
      <c r="M609" s="12" t="s">
        <v>4019</v>
      </c>
    </row>
    <row r="610" customFormat="false" ht="15" hidden="false" customHeight="false" outlineLevel="0" collapsed="false">
      <c r="A610" s="12" t="s">
        <v>2306</v>
      </c>
      <c r="B610" s="12" t="s">
        <v>4020</v>
      </c>
      <c r="C610" s="12" t="s">
        <v>4021</v>
      </c>
      <c r="D610" s="12" t="s">
        <v>265</v>
      </c>
      <c r="E610" s="12" t="n">
        <v>2</v>
      </c>
      <c r="F610" s="12" t="s">
        <v>2309</v>
      </c>
      <c r="G610" s="12" t="s">
        <v>2310</v>
      </c>
      <c r="H610" s="17"/>
      <c r="I610" s="17"/>
      <c r="J610" s="13" t="n">
        <v>45786</v>
      </c>
      <c r="K610" s="12" t="n">
        <v>6.5</v>
      </c>
      <c r="L610" s="12" t="s">
        <v>128</v>
      </c>
      <c r="M610" s="12" t="s">
        <v>4022</v>
      </c>
    </row>
    <row r="611" customFormat="false" ht="15" hidden="false" customHeight="false" outlineLevel="0" collapsed="false">
      <c r="A611" s="12" t="s">
        <v>2306</v>
      </c>
      <c r="B611" s="12" t="s">
        <v>4023</v>
      </c>
      <c r="C611" s="12" t="s">
        <v>4023</v>
      </c>
      <c r="D611" s="12" t="s">
        <v>101</v>
      </c>
      <c r="E611" s="12" t="n">
        <v>2</v>
      </c>
      <c r="F611" s="12" t="s">
        <v>2314</v>
      </c>
      <c r="G611" s="12" t="s">
        <v>2310</v>
      </c>
      <c r="H611" s="17"/>
      <c r="I611" s="17"/>
      <c r="J611" s="13" t="n">
        <v>44394</v>
      </c>
      <c r="K611" s="12" t="n">
        <v>6.6</v>
      </c>
      <c r="L611" s="12" t="s">
        <v>169</v>
      </c>
      <c r="M611" s="12" t="s">
        <v>4024</v>
      </c>
    </row>
    <row r="612" customFormat="false" ht="15" hidden="false" customHeight="false" outlineLevel="0" collapsed="false">
      <c r="A612" s="12" t="s">
        <v>2306</v>
      </c>
      <c r="B612" s="12" t="s">
        <v>4025</v>
      </c>
      <c r="C612" s="12" t="s">
        <v>4025</v>
      </c>
      <c r="D612" s="12" t="s">
        <v>175</v>
      </c>
      <c r="E612" s="12" t="n">
        <v>2</v>
      </c>
      <c r="F612" s="12" t="s">
        <v>2314</v>
      </c>
      <c r="G612" s="12" t="s">
        <v>2310</v>
      </c>
      <c r="H612" s="17"/>
      <c r="I612" s="17"/>
      <c r="J612" s="13" t="n">
        <v>43883</v>
      </c>
      <c r="K612" s="12" t="n">
        <v>7.8</v>
      </c>
      <c r="L612" s="12" t="s">
        <v>169</v>
      </c>
      <c r="M612" s="12" t="s">
        <v>4026</v>
      </c>
    </row>
    <row r="613" customFormat="false" ht="15" hidden="false" customHeight="false" outlineLevel="0" collapsed="false">
      <c r="A613" s="12" t="s">
        <v>2306</v>
      </c>
      <c r="B613" s="12" t="s">
        <v>4027</v>
      </c>
      <c r="D613" s="12" t="s">
        <v>396</v>
      </c>
      <c r="E613" s="12" t="n">
        <v>2</v>
      </c>
      <c r="F613" s="12" t="s">
        <v>2387</v>
      </c>
      <c r="G613" s="12" t="s">
        <v>2310</v>
      </c>
      <c r="H613" s="13" t="n">
        <v>1187074</v>
      </c>
      <c r="I613" s="17"/>
      <c r="J613" s="13" t="n">
        <v>49166</v>
      </c>
      <c r="K613" s="12" t="n">
        <v>4.8</v>
      </c>
      <c r="L613" s="12" t="s">
        <v>92</v>
      </c>
      <c r="M613" s="12" t="s">
        <v>4028</v>
      </c>
    </row>
    <row r="614" customFormat="false" ht="15" hidden="false" customHeight="false" outlineLevel="0" collapsed="false">
      <c r="A614" s="12" t="s">
        <v>2306</v>
      </c>
      <c r="B614" s="12" t="s">
        <v>4029</v>
      </c>
      <c r="C614" s="12" t="s">
        <v>4030</v>
      </c>
      <c r="D614" s="12" t="s">
        <v>101</v>
      </c>
      <c r="E614" s="12" t="n">
        <v>2</v>
      </c>
      <c r="F614" s="12" t="s">
        <v>2314</v>
      </c>
      <c r="G614" s="12" t="s">
        <v>2310</v>
      </c>
      <c r="H614" s="17"/>
      <c r="I614" s="17"/>
      <c r="J614" s="13" t="n">
        <v>43533</v>
      </c>
      <c r="K614" s="12" t="n">
        <v>7.3</v>
      </c>
      <c r="L614" s="12" t="s">
        <v>169</v>
      </c>
      <c r="M614" s="12" t="s">
        <v>4031</v>
      </c>
    </row>
    <row r="615" customFormat="false" ht="15" hidden="false" customHeight="false" outlineLevel="0" collapsed="false">
      <c r="A615" s="12" t="s">
        <v>2306</v>
      </c>
      <c r="B615" s="12" t="s">
        <v>4032</v>
      </c>
      <c r="C615" s="12" t="s">
        <v>4033</v>
      </c>
      <c r="D615" s="12" t="s">
        <v>152</v>
      </c>
      <c r="E615" s="12" t="n">
        <v>2</v>
      </c>
      <c r="F615" s="12" t="s">
        <v>2387</v>
      </c>
      <c r="G615" s="12" t="s">
        <v>2310</v>
      </c>
      <c r="H615" s="13" t="n">
        <v>2219423</v>
      </c>
      <c r="I615" s="17"/>
      <c r="J615" s="13" t="n">
        <v>763</v>
      </c>
      <c r="K615" s="12" t="n">
        <v>5.2</v>
      </c>
      <c r="L615" s="12" t="s">
        <v>92</v>
      </c>
      <c r="M615" s="12" t="s">
        <v>4034</v>
      </c>
    </row>
    <row r="616" customFormat="false" ht="15" hidden="false" customHeight="false" outlineLevel="0" collapsed="false">
      <c r="A616" s="12" t="s">
        <v>2306</v>
      </c>
      <c r="B616" s="12" t="s">
        <v>4035</v>
      </c>
      <c r="C616" s="12" t="s">
        <v>4036</v>
      </c>
      <c r="D616" s="12" t="s">
        <v>251</v>
      </c>
      <c r="E616" s="12" t="n">
        <v>2</v>
      </c>
      <c r="F616" s="12" t="s">
        <v>2314</v>
      </c>
      <c r="G616" s="12" t="s">
        <v>2310</v>
      </c>
      <c r="H616" s="17"/>
      <c r="I616" s="17"/>
      <c r="J616" s="13" t="n">
        <v>43311</v>
      </c>
      <c r="K616" s="12" t="n">
        <v>4.6</v>
      </c>
      <c r="L616" s="12" t="s">
        <v>169</v>
      </c>
      <c r="M616" s="12" t="s">
        <v>4037</v>
      </c>
    </row>
    <row r="617" customFormat="false" ht="15" hidden="false" customHeight="false" outlineLevel="0" collapsed="false">
      <c r="A617" s="12" t="s">
        <v>2306</v>
      </c>
      <c r="B617" s="12" t="s">
        <v>4038</v>
      </c>
      <c r="D617" s="12" t="s">
        <v>189</v>
      </c>
      <c r="E617" s="12" t="n">
        <v>2</v>
      </c>
      <c r="F617" s="12" t="s">
        <v>2387</v>
      </c>
      <c r="G617" s="12" t="s">
        <v>2310</v>
      </c>
      <c r="H617" s="13" t="n">
        <v>2525347</v>
      </c>
      <c r="I617" s="17"/>
      <c r="J617" s="13" t="n">
        <v>420</v>
      </c>
      <c r="K617" s="12" t="n">
        <v>4.6</v>
      </c>
      <c r="L617" s="12" t="s">
        <v>92</v>
      </c>
      <c r="M617" s="12" t="s">
        <v>4039</v>
      </c>
    </row>
    <row r="618" customFormat="false" ht="15" hidden="false" customHeight="false" outlineLevel="0" collapsed="false">
      <c r="A618" s="12" t="s">
        <v>2306</v>
      </c>
      <c r="B618" s="12" t="s">
        <v>4040</v>
      </c>
      <c r="C618" s="12" t="s">
        <v>4040</v>
      </c>
      <c r="D618" s="12" t="s">
        <v>1103</v>
      </c>
      <c r="E618" s="12" t="n">
        <v>2</v>
      </c>
      <c r="F618" s="12" t="s">
        <v>2314</v>
      </c>
      <c r="G618" s="12" t="s">
        <v>2310</v>
      </c>
      <c r="H618" s="17"/>
      <c r="I618" s="17"/>
      <c r="J618" s="13" t="n">
        <v>43253</v>
      </c>
      <c r="K618" s="12" t="n">
        <v>7.1</v>
      </c>
      <c r="L618" s="12" t="s">
        <v>169</v>
      </c>
      <c r="M618" s="12" t="s">
        <v>4041</v>
      </c>
    </row>
    <row r="619" customFormat="false" ht="15" hidden="false" customHeight="false" outlineLevel="0" collapsed="false">
      <c r="A619" s="12" t="s">
        <v>2306</v>
      </c>
      <c r="B619" s="12" t="s">
        <v>4042</v>
      </c>
      <c r="C619" s="12" t="s">
        <v>4043</v>
      </c>
      <c r="D619" s="12" t="s">
        <v>175</v>
      </c>
      <c r="E619" s="12" t="n">
        <v>2</v>
      </c>
      <c r="F619" s="12" t="s">
        <v>2309</v>
      </c>
      <c r="G619" s="12" t="s">
        <v>2310</v>
      </c>
      <c r="H619" s="17"/>
      <c r="I619" s="17"/>
      <c r="J619" s="13" t="n">
        <v>42940</v>
      </c>
      <c r="K619" s="12" t="n">
        <v>7.7</v>
      </c>
      <c r="L619" s="12" t="s">
        <v>128</v>
      </c>
      <c r="M619" s="12" t="s">
        <v>4044</v>
      </c>
    </row>
    <row r="620" customFormat="false" ht="15" hidden="false" customHeight="false" outlineLevel="0" collapsed="false">
      <c r="A620" s="12" t="s">
        <v>2306</v>
      </c>
      <c r="B620" s="12" t="s">
        <v>4045</v>
      </c>
      <c r="C620" s="12" t="s">
        <v>4045</v>
      </c>
      <c r="D620" s="12" t="s">
        <v>265</v>
      </c>
      <c r="E620" s="12" t="n">
        <v>2</v>
      </c>
      <c r="F620" s="12" t="s">
        <v>2309</v>
      </c>
      <c r="G620" s="12" t="s">
        <v>2310</v>
      </c>
      <c r="H620" s="17"/>
      <c r="I620" s="17"/>
      <c r="J620" s="13" t="n">
        <v>42692</v>
      </c>
      <c r="K620" s="12" t="n">
        <v>7.3</v>
      </c>
      <c r="L620" s="12" t="s">
        <v>128</v>
      </c>
      <c r="M620" s="12" t="s">
        <v>4046</v>
      </c>
    </row>
    <row r="621" customFormat="false" ht="15" hidden="false" customHeight="false" outlineLevel="0" collapsed="false">
      <c r="A621" s="12" t="s">
        <v>2306</v>
      </c>
      <c r="B621" s="12" t="s">
        <v>4047</v>
      </c>
      <c r="C621" s="12" t="s">
        <v>4048</v>
      </c>
      <c r="D621" s="12" t="s">
        <v>251</v>
      </c>
      <c r="E621" s="12" t="n">
        <v>2</v>
      </c>
      <c r="F621" s="12" t="s">
        <v>2314</v>
      </c>
      <c r="G621" s="12" t="s">
        <v>2310</v>
      </c>
      <c r="H621" s="17"/>
      <c r="I621" s="17"/>
      <c r="J621" s="13" t="n">
        <v>42450</v>
      </c>
      <c r="K621" s="12" t="n">
        <v>6.6</v>
      </c>
      <c r="L621" s="12" t="s">
        <v>169</v>
      </c>
      <c r="M621" s="12" t="s">
        <v>4049</v>
      </c>
    </row>
    <row r="622" customFormat="false" ht="15" hidden="false" customHeight="false" outlineLevel="0" collapsed="false">
      <c r="A622" s="12" t="s">
        <v>2306</v>
      </c>
      <c r="B622" s="12" t="s">
        <v>4050</v>
      </c>
      <c r="C622" s="12" t="s">
        <v>4051</v>
      </c>
      <c r="D622" s="12" t="s">
        <v>251</v>
      </c>
      <c r="E622" s="12" t="n">
        <v>2</v>
      </c>
      <c r="F622" s="12" t="s">
        <v>2314</v>
      </c>
      <c r="G622" s="12" t="s">
        <v>2310</v>
      </c>
      <c r="H622" s="17"/>
      <c r="I622" s="17"/>
      <c r="J622" s="13" t="n">
        <v>42217</v>
      </c>
      <c r="K622" s="12" t="n">
        <v>5.5</v>
      </c>
      <c r="L622" s="12" t="s">
        <v>169</v>
      </c>
      <c r="M622" s="12" t="s">
        <v>4052</v>
      </c>
    </row>
    <row r="623" customFormat="false" ht="15" hidden="false" customHeight="false" outlineLevel="0" collapsed="false">
      <c r="A623" s="12" t="s">
        <v>2306</v>
      </c>
      <c r="B623" s="12" t="s">
        <v>4053</v>
      </c>
      <c r="C623" s="12" t="s">
        <v>4054</v>
      </c>
      <c r="D623" s="12" t="s">
        <v>505</v>
      </c>
      <c r="E623" s="12" t="n">
        <v>2</v>
      </c>
      <c r="F623" s="12" t="s">
        <v>2314</v>
      </c>
      <c r="G623" s="12" t="s">
        <v>2310</v>
      </c>
      <c r="H623" s="17"/>
      <c r="I623" s="17"/>
      <c r="J623" s="13" t="n">
        <v>41856</v>
      </c>
      <c r="K623" s="12" t="n">
        <v>6.2</v>
      </c>
      <c r="L623" s="12" t="s">
        <v>169</v>
      </c>
      <c r="M623" s="12" t="s">
        <v>4055</v>
      </c>
    </row>
    <row r="624" customFormat="false" ht="15" hidden="false" customHeight="false" outlineLevel="0" collapsed="false">
      <c r="A624" s="12" t="s">
        <v>2306</v>
      </c>
      <c r="B624" s="12" t="s">
        <v>4056</v>
      </c>
      <c r="C624" s="12" t="s">
        <v>4057</v>
      </c>
      <c r="D624" s="12" t="s">
        <v>118</v>
      </c>
      <c r="E624" s="12" t="n">
        <v>2</v>
      </c>
      <c r="F624" s="12" t="s">
        <v>2688</v>
      </c>
      <c r="G624" s="12" t="s">
        <v>2310</v>
      </c>
      <c r="H624" s="17"/>
      <c r="I624" s="17"/>
      <c r="J624" s="13" t="n">
        <v>41274</v>
      </c>
      <c r="K624" s="12" t="n">
        <v>5.8</v>
      </c>
      <c r="L624" s="12" t="s">
        <v>674</v>
      </c>
      <c r="M624" s="12" t="s">
        <v>4058</v>
      </c>
    </row>
    <row r="625" customFormat="false" ht="15" hidden="false" customHeight="false" outlineLevel="0" collapsed="false">
      <c r="A625" s="12" t="s">
        <v>2306</v>
      </c>
      <c r="B625" s="12" t="s">
        <v>4059</v>
      </c>
      <c r="C625" s="12" t="s">
        <v>4060</v>
      </c>
      <c r="D625" s="12" t="s">
        <v>251</v>
      </c>
      <c r="E625" s="12" t="n">
        <v>2</v>
      </c>
      <c r="F625" s="12" t="s">
        <v>2309</v>
      </c>
      <c r="G625" s="12" t="s">
        <v>2310</v>
      </c>
      <c r="H625" s="17"/>
      <c r="I625" s="17"/>
      <c r="J625" s="13" t="n">
        <v>40922</v>
      </c>
      <c r="K625" s="12" t="n">
        <v>6.7</v>
      </c>
      <c r="L625" s="12" t="s">
        <v>128</v>
      </c>
      <c r="M625" s="12" t="s">
        <v>4061</v>
      </c>
    </row>
    <row r="626" customFormat="false" ht="15" hidden="false" customHeight="false" outlineLevel="0" collapsed="false">
      <c r="A626" s="12" t="s">
        <v>2306</v>
      </c>
      <c r="B626" s="12" t="s">
        <v>4062</v>
      </c>
      <c r="C626" s="12" t="s">
        <v>4063</v>
      </c>
      <c r="D626" s="12" t="s">
        <v>118</v>
      </c>
      <c r="E626" s="12" t="n">
        <v>2</v>
      </c>
      <c r="F626" s="12" t="s">
        <v>2688</v>
      </c>
      <c r="G626" s="12" t="s">
        <v>2310</v>
      </c>
      <c r="H626" s="17"/>
      <c r="I626" s="17"/>
      <c r="J626" s="13" t="n">
        <v>40391</v>
      </c>
      <c r="K626" s="12" t="n">
        <v>6.2</v>
      </c>
      <c r="L626" s="12" t="s">
        <v>674</v>
      </c>
      <c r="M626" s="12" t="s">
        <v>4064</v>
      </c>
    </row>
    <row r="627" customFormat="false" ht="15" hidden="false" customHeight="false" outlineLevel="0" collapsed="false">
      <c r="A627" s="12" t="s">
        <v>2306</v>
      </c>
      <c r="B627" s="12" t="s">
        <v>4065</v>
      </c>
      <c r="C627" s="12" t="s">
        <v>4066</v>
      </c>
      <c r="D627" s="12" t="s">
        <v>273</v>
      </c>
      <c r="E627" s="12" t="n">
        <v>2</v>
      </c>
      <c r="F627" s="12" t="s">
        <v>2387</v>
      </c>
      <c r="G627" s="12" t="s">
        <v>2310</v>
      </c>
      <c r="H627" s="13" t="n">
        <v>2310852</v>
      </c>
      <c r="I627" s="17"/>
      <c r="J627" s="13" t="n">
        <v>571</v>
      </c>
      <c r="K627" s="12" t="n">
        <v>2</v>
      </c>
      <c r="L627" s="12" t="s">
        <v>92</v>
      </c>
      <c r="M627" s="12" t="s">
        <v>4067</v>
      </c>
    </row>
    <row r="628" customFormat="false" ht="15" hidden="false" customHeight="false" outlineLevel="0" collapsed="false">
      <c r="A628" s="12" t="s">
        <v>2306</v>
      </c>
      <c r="B628" s="12" t="s">
        <v>4068</v>
      </c>
      <c r="C628" s="12" t="s">
        <v>4068</v>
      </c>
      <c r="D628" s="12" t="s">
        <v>1103</v>
      </c>
      <c r="E628" s="12" t="n">
        <v>2</v>
      </c>
      <c r="F628" s="12" t="s">
        <v>2314</v>
      </c>
      <c r="G628" s="12" t="s">
        <v>2310</v>
      </c>
      <c r="H628" s="17"/>
      <c r="I628" s="17"/>
      <c r="J628" s="13" t="n">
        <v>40328</v>
      </c>
      <c r="K628" s="12" t="n">
        <v>6.4</v>
      </c>
      <c r="L628" s="12" t="s">
        <v>169</v>
      </c>
      <c r="M628" s="12" t="s">
        <v>4069</v>
      </c>
    </row>
    <row r="629" customFormat="false" ht="15" hidden="false" customHeight="false" outlineLevel="0" collapsed="false">
      <c r="A629" s="12" t="s">
        <v>2306</v>
      </c>
      <c r="B629" s="12" t="s">
        <v>4070</v>
      </c>
      <c r="C629" s="12" t="s">
        <v>4071</v>
      </c>
      <c r="D629" s="12" t="s">
        <v>101</v>
      </c>
      <c r="E629" s="12" t="n">
        <v>2</v>
      </c>
      <c r="F629" s="12" t="s">
        <v>2387</v>
      </c>
      <c r="G629" s="12" t="s">
        <v>2310</v>
      </c>
      <c r="H629" s="13" t="n">
        <v>822244</v>
      </c>
      <c r="I629" s="17"/>
      <c r="J629" s="13" t="n">
        <v>63244</v>
      </c>
      <c r="K629" s="12" t="n">
        <v>6.9</v>
      </c>
      <c r="L629" s="12" t="s">
        <v>92</v>
      </c>
      <c r="M629" s="12" t="s">
        <v>4072</v>
      </c>
    </row>
    <row r="630" customFormat="false" ht="15" hidden="false" customHeight="false" outlineLevel="0" collapsed="false">
      <c r="A630" s="12" t="s">
        <v>2306</v>
      </c>
      <c r="B630" s="12" t="s">
        <v>4073</v>
      </c>
      <c r="C630" s="12" t="s">
        <v>4074</v>
      </c>
      <c r="D630" s="12" t="s">
        <v>265</v>
      </c>
      <c r="E630" s="12" t="n">
        <v>2</v>
      </c>
      <c r="F630" s="12" t="s">
        <v>2309</v>
      </c>
      <c r="G630" s="12" t="s">
        <v>2310</v>
      </c>
      <c r="H630" s="17"/>
      <c r="I630" s="17"/>
      <c r="J630" s="13" t="n">
        <v>38572</v>
      </c>
      <c r="K630" s="12" t="n">
        <v>7.3</v>
      </c>
      <c r="L630" s="12" t="s">
        <v>128</v>
      </c>
      <c r="M630" s="12" t="s">
        <v>4075</v>
      </c>
    </row>
    <row r="631" customFormat="false" ht="15" hidden="false" customHeight="false" outlineLevel="0" collapsed="false">
      <c r="A631" s="12" t="s">
        <v>2306</v>
      </c>
      <c r="B631" s="12" t="s">
        <v>4076</v>
      </c>
      <c r="C631" s="12" t="s">
        <v>4077</v>
      </c>
      <c r="D631" s="12" t="s">
        <v>505</v>
      </c>
      <c r="E631" s="12" t="n">
        <v>2</v>
      </c>
      <c r="F631" s="12" t="s">
        <v>2309</v>
      </c>
      <c r="G631" s="12" t="s">
        <v>2310</v>
      </c>
      <c r="H631" s="17"/>
      <c r="I631" s="17"/>
      <c r="J631" s="13" t="n">
        <v>38186</v>
      </c>
      <c r="K631" s="12" t="n">
        <v>6.1</v>
      </c>
      <c r="L631" s="12" t="s">
        <v>128</v>
      </c>
      <c r="M631" s="12" t="s">
        <v>4078</v>
      </c>
    </row>
    <row r="632" customFormat="false" ht="15" hidden="false" customHeight="false" outlineLevel="0" collapsed="false">
      <c r="A632" s="12" t="s">
        <v>2306</v>
      </c>
      <c r="B632" s="12" t="s">
        <v>4079</v>
      </c>
      <c r="C632" s="12" t="s">
        <v>4080</v>
      </c>
      <c r="D632" s="12" t="s">
        <v>118</v>
      </c>
      <c r="E632" s="12" t="n">
        <v>2</v>
      </c>
      <c r="F632" s="12" t="s">
        <v>2688</v>
      </c>
      <c r="G632" s="12" t="s">
        <v>2310</v>
      </c>
      <c r="H632" s="17"/>
      <c r="I632" s="17"/>
      <c r="J632" s="13" t="n">
        <v>37308</v>
      </c>
      <c r="K632" s="12" t="n">
        <v>5.7</v>
      </c>
      <c r="L632" s="12" t="s">
        <v>674</v>
      </c>
      <c r="M632" s="12" t="s">
        <v>4081</v>
      </c>
    </row>
    <row r="633" customFormat="false" ht="15" hidden="false" customHeight="false" outlineLevel="0" collapsed="false">
      <c r="A633" s="12" t="s">
        <v>2306</v>
      </c>
      <c r="B633" s="12" t="s">
        <v>4082</v>
      </c>
      <c r="C633" s="12" t="s">
        <v>4083</v>
      </c>
      <c r="D633" s="12" t="s">
        <v>118</v>
      </c>
      <c r="E633" s="12" t="n">
        <v>2</v>
      </c>
      <c r="F633" s="12" t="s">
        <v>2688</v>
      </c>
      <c r="G633" s="12" t="s">
        <v>2310</v>
      </c>
      <c r="H633" s="17"/>
      <c r="I633" s="17"/>
      <c r="J633" s="13" t="n">
        <v>37143</v>
      </c>
      <c r="K633" s="12" t="n">
        <v>6.9</v>
      </c>
      <c r="L633" s="12" t="s">
        <v>674</v>
      </c>
      <c r="M633" s="12" t="s">
        <v>4084</v>
      </c>
    </row>
    <row r="634" customFormat="false" ht="15" hidden="false" customHeight="false" outlineLevel="0" collapsed="false">
      <c r="A634" s="12" t="s">
        <v>2306</v>
      </c>
      <c r="B634" s="12" t="s">
        <v>4085</v>
      </c>
      <c r="C634" s="12" t="s">
        <v>4086</v>
      </c>
      <c r="D634" s="12" t="s">
        <v>189</v>
      </c>
      <c r="E634" s="12" t="n">
        <v>2</v>
      </c>
      <c r="F634" s="12" t="s">
        <v>2387</v>
      </c>
      <c r="G634" s="12" t="s">
        <v>2310</v>
      </c>
      <c r="H634" s="13" t="n">
        <v>1722069</v>
      </c>
      <c r="I634" s="17"/>
      <c r="J634" s="13" t="n">
        <v>2886</v>
      </c>
      <c r="K634" s="12" t="n">
        <v>2.4</v>
      </c>
      <c r="L634" s="12" t="s">
        <v>92</v>
      </c>
      <c r="M634" s="12" t="s">
        <v>4087</v>
      </c>
    </row>
    <row r="635" customFormat="false" ht="15" hidden="false" customHeight="false" outlineLevel="0" collapsed="false">
      <c r="A635" s="12" t="s">
        <v>2306</v>
      </c>
      <c r="B635" s="12" t="s">
        <v>4088</v>
      </c>
      <c r="D635" s="12" t="s">
        <v>146</v>
      </c>
      <c r="E635" s="12" t="n">
        <v>2</v>
      </c>
      <c r="F635" s="12" t="s">
        <v>2387</v>
      </c>
      <c r="G635" s="12" t="s">
        <v>2310</v>
      </c>
      <c r="H635" s="13" t="n">
        <v>2035576</v>
      </c>
      <c r="I635" s="17"/>
      <c r="J635" s="13" t="n">
        <v>869</v>
      </c>
      <c r="K635" s="12" t="n">
        <v>5.8</v>
      </c>
      <c r="L635" s="12" t="s">
        <v>92</v>
      </c>
      <c r="M635" s="12" t="s">
        <v>4089</v>
      </c>
    </row>
    <row r="636" customFormat="false" ht="15" hidden="false" customHeight="false" outlineLevel="0" collapsed="false">
      <c r="A636" s="12" t="s">
        <v>2306</v>
      </c>
      <c r="B636" s="12" t="s">
        <v>4090</v>
      </c>
      <c r="C636" s="12" t="s">
        <v>4090</v>
      </c>
      <c r="D636" s="12" t="s">
        <v>118</v>
      </c>
      <c r="E636" s="12" t="n">
        <v>2</v>
      </c>
      <c r="F636" s="12" t="s">
        <v>2314</v>
      </c>
      <c r="G636" s="12" t="s">
        <v>2310</v>
      </c>
      <c r="H636" s="17"/>
      <c r="I636" s="17"/>
      <c r="J636" s="13" t="n">
        <v>37141</v>
      </c>
      <c r="K636" s="12" t="n">
        <v>7.6</v>
      </c>
      <c r="L636" s="12" t="s">
        <v>169</v>
      </c>
      <c r="M636" s="12" t="s">
        <v>4091</v>
      </c>
    </row>
    <row r="637" customFormat="false" ht="15" hidden="false" customHeight="false" outlineLevel="0" collapsed="false">
      <c r="A637" s="12" t="s">
        <v>2306</v>
      </c>
      <c r="B637" s="12" t="s">
        <v>4092</v>
      </c>
      <c r="C637" s="12" t="s">
        <v>4093</v>
      </c>
      <c r="D637" s="12" t="s">
        <v>251</v>
      </c>
      <c r="E637" s="12" t="n">
        <v>2</v>
      </c>
      <c r="F637" s="12" t="s">
        <v>2309</v>
      </c>
      <c r="G637" s="12" t="s">
        <v>2310</v>
      </c>
      <c r="H637" s="17"/>
      <c r="I637" s="17"/>
      <c r="J637" s="13" t="n">
        <v>36571</v>
      </c>
      <c r="K637" s="12" t="n">
        <v>5.6</v>
      </c>
      <c r="L637" s="12" t="s">
        <v>128</v>
      </c>
      <c r="M637" s="12" t="s">
        <v>4094</v>
      </c>
    </row>
    <row r="638" customFormat="false" ht="15" hidden="false" customHeight="false" outlineLevel="0" collapsed="false">
      <c r="A638" s="12" t="s">
        <v>2306</v>
      </c>
      <c r="B638" s="12" t="s">
        <v>4095</v>
      </c>
      <c r="C638" s="12" t="s">
        <v>4095</v>
      </c>
      <c r="D638" s="12" t="s">
        <v>118</v>
      </c>
      <c r="E638" s="12" t="n">
        <v>2</v>
      </c>
      <c r="F638" s="12" t="s">
        <v>2688</v>
      </c>
      <c r="G638" s="12" t="s">
        <v>2310</v>
      </c>
      <c r="H638" s="17"/>
      <c r="I638" s="17"/>
      <c r="J638" s="13" t="n">
        <v>36510</v>
      </c>
      <c r="K638" s="12" t="n">
        <v>6.5</v>
      </c>
      <c r="L638" s="12" t="s">
        <v>674</v>
      </c>
      <c r="M638" s="12" t="s">
        <v>4096</v>
      </c>
    </row>
    <row r="639" customFormat="false" ht="15" hidden="false" customHeight="false" outlineLevel="0" collapsed="false">
      <c r="A639" s="12" t="s">
        <v>2306</v>
      </c>
      <c r="B639" s="12" t="s">
        <v>4097</v>
      </c>
      <c r="C639" s="12" t="s">
        <v>4097</v>
      </c>
      <c r="D639" s="12" t="s">
        <v>505</v>
      </c>
      <c r="E639" s="12" t="n">
        <v>2</v>
      </c>
      <c r="F639" s="12" t="s">
        <v>2309</v>
      </c>
      <c r="G639" s="12" t="s">
        <v>2310</v>
      </c>
      <c r="H639" s="17"/>
      <c r="I639" s="17"/>
      <c r="J639" s="13" t="n">
        <v>36157</v>
      </c>
      <c r="K639" s="12" t="n">
        <v>5.9</v>
      </c>
      <c r="L639" s="12" t="s">
        <v>128</v>
      </c>
      <c r="M639" s="12" t="s">
        <v>4098</v>
      </c>
    </row>
    <row r="640" customFormat="false" ht="15" hidden="false" customHeight="false" outlineLevel="0" collapsed="false">
      <c r="A640" s="12" t="s">
        <v>2306</v>
      </c>
      <c r="B640" s="12" t="s">
        <v>4099</v>
      </c>
      <c r="C640" s="12" t="s">
        <v>4100</v>
      </c>
      <c r="D640" s="12" t="s">
        <v>202</v>
      </c>
      <c r="E640" s="12" t="n">
        <v>2</v>
      </c>
      <c r="F640" s="12" t="s">
        <v>2387</v>
      </c>
      <c r="G640" s="12" t="s">
        <v>2310</v>
      </c>
      <c r="H640" s="13" t="n">
        <v>1715763</v>
      </c>
      <c r="I640" s="17"/>
      <c r="J640" s="13" t="n">
        <v>2767</v>
      </c>
      <c r="K640" s="12" t="n">
        <v>6.5</v>
      </c>
      <c r="L640" s="12" t="s">
        <v>92</v>
      </c>
      <c r="M640" s="12" t="s">
        <v>4101</v>
      </c>
    </row>
    <row r="641" customFormat="false" ht="15" hidden="false" customHeight="false" outlineLevel="0" collapsed="false">
      <c r="A641" s="12" t="s">
        <v>2306</v>
      </c>
      <c r="B641" s="12" t="s">
        <v>4102</v>
      </c>
      <c r="C641" s="12" t="s">
        <v>4103</v>
      </c>
      <c r="D641" s="12" t="s">
        <v>505</v>
      </c>
      <c r="E641" s="12" t="n">
        <v>2</v>
      </c>
      <c r="F641" s="12" t="s">
        <v>2309</v>
      </c>
      <c r="G641" s="12" t="s">
        <v>2310</v>
      </c>
      <c r="H641" s="17"/>
      <c r="I641" s="17"/>
      <c r="J641" s="13" t="n">
        <v>35014</v>
      </c>
      <c r="K641" s="12" t="n">
        <v>7.2</v>
      </c>
      <c r="L641" s="12" t="s">
        <v>128</v>
      </c>
      <c r="M641" s="12" t="s">
        <v>4104</v>
      </c>
    </row>
    <row r="642" customFormat="false" ht="15" hidden="false" customHeight="false" outlineLevel="0" collapsed="false">
      <c r="A642" s="12" t="s">
        <v>2306</v>
      </c>
      <c r="B642" s="12" t="s">
        <v>4105</v>
      </c>
      <c r="C642" s="12" t="s">
        <v>4106</v>
      </c>
      <c r="D642" s="12" t="s">
        <v>286</v>
      </c>
      <c r="E642" s="12" t="n">
        <v>2</v>
      </c>
      <c r="F642" s="12" t="s">
        <v>2387</v>
      </c>
      <c r="G642" s="12" t="s">
        <v>2310</v>
      </c>
      <c r="H642" s="13" t="n">
        <v>1635212</v>
      </c>
      <c r="I642" s="17"/>
      <c r="J642" s="13" t="n">
        <v>2884</v>
      </c>
      <c r="K642" s="12" t="n">
        <v>6</v>
      </c>
      <c r="L642" s="12" t="s">
        <v>92</v>
      </c>
      <c r="M642" s="12" t="s">
        <v>4107</v>
      </c>
    </row>
    <row r="643" customFormat="false" ht="15" hidden="false" customHeight="false" outlineLevel="0" collapsed="false">
      <c r="A643" s="12" t="s">
        <v>2306</v>
      </c>
      <c r="B643" s="12" t="s">
        <v>4108</v>
      </c>
      <c r="C643" s="12" t="s">
        <v>4109</v>
      </c>
      <c r="D643" s="12" t="s">
        <v>101</v>
      </c>
      <c r="E643" s="12" t="n">
        <v>2</v>
      </c>
      <c r="F643" s="12" t="s">
        <v>2314</v>
      </c>
      <c r="G643" s="12" t="s">
        <v>2310</v>
      </c>
      <c r="H643" s="17"/>
      <c r="I643" s="17"/>
      <c r="J643" s="13" t="n">
        <v>34570</v>
      </c>
      <c r="K643" s="12" t="n">
        <v>7.6</v>
      </c>
      <c r="L643" s="12" t="s">
        <v>169</v>
      </c>
      <c r="M643" s="12" t="s">
        <v>4110</v>
      </c>
    </row>
    <row r="644" customFormat="false" ht="15" hidden="false" customHeight="false" outlineLevel="0" collapsed="false">
      <c r="A644" s="12" t="s">
        <v>2306</v>
      </c>
      <c r="B644" s="12" t="s">
        <v>4111</v>
      </c>
      <c r="C644" s="12" t="s">
        <v>4112</v>
      </c>
      <c r="D644" s="12" t="s">
        <v>111</v>
      </c>
      <c r="E644" s="12" t="n">
        <v>2</v>
      </c>
      <c r="F644" s="12" t="s">
        <v>2314</v>
      </c>
      <c r="G644" s="12" t="s">
        <v>2310</v>
      </c>
      <c r="H644" s="17"/>
      <c r="I644" s="17"/>
      <c r="J644" s="13" t="n">
        <v>34541</v>
      </c>
      <c r="K644" s="12" t="n">
        <v>7.4</v>
      </c>
      <c r="L644" s="12" t="s">
        <v>169</v>
      </c>
      <c r="M644" s="12" t="s">
        <v>4113</v>
      </c>
    </row>
    <row r="645" customFormat="false" ht="15" hidden="false" customHeight="false" outlineLevel="0" collapsed="false">
      <c r="A645" s="12" t="s">
        <v>2306</v>
      </c>
      <c r="B645" s="12" t="s">
        <v>4114</v>
      </c>
      <c r="C645" s="12" t="s">
        <v>4115</v>
      </c>
      <c r="D645" s="12" t="s">
        <v>189</v>
      </c>
      <c r="E645" s="12" t="n">
        <v>2</v>
      </c>
      <c r="F645" s="12" t="s">
        <v>2314</v>
      </c>
      <c r="G645" s="12" t="s">
        <v>2310</v>
      </c>
      <c r="H645" s="17"/>
      <c r="I645" s="17"/>
      <c r="J645" s="13" t="n">
        <v>33584</v>
      </c>
      <c r="K645" s="12" t="n">
        <v>7.8</v>
      </c>
      <c r="L645" s="12" t="s">
        <v>169</v>
      </c>
      <c r="M645" s="12" t="s">
        <v>4116</v>
      </c>
    </row>
    <row r="646" customFormat="false" ht="15" hidden="false" customHeight="false" outlineLevel="0" collapsed="false">
      <c r="A646" s="12" t="s">
        <v>2306</v>
      </c>
      <c r="B646" s="12" t="s">
        <v>4117</v>
      </c>
      <c r="C646" s="12" t="s">
        <v>4118</v>
      </c>
      <c r="D646" s="12" t="s">
        <v>286</v>
      </c>
      <c r="E646" s="12" t="n">
        <v>2</v>
      </c>
      <c r="F646" s="12" t="s">
        <v>2387</v>
      </c>
      <c r="G646" s="12" t="s">
        <v>2310</v>
      </c>
      <c r="H646" s="13" t="n">
        <v>2217368</v>
      </c>
      <c r="I646" s="17"/>
      <c r="J646" s="13" t="n">
        <v>489</v>
      </c>
      <c r="K646" s="12" t="n">
        <v>2.9</v>
      </c>
      <c r="L646" s="12" t="s">
        <v>92</v>
      </c>
      <c r="M646" s="12" t="s">
        <v>4119</v>
      </c>
    </row>
    <row r="647" customFormat="false" ht="15" hidden="false" customHeight="false" outlineLevel="0" collapsed="false">
      <c r="A647" s="12" t="s">
        <v>2306</v>
      </c>
      <c r="B647" s="12" t="s">
        <v>4120</v>
      </c>
      <c r="C647" s="12" t="s">
        <v>4120</v>
      </c>
      <c r="D647" s="12" t="s">
        <v>251</v>
      </c>
      <c r="E647" s="12" t="n">
        <v>2</v>
      </c>
      <c r="F647" s="12" t="s">
        <v>2314</v>
      </c>
      <c r="G647" s="12" t="s">
        <v>2310</v>
      </c>
      <c r="H647" s="17"/>
      <c r="I647" s="17"/>
      <c r="J647" s="13" t="n">
        <v>33447</v>
      </c>
      <c r="K647" s="12" t="n">
        <v>6.1</v>
      </c>
      <c r="L647" s="12" t="s">
        <v>169</v>
      </c>
      <c r="M647" s="12" t="s">
        <v>4121</v>
      </c>
    </row>
    <row r="648" customFormat="false" ht="15" hidden="false" customHeight="false" outlineLevel="0" collapsed="false">
      <c r="A648" s="12" t="s">
        <v>2306</v>
      </c>
      <c r="B648" s="12" t="s">
        <v>4122</v>
      </c>
      <c r="C648" s="12" t="s">
        <v>4123</v>
      </c>
      <c r="D648" s="12" t="s">
        <v>90</v>
      </c>
      <c r="E648" s="12" t="n">
        <v>2</v>
      </c>
      <c r="F648" s="12" t="s">
        <v>2314</v>
      </c>
      <c r="G648" s="12" t="s">
        <v>2310</v>
      </c>
      <c r="H648" s="17"/>
      <c r="I648" s="17"/>
      <c r="J648" s="13" t="n">
        <v>32984</v>
      </c>
      <c r="K648" s="12" t="n">
        <v>6.5</v>
      </c>
      <c r="L648" s="12" t="s">
        <v>169</v>
      </c>
      <c r="M648" s="12" t="s">
        <v>4124</v>
      </c>
    </row>
    <row r="649" customFormat="false" ht="15" hidden="false" customHeight="false" outlineLevel="0" collapsed="false">
      <c r="A649" s="12" t="s">
        <v>2306</v>
      </c>
      <c r="B649" s="12" t="s">
        <v>4125</v>
      </c>
      <c r="C649" s="12" t="s">
        <v>4126</v>
      </c>
      <c r="D649" s="12" t="s">
        <v>183</v>
      </c>
      <c r="E649" s="12" t="n">
        <v>2</v>
      </c>
      <c r="F649" s="12" t="s">
        <v>2314</v>
      </c>
      <c r="G649" s="12" t="s">
        <v>2310</v>
      </c>
      <c r="H649" s="17"/>
      <c r="I649" s="17"/>
      <c r="J649" s="13" t="n">
        <v>32227</v>
      </c>
      <c r="K649" s="12" t="n">
        <v>5.6</v>
      </c>
      <c r="L649" s="12" t="s">
        <v>169</v>
      </c>
      <c r="M649" s="12" t="s">
        <v>4127</v>
      </c>
    </row>
    <row r="650" customFormat="false" ht="15" hidden="false" customHeight="false" outlineLevel="0" collapsed="false">
      <c r="A650" s="12" t="s">
        <v>2306</v>
      </c>
      <c r="B650" s="12" t="s">
        <v>4128</v>
      </c>
      <c r="C650" s="12" t="s">
        <v>4129</v>
      </c>
      <c r="D650" s="12" t="s">
        <v>202</v>
      </c>
      <c r="E650" s="12" t="n">
        <v>2</v>
      </c>
      <c r="F650" s="12" t="s">
        <v>2387</v>
      </c>
      <c r="G650" s="12" t="s">
        <v>2310</v>
      </c>
      <c r="H650" s="13" t="n">
        <v>1495356</v>
      </c>
      <c r="I650" s="17"/>
      <c r="J650" s="13" t="n">
        <v>3410</v>
      </c>
      <c r="K650" s="12" t="n">
        <v>6.6</v>
      </c>
      <c r="L650" s="12" t="s">
        <v>92</v>
      </c>
      <c r="M650" s="12" t="s">
        <v>4130</v>
      </c>
    </row>
    <row r="651" customFormat="false" ht="15" hidden="false" customHeight="false" outlineLevel="0" collapsed="false">
      <c r="A651" s="12" t="s">
        <v>2306</v>
      </c>
      <c r="B651" s="12" t="s">
        <v>4131</v>
      </c>
      <c r="C651" s="12" t="s">
        <v>4131</v>
      </c>
      <c r="D651" s="12" t="s">
        <v>265</v>
      </c>
      <c r="E651" s="12" t="n">
        <v>2</v>
      </c>
      <c r="F651" s="12" t="s">
        <v>2309</v>
      </c>
      <c r="G651" s="12" t="s">
        <v>2310</v>
      </c>
      <c r="H651" s="17"/>
      <c r="I651" s="17"/>
      <c r="J651" s="13" t="n">
        <v>31342</v>
      </c>
      <c r="K651" s="12" t="n">
        <v>7.5</v>
      </c>
      <c r="L651" s="12" t="s">
        <v>128</v>
      </c>
      <c r="M651" s="12" t="s">
        <v>4132</v>
      </c>
    </row>
    <row r="652" customFormat="false" ht="15" hidden="false" customHeight="false" outlineLevel="0" collapsed="false">
      <c r="A652" s="12" t="s">
        <v>2306</v>
      </c>
      <c r="B652" s="12" t="s">
        <v>4133</v>
      </c>
      <c r="C652" s="12" t="s">
        <v>4134</v>
      </c>
      <c r="D652" s="12" t="s">
        <v>214</v>
      </c>
      <c r="E652" s="12" t="n">
        <v>2</v>
      </c>
      <c r="F652" s="12" t="s">
        <v>2387</v>
      </c>
      <c r="G652" s="12" t="s">
        <v>2310</v>
      </c>
      <c r="H652" s="13" t="n">
        <v>1415793</v>
      </c>
      <c r="I652" s="17"/>
      <c r="J652" s="13" t="n">
        <v>6166</v>
      </c>
      <c r="K652" s="12" t="n">
        <v>7.2</v>
      </c>
      <c r="L652" s="12" t="s">
        <v>92</v>
      </c>
      <c r="M652" s="12" t="s">
        <v>4135</v>
      </c>
    </row>
    <row r="653" customFormat="false" ht="15" hidden="false" customHeight="false" outlineLevel="0" collapsed="false">
      <c r="A653" s="12" t="s">
        <v>2306</v>
      </c>
      <c r="B653" s="12" t="s">
        <v>4136</v>
      </c>
      <c r="C653" s="12" t="s">
        <v>4136</v>
      </c>
      <c r="D653" s="12" t="s">
        <v>175</v>
      </c>
      <c r="E653" s="12" t="n">
        <v>2</v>
      </c>
      <c r="F653" s="12" t="s">
        <v>2314</v>
      </c>
      <c r="G653" s="12" t="s">
        <v>2310</v>
      </c>
      <c r="H653" s="17"/>
      <c r="I653" s="17"/>
      <c r="J653" s="13" t="n">
        <v>31082</v>
      </c>
      <c r="K653" s="12" t="n">
        <v>7.6</v>
      </c>
      <c r="L653" s="12" t="s">
        <v>169</v>
      </c>
      <c r="M653" s="12" t="s">
        <v>4137</v>
      </c>
    </row>
    <row r="654" customFormat="false" ht="15" hidden="false" customHeight="false" outlineLevel="0" collapsed="false">
      <c r="A654" s="12" t="s">
        <v>2306</v>
      </c>
      <c r="B654" s="12" t="s">
        <v>4138</v>
      </c>
      <c r="C654" s="12" t="s">
        <v>4138</v>
      </c>
      <c r="D654" s="12" t="s">
        <v>1103</v>
      </c>
      <c r="E654" s="12" t="n">
        <v>2</v>
      </c>
      <c r="F654" s="12" t="s">
        <v>2314</v>
      </c>
      <c r="G654" s="12" t="s">
        <v>2310</v>
      </c>
      <c r="H654" s="17"/>
      <c r="I654" s="17"/>
      <c r="J654" s="13" t="n">
        <v>30014</v>
      </c>
      <c r="K654" s="12" t="n">
        <v>7.3</v>
      </c>
      <c r="L654" s="12" t="s">
        <v>169</v>
      </c>
      <c r="M654" s="12" t="s">
        <v>4139</v>
      </c>
    </row>
    <row r="655" customFormat="false" ht="15" hidden="false" customHeight="false" outlineLevel="0" collapsed="false">
      <c r="A655" s="12" t="s">
        <v>2306</v>
      </c>
      <c r="B655" s="12" t="s">
        <v>4140</v>
      </c>
      <c r="D655" s="12" t="s">
        <v>146</v>
      </c>
      <c r="E655" s="12" t="n">
        <v>1</v>
      </c>
      <c r="F655" s="12" t="s">
        <v>2404</v>
      </c>
      <c r="G655" s="12" t="s">
        <v>2405</v>
      </c>
      <c r="H655" s="13" t="n">
        <v>838726</v>
      </c>
      <c r="I655" s="17"/>
      <c r="J655" s="17"/>
      <c r="L655" s="12" t="s">
        <v>92</v>
      </c>
    </row>
    <row r="656" customFormat="false" ht="15" hidden="false" customHeight="false" outlineLevel="0" collapsed="false">
      <c r="A656" s="12" t="s">
        <v>2306</v>
      </c>
      <c r="C656" s="12" t="s">
        <v>4141</v>
      </c>
      <c r="D656" s="12" t="s">
        <v>265</v>
      </c>
      <c r="E656" s="12" t="n">
        <v>2</v>
      </c>
      <c r="F656" s="12" t="s">
        <v>2309</v>
      </c>
      <c r="G656" s="12" t="s">
        <v>2310</v>
      </c>
      <c r="H656" s="17"/>
      <c r="I656" s="17"/>
      <c r="J656" s="13" t="n">
        <v>29564</v>
      </c>
      <c r="K656" s="12" t="n">
        <v>6.2</v>
      </c>
      <c r="L656" s="12" t="s">
        <v>128</v>
      </c>
      <c r="M656" s="12" t="s">
        <v>4142</v>
      </c>
    </row>
    <row r="657" customFormat="false" ht="15" hidden="false" customHeight="false" outlineLevel="0" collapsed="false">
      <c r="A657" s="12" t="s">
        <v>2306</v>
      </c>
      <c r="B657" s="12" t="s">
        <v>4143</v>
      </c>
      <c r="C657" s="12" t="s">
        <v>4144</v>
      </c>
      <c r="D657" s="12" t="s">
        <v>134</v>
      </c>
      <c r="E657" s="12" t="n">
        <v>2</v>
      </c>
      <c r="F657" s="12" t="s">
        <v>2387</v>
      </c>
      <c r="G657" s="12" t="s">
        <v>2310</v>
      </c>
      <c r="H657" s="13" t="n">
        <v>1866403</v>
      </c>
      <c r="I657" s="17"/>
      <c r="J657" s="13" t="n">
        <v>918</v>
      </c>
      <c r="K657" s="12" t="n">
        <v>6.4</v>
      </c>
      <c r="L657" s="12" t="s">
        <v>92</v>
      </c>
      <c r="M657" s="12" t="s">
        <v>4145</v>
      </c>
    </row>
    <row r="658" customFormat="false" ht="15" hidden="false" customHeight="false" outlineLevel="0" collapsed="false">
      <c r="A658" s="12" t="s">
        <v>2306</v>
      </c>
      <c r="B658" s="12" t="s">
        <v>4146</v>
      </c>
      <c r="C658" s="12" t="s">
        <v>4147</v>
      </c>
      <c r="D658" s="12" t="s">
        <v>265</v>
      </c>
      <c r="E658" s="12" t="n">
        <v>2</v>
      </c>
      <c r="F658" s="12" t="s">
        <v>2309</v>
      </c>
      <c r="G658" s="12" t="s">
        <v>2310</v>
      </c>
      <c r="H658" s="17"/>
      <c r="I658" s="17"/>
      <c r="J658" s="13" t="n">
        <v>27907</v>
      </c>
      <c r="K658" s="12" t="n">
        <v>6.8</v>
      </c>
      <c r="L658" s="12" t="s">
        <v>128</v>
      </c>
      <c r="M658" s="12" t="s">
        <v>4148</v>
      </c>
    </row>
    <row r="659" customFormat="false" ht="15" hidden="false" customHeight="false" outlineLevel="0" collapsed="false">
      <c r="A659" s="12" t="s">
        <v>2306</v>
      </c>
      <c r="B659" s="12" t="s">
        <v>4149</v>
      </c>
      <c r="C659" s="12" t="s">
        <v>4150</v>
      </c>
      <c r="D659" s="12" t="s">
        <v>118</v>
      </c>
      <c r="E659" s="12" t="n">
        <v>2</v>
      </c>
      <c r="F659" s="12" t="s">
        <v>2688</v>
      </c>
      <c r="G659" s="12" t="s">
        <v>2310</v>
      </c>
      <c r="H659" s="17"/>
      <c r="I659" s="17"/>
      <c r="J659" s="13" t="n">
        <v>27880</v>
      </c>
      <c r="K659" s="12" t="n">
        <v>6.5</v>
      </c>
      <c r="L659" s="12" t="s">
        <v>674</v>
      </c>
      <c r="M659" s="12" t="s">
        <v>4151</v>
      </c>
    </row>
    <row r="660" customFormat="false" ht="15" hidden="false" customHeight="false" outlineLevel="0" collapsed="false">
      <c r="A660" s="12" t="s">
        <v>2306</v>
      </c>
      <c r="B660" s="12" t="s">
        <v>4152</v>
      </c>
      <c r="C660" s="12" t="s">
        <v>4153</v>
      </c>
      <c r="D660" s="12" t="s">
        <v>251</v>
      </c>
      <c r="E660" s="12" t="n">
        <v>2</v>
      </c>
      <c r="F660" s="12" t="s">
        <v>2314</v>
      </c>
      <c r="G660" s="12" t="s">
        <v>2310</v>
      </c>
      <c r="H660" s="17"/>
      <c r="I660" s="17"/>
      <c r="J660" s="13" t="n">
        <v>26971</v>
      </c>
      <c r="K660" s="12" t="n">
        <v>7.8</v>
      </c>
      <c r="L660" s="12" t="s">
        <v>169</v>
      </c>
      <c r="M660" s="12" t="s">
        <v>4154</v>
      </c>
    </row>
    <row r="661" customFormat="false" ht="15" hidden="false" customHeight="false" outlineLevel="0" collapsed="false">
      <c r="A661" s="12" t="s">
        <v>2306</v>
      </c>
      <c r="B661" s="12" t="s">
        <v>4155</v>
      </c>
      <c r="C661" s="12" t="s">
        <v>4156</v>
      </c>
      <c r="D661" s="12" t="s">
        <v>118</v>
      </c>
      <c r="E661" s="12" t="n">
        <v>2</v>
      </c>
      <c r="F661" s="12" t="s">
        <v>2688</v>
      </c>
      <c r="G661" s="12" t="s">
        <v>2310</v>
      </c>
      <c r="H661" s="17"/>
      <c r="I661" s="17"/>
      <c r="J661" s="13" t="n">
        <v>26740</v>
      </c>
      <c r="K661" s="12" t="n">
        <v>7.3</v>
      </c>
      <c r="L661" s="12" t="s">
        <v>674</v>
      </c>
      <c r="M661" s="12" t="s">
        <v>4157</v>
      </c>
    </row>
    <row r="662" customFormat="false" ht="15" hidden="false" customHeight="false" outlineLevel="0" collapsed="false">
      <c r="A662" s="12" t="s">
        <v>2306</v>
      </c>
      <c r="C662" s="12" t="s">
        <v>4158</v>
      </c>
      <c r="D662" s="12" t="s">
        <v>1103</v>
      </c>
      <c r="E662" s="12" t="n">
        <v>2</v>
      </c>
      <c r="F662" s="12" t="s">
        <v>2563</v>
      </c>
      <c r="G662" s="12" t="s">
        <v>2310</v>
      </c>
      <c r="H662" s="17"/>
      <c r="I662" s="13" t="n">
        <v>512727293</v>
      </c>
      <c r="J662" s="13" t="n">
        <v>103780</v>
      </c>
      <c r="K662" s="12" t="n">
        <v>8.2</v>
      </c>
      <c r="L662" s="12" t="s">
        <v>92</v>
      </c>
      <c r="M662" s="12" t="s">
        <v>4159</v>
      </c>
    </row>
    <row r="663" customFormat="false" ht="15" hidden="false" customHeight="false" outlineLevel="0" collapsed="false">
      <c r="A663" s="12" t="s">
        <v>2306</v>
      </c>
      <c r="B663" s="12" t="s">
        <v>4160</v>
      </c>
      <c r="C663" s="12" t="s">
        <v>4161</v>
      </c>
      <c r="D663" s="12" t="s">
        <v>183</v>
      </c>
      <c r="E663" s="12" t="n">
        <v>2</v>
      </c>
      <c r="F663" s="12" t="s">
        <v>2314</v>
      </c>
      <c r="G663" s="12" t="s">
        <v>2310</v>
      </c>
      <c r="H663" s="17"/>
      <c r="I663" s="17"/>
      <c r="J663" s="13" t="n">
        <v>26158</v>
      </c>
      <c r="K663" s="12" t="n">
        <v>7.8</v>
      </c>
      <c r="L663" s="12" t="s">
        <v>169</v>
      </c>
      <c r="M663" s="12" t="s">
        <v>4162</v>
      </c>
    </row>
    <row r="664" customFormat="false" ht="15" hidden="false" customHeight="false" outlineLevel="0" collapsed="false">
      <c r="A664" s="12" t="s">
        <v>2306</v>
      </c>
      <c r="B664" s="12" t="s">
        <v>4163</v>
      </c>
      <c r="C664" s="12" t="s">
        <v>4164</v>
      </c>
      <c r="D664" s="12" t="s">
        <v>90</v>
      </c>
      <c r="E664" s="12" t="n">
        <v>2</v>
      </c>
      <c r="F664" s="12" t="s">
        <v>2314</v>
      </c>
      <c r="G664" s="12" t="s">
        <v>2310</v>
      </c>
      <c r="H664" s="17"/>
      <c r="I664" s="17"/>
      <c r="J664" s="13" t="n">
        <v>24937</v>
      </c>
      <c r="K664" s="12" t="n">
        <v>7.1</v>
      </c>
      <c r="L664" s="12" t="s">
        <v>169</v>
      </c>
      <c r="M664" s="12" t="s">
        <v>4165</v>
      </c>
    </row>
    <row r="665" customFormat="false" ht="15" hidden="false" customHeight="false" outlineLevel="0" collapsed="false">
      <c r="A665" s="12" t="s">
        <v>2306</v>
      </c>
      <c r="B665" s="12" t="s">
        <v>4166</v>
      </c>
      <c r="C665" s="12" t="s">
        <v>4167</v>
      </c>
      <c r="D665" s="12" t="s">
        <v>158</v>
      </c>
      <c r="E665" s="12" t="n">
        <v>2</v>
      </c>
      <c r="F665" s="12" t="s">
        <v>2387</v>
      </c>
      <c r="G665" s="12" t="s">
        <v>2310</v>
      </c>
      <c r="H665" s="13" t="n">
        <v>1776579</v>
      </c>
      <c r="I665" s="17"/>
      <c r="J665" s="13" t="n">
        <v>1019</v>
      </c>
      <c r="K665" s="12" t="n">
        <v>5.7</v>
      </c>
      <c r="L665" s="12" t="s">
        <v>92</v>
      </c>
      <c r="M665" s="12" t="s">
        <v>4168</v>
      </c>
    </row>
    <row r="666" customFormat="false" ht="15" hidden="false" customHeight="false" outlineLevel="0" collapsed="false">
      <c r="A666" s="12" t="s">
        <v>2306</v>
      </c>
      <c r="B666" s="12" t="s">
        <v>4169</v>
      </c>
      <c r="C666" s="12" t="s">
        <v>4170</v>
      </c>
      <c r="D666" s="12" t="s">
        <v>265</v>
      </c>
      <c r="E666" s="12" t="n">
        <v>2</v>
      </c>
      <c r="F666" s="12" t="s">
        <v>2309</v>
      </c>
      <c r="G666" s="12" t="s">
        <v>2310</v>
      </c>
      <c r="H666" s="17"/>
      <c r="I666" s="17"/>
      <c r="J666" s="13" t="n">
        <v>24795</v>
      </c>
      <c r="K666" s="12" t="n">
        <v>7.2</v>
      </c>
      <c r="L666" s="12" t="s">
        <v>128</v>
      </c>
      <c r="M666" s="12" t="s">
        <v>4171</v>
      </c>
    </row>
    <row r="667" customFormat="false" ht="15" hidden="false" customHeight="false" outlineLevel="0" collapsed="false">
      <c r="A667" s="12" t="s">
        <v>2306</v>
      </c>
      <c r="B667" s="12" t="s">
        <v>4172</v>
      </c>
      <c r="C667" s="12" t="s">
        <v>4173</v>
      </c>
      <c r="D667" s="12" t="s">
        <v>118</v>
      </c>
      <c r="E667" s="12" t="n">
        <v>2</v>
      </c>
      <c r="F667" s="12" t="s">
        <v>2688</v>
      </c>
      <c r="G667" s="12" t="s">
        <v>2310</v>
      </c>
      <c r="H667" s="17"/>
      <c r="I667" s="17"/>
      <c r="J667" s="13" t="n">
        <v>24749</v>
      </c>
      <c r="K667" s="12" t="n">
        <v>7</v>
      </c>
      <c r="L667" s="12" t="s">
        <v>674</v>
      </c>
      <c r="M667" s="12" t="s">
        <v>4174</v>
      </c>
    </row>
    <row r="668" customFormat="false" ht="15" hidden="false" customHeight="false" outlineLevel="0" collapsed="false">
      <c r="A668" s="12" t="s">
        <v>2306</v>
      </c>
      <c r="B668" s="12" t="s">
        <v>4175</v>
      </c>
      <c r="C668" s="12" t="s">
        <v>4175</v>
      </c>
      <c r="D668" s="12" t="s">
        <v>251</v>
      </c>
      <c r="E668" s="12" t="n">
        <v>2</v>
      </c>
      <c r="F668" s="12" t="s">
        <v>2314</v>
      </c>
      <c r="G668" s="12" t="s">
        <v>2310</v>
      </c>
      <c r="H668" s="17"/>
      <c r="I668" s="17"/>
      <c r="J668" s="13" t="n">
        <v>24583</v>
      </c>
      <c r="K668" s="12" t="n">
        <v>7.8</v>
      </c>
      <c r="L668" s="12" t="s">
        <v>169</v>
      </c>
      <c r="M668" s="12" t="s">
        <v>4176</v>
      </c>
    </row>
    <row r="669" customFormat="false" ht="15" hidden="false" customHeight="false" outlineLevel="0" collapsed="false">
      <c r="A669" s="12" t="s">
        <v>2306</v>
      </c>
      <c r="B669" s="12" t="s">
        <v>4177</v>
      </c>
      <c r="C669" s="12" t="s">
        <v>4177</v>
      </c>
      <c r="D669" s="12" t="s">
        <v>101</v>
      </c>
      <c r="E669" s="12" t="n">
        <v>2</v>
      </c>
      <c r="F669" s="12" t="s">
        <v>2314</v>
      </c>
      <c r="G669" s="12" t="s">
        <v>2310</v>
      </c>
      <c r="H669" s="17"/>
      <c r="I669" s="17"/>
      <c r="J669" s="13" t="n">
        <v>24550</v>
      </c>
      <c r="K669" s="12" t="n">
        <v>6.3</v>
      </c>
      <c r="L669" s="12" t="s">
        <v>169</v>
      </c>
      <c r="M669" s="12" t="s">
        <v>4178</v>
      </c>
    </row>
    <row r="670" customFormat="false" ht="15" hidden="false" customHeight="false" outlineLevel="0" collapsed="false">
      <c r="A670" s="12" t="s">
        <v>2306</v>
      </c>
      <c r="B670" s="12" t="s">
        <v>4179</v>
      </c>
      <c r="C670" s="12" t="s">
        <v>4180</v>
      </c>
      <c r="D670" s="12" t="s">
        <v>207</v>
      </c>
      <c r="E670" s="12" t="n">
        <v>2</v>
      </c>
      <c r="F670" s="12" t="s">
        <v>2387</v>
      </c>
      <c r="G670" s="12" t="s">
        <v>2310</v>
      </c>
      <c r="H670" s="13" t="n">
        <v>1360480</v>
      </c>
      <c r="I670" s="17"/>
      <c r="J670" s="13" t="n">
        <v>3657</v>
      </c>
      <c r="K670" s="12" t="n">
        <v>6.4</v>
      </c>
      <c r="L670" s="12" t="s">
        <v>92</v>
      </c>
      <c r="M670" s="12" t="s">
        <v>4181</v>
      </c>
    </row>
    <row r="671" customFormat="false" ht="15" hidden="false" customHeight="false" outlineLevel="0" collapsed="false">
      <c r="A671" s="12" t="s">
        <v>2306</v>
      </c>
      <c r="C671" s="12" t="s">
        <v>4182</v>
      </c>
      <c r="D671" s="12" t="s">
        <v>251</v>
      </c>
      <c r="E671" s="12" t="n">
        <v>2</v>
      </c>
      <c r="F671" s="12" t="s">
        <v>2314</v>
      </c>
      <c r="G671" s="12" t="s">
        <v>2310</v>
      </c>
      <c r="H671" s="17"/>
      <c r="I671" s="17"/>
      <c r="J671" s="13" t="n">
        <v>24534</v>
      </c>
      <c r="K671" s="12" t="n">
        <v>8.5</v>
      </c>
      <c r="L671" s="12" t="s">
        <v>169</v>
      </c>
      <c r="M671" s="12" t="s">
        <v>4183</v>
      </c>
    </row>
    <row r="672" customFormat="false" ht="15" hidden="false" customHeight="false" outlineLevel="0" collapsed="false">
      <c r="A672" s="12" t="s">
        <v>2306</v>
      </c>
      <c r="C672" s="12" t="s">
        <v>4184</v>
      </c>
      <c r="D672" s="12" t="s">
        <v>118</v>
      </c>
      <c r="E672" s="12" t="n">
        <v>1</v>
      </c>
      <c r="F672" s="12" t="s">
        <v>3220</v>
      </c>
      <c r="G672" s="12" t="s">
        <v>2405</v>
      </c>
      <c r="H672" s="17"/>
      <c r="I672" s="13" t="n">
        <v>626571697</v>
      </c>
      <c r="J672" s="17"/>
      <c r="L672" s="12" t="s">
        <v>92</v>
      </c>
    </row>
    <row r="673" customFormat="false" ht="15" hidden="false" customHeight="false" outlineLevel="0" collapsed="false">
      <c r="A673" s="12" t="s">
        <v>2306</v>
      </c>
      <c r="B673" s="12" t="s">
        <v>4185</v>
      </c>
      <c r="C673" s="12" t="s">
        <v>4186</v>
      </c>
      <c r="D673" s="12" t="s">
        <v>1103</v>
      </c>
      <c r="E673" s="12" t="n">
        <v>2</v>
      </c>
      <c r="F673" s="12" t="s">
        <v>2387</v>
      </c>
      <c r="G673" s="12" t="s">
        <v>2310</v>
      </c>
      <c r="H673" s="13" t="n">
        <v>799651</v>
      </c>
      <c r="I673" s="17"/>
      <c r="J673" s="13" t="n">
        <v>40124</v>
      </c>
      <c r="K673" s="12" t="n">
        <v>5.6</v>
      </c>
      <c r="L673" s="12" t="s">
        <v>92</v>
      </c>
      <c r="M673" s="12" t="s">
        <v>4187</v>
      </c>
    </row>
    <row r="674" customFormat="false" ht="15" hidden="false" customHeight="false" outlineLevel="0" collapsed="false">
      <c r="A674" s="12" t="s">
        <v>2306</v>
      </c>
      <c r="B674" s="12" t="s">
        <v>4188</v>
      </c>
      <c r="C674" s="12" t="s">
        <v>4189</v>
      </c>
      <c r="D674" s="12" t="s">
        <v>265</v>
      </c>
      <c r="E674" s="12" t="n">
        <v>2</v>
      </c>
      <c r="F674" s="12" t="s">
        <v>2309</v>
      </c>
      <c r="G674" s="12" t="s">
        <v>2310</v>
      </c>
      <c r="H674" s="17"/>
      <c r="I674" s="17"/>
      <c r="J674" s="13" t="n">
        <v>23781</v>
      </c>
      <c r="K674" s="12" t="n">
        <v>4.2</v>
      </c>
      <c r="L674" s="12" t="s">
        <v>128</v>
      </c>
      <c r="M674" s="12" t="s">
        <v>4190</v>
      </c>
    </row>
    <row r="675" customFormat="false" ht="15" hidden="false" customHeight="false" outlineLevel="0" collapsed="false">
      <c r="A675" s="12" t="s">
        <v>2306</v>
      </c>
      <c r="B675" s="12" t="s">
        <v>4191</v>
      </c>
      <c r="C675" s="12" t="s">
        <v>4192</v>
      </c>
      <c r="D675" s="12" t="s">
        <v>251</v>
      </c>
      <c r="E675" s="12" t="n">
        <v>2</v>
      </c>
      <c r="F675" s="12" t="s">
        <v>2309</v>
      </c>
      <c r="G675" s="12" t="s">
        <v>2310</v>
      </c>
      <c r="H675" s="17"/>
      <c r="I675" s="17"/>
      <c r="J675" s="13" t="n">
        <v>23606</v>
      </c>
      <c r="K675" s="12" t="n">
        <v>6.9</v>
      </c>
      <c r="L675" s="12" t="s">
        <v>128</v>
      </c>
      <c r="M675" s="12" t="s">
        <v>4193</v>
      </c>
    </row>
    <row r="676" customFormat="false" ht="15" hidden="false" customHeight="false" outlineLevel="0" collapsed="false">
      <c r="A676" s="12" t="s">
        <v>2306</v>
      </c>
      <c r="B676" s="12" t="s">
        <v>4194</v>
      </c>
      <c r="C676" s="12" t="s">
        <v>4195</v>
      </c>
      <c r="D676" s="12" t="s">
        <v>273</v>
      </c>
      <c r="E676" s="12" t="n">
        <v>2</v>
      </c>
      <c r="F676" s="12" t="s">
        <v>2387</v>
      </c>
      <c r="G676" s="12" t="s">
        <v>2310</v>
      </c>
      <c r="H676" s="13" t="n">
        <v>2332873</v>
      </c>
      <c r="I676" s="17"/>
      <c r="J676" s="13" t="n">
        <v>212</v>
      </c>
      <c r="K676" s="12" t="n">
        <v>4.5</v>
      </c>
      <c r="L676" s="12" t="s">
        <v>92</v>
      </c>
      <c r="M676" s="12" t="s">
        <v>4196</v>
      </c>
    </row>
    <row r="677" customFormat="false" ht="15" hidden="false" customHeight="false" outlineLevel="0" collapsed="false">
      <c r="A677" s="12" t="s">
        <v>2306</v>
      </c>
      <c r="B677" s="12" t="s">
        <v>4197</v>
      </c>
      <c r="C677" s="12" t="s">
        <v>4198</v>
      </c>
      <c r="D677" s="12" t="s">
        <v>251</v>
      </c>
      <c r="E677" s="12" t="n">
        <v>2</v>
      </c>
      <c r="F677" s="12" t="s">
        <v>2314</v>
      </c>
      <c r="G677" s="12" t="s">
        <v>2310</v>
      </c>
      <c r="H677" s="17"/>
      <c r="I677" s="17"/>
      <c r="J677" s="13" t="n">
        <v>23577</v>
      </c>
      <c r="K677" s="12" t="n">
        <v>7.9</v>
      </c>
      <c r="L677" s="12" t="s">
        <v>169</v>
      </c>
      <c r="M677" s="12" t="s">
        <v>4199</v>
      </c>
    </row>
    <row r="678" customFormat="false" ht="15" hidden="false" customHeight="false" outlineLevel="0" collapsed="false">
      <c r="A678" s="12" t="s">
        <v>2306</v>
      </c>
      <c r="B678" s="12" t="s">
        <v>4200</v>
      </c>
      <c r="C678" s="12" t="s">
        <v>4201</v>
      </c>
      <c r="D678" s="12" t="s">
        <v>251</v>
      </c>
      <c r="E678" s="12" t="n">
        <v>2</v>
      </c>
      <c r="F678" s="12" t="s">
        <v>2387</v>
      </c>
      <c r="G678" s="12" t="s">
        <v>2310</v>
      </c>
      <c r="H678" s="13" t="n">
        <v>1880324</v>
      </c>
      <c r="I678" s="17"/>
      <c r="J678" s="13" t="n">
        <v>642</v>
      </c>
      <c r="K678" s="12" t="n">
        <v>5.7</v>
      </c>
      <c r="L678" s="12" t="s">
        <v>92</v>
      </c>
      <c r="M678" s="12" t="s">
        <v>4202</v>
      </c>
    </row>
    <row r="679" customFormat="false" ht="15" hidden="false" customHeight="false" outlineLevel="0" collapsed="false">
      <c r="A679" s="12" t="s">
        <v>2306</v>
      </c>
      <c r="B679" s="12" t="s">
        <v>4203</v>
      </c>
      <c r="C679" s="12" t="s">
        <v>4204</v>
      </c>
      <c r="D679" s="12" t="s">
        <v>214</v>
      </c>
      <c r="E679" s="12" t="n">
        <v>2</v>
      </c>
      <c r="F679" s="12" t="s">
        <v>2387</v>
      </c>
      <c r="G679" s="12" t="s">
        <v>2310</v>
      </c>
      <c r="H679" s="13" t="n">
        <v>1211083</v>
      </c>
      <c r="I679" s="17"/>
      <c r="J679" s="13" t="n">
        <v>8067</v>
      </c>
      <c r="K679" s="12" t="n">
        <v>7</v>
      </c>
      <c r="L679" s="12" t="s">
        <v>92</v>
      </c>
      <c r="M679" s="12" t="s">
        <v>4205</v>
      </c>
    </row>
    <row r="680" customFormat="false" ht="15" hidden="false" customHeight="false" outlineLevel="0" collapsed="false">
      <c r="A680" s="12" t="s">
        <v>2306</v>
      </c>
      <c r="B680" s="12" t="s">
        <v>4206</v>
      </c>
      <c r="C680" s="12" t="s">
        <v>4207</v>
      </c>
      <c r="D680" s="12" t="s">
        <v>505</v>
      </c>
      <c r="E680" s="12" t="n">
        <v>2</v>
      </c>
      <c r="F680" s="12" t="s">
        <v>2314</v>
      </c>
      <c r="G680" s="12" t="s">
        <v>2310</v>
      </c>
      <c r="H680" s="17"/>
      <c r="I680" s="17"/>
      <c r="J680" s="13" t="n">
        <v>22021</v>
      </c>
      <c r="K680" s="12" t="n">
        <v>8.2</v>
      </c>
      <c r="L680" s="12" t="s">
        <v>169</v>
      </c>
      <c r="M680" s="12" t="s">
        <v>4208</v>
      </c>
    </row>
    <row r="681" customFormat="false" ht="15" hidden="false" customHeight="false" outlineLevel="0" collapsed="false">
      <c r="A681" s="12" t="s">
        <v>2306</v>
      </c>
      <c r="B681" s="12" t="s">
        <v>4209</v>
      </c>
      <c r="C681" s="12" t="s">
        <v>4210</v>
      </c>
      <c r="D681" s="12" t="s">
        <v>265</v>
      </c>
      <c r="E681" s="12" t="n">
        <v>2</v>
      </c>
      <c r="F681" s="12" t="s">
        <v>2309</v>
      </c>
      <c r="G681" s="12" t="s">
        <v>2310</v>
      </c>
      <c r="H681" s="17"/>
      <c r="I681" s="17"/>
      <c r="J681" s="13" t="n">
        <v>22000</v>
      </c>
      <c r="K681" s="12" t="n">
        <v>6</v>
      </c>
      <c r="L681" s="12" t="s">
        <v>128</v>
      </c>
      <c r="M681" s="12" t="s">
        <v>4211</v>
      </c>
    </row>
    <row r="682" customFormat="false" ht="15" hidden="false" customHeight="false" outlineLevel="0" collapsed="false">
      <c r="A682" s="12" t="s">
        <v>2306</v>
      </c>
      <c r="B682" s="12" t="s">
        <v>4212</v>
      </c>
      <c r="C682" s="12" t="s">
        <v>4213</v>
      </c>
      <c r="D682" s="12" t="s">
        <v>265</v>
      </c>
      <c r="E682" s="12" t="n">
        <v>2</v>
      </c>
      <c r="F682" s="12" t="s">
        <v>2309</v>
      </c>
      <c r="G682" s="12" t="s">
        <v>2310</v>
      </c>
      <c r="H682" s="17"/>
      <c r="I682" s="17"/>
      <c r="J682" s="13" t="n">
        <v>21262</v>
      </c>
      <c r="K682" s="12" t="n">
        <v>6.5</v>
      </c>
      <c r="L682" s="12" t="s">
        <v>128</v>
      </c>
      <c r="M682" s="12" t="s">
        <v>4214</v>
      </c>
    </row>
    <row r="683" customFormat="false" ht="15" hidden="false" customHeight="false" outlineLevel="0" collapsed="false">
      <c r="A683" s="12" t="s">
        <v>2306</v>
      </c>
      <c r="B683" s="12" t="s">
        <v>4215</v>
      </c>
      <c r="C683" s="12" t="s">
        <v>4216</v>
      </c>
      <c r="D683" s="12" t="s">
        <v>175</v>
      </c>
      <c r="E683" s="12" t="n">
        <v>2</v>
      </c>
      <c r="F683" s="12" t="s">
        <v>3105</v>
      </c>
      <c r="G683" s="12" t="s">
        <v>2310</v>
      </c>
      <c r="H683" s="17"/>
      <c r="I683" s="17"/>
      <c r="J683" s="13" t="n">
        <v>20640</v>
      </c>
      <c r="K683" s="12" t="n">
        <v>6</v>
      </c>
      <c r="L683" s="12" t="s">
        <v>292</v>
      </c>
      <c r="M683" s="12" t="s">
        <v>4217</v>
      </c>
    </row>
    <row r="684" customFormat="false" ht="15" hidden="false" customHeight="false" outlineLevel="0" collapsed="false">
      <c r="A684" s="12" t="s">
        <v>2306</v>
      </c>
      <c r="B684" s="12" t="s">
        <v>4218</v>
      </c>
      <c r="C684" s="12" t="s">
        <v>4219</v>
      </c>
      <c r="D684" s="12" t="s">
        <v>140</v>
      </c>
      <c r="E684" s="12" t="n">
        <v>2</v>
      </c>
      <c r="F684" s="12" t="s">
        <v>2387</v>
      </c>
      <c r="G684" s="12" t="s">
        <v>2310</v>
      </c>
      <c r="H684" s="13" t="n">
        <v>1463018</v>
      </c>
      <c r="I684" s="17"/>
      <c r="J684" s="13" t="n">
        <v>1658</v>
      </c>
      <c r="K684" s="12" t="n">
        <v>7.5</v>
      </c>
      <c r="L684" s="12" t="s">
        <v>92</v>
      </c>
      <c r="M684" s="12" t="s">
        <v>4220</v>
      </c>
    </row>
    <row r="685" customFormat="false" ht="15" hidden="false" customHeight="false" outlineLevel="0" collapsed="false">
      <c r="A685" s="12" t="s">
        <v>2306</v>
      </c>
      <c r="B685" s="12" t="s">
        <v>4221</v>
      </c>
      <c r="C685" s="12" t="s">
        <v>4221</v>
      </c>
      <c r="D685" s="12" t="s">
        <v>101</v>
      </c>
      <c r="E685" s="12" t="n">
        <v>2</v>
      </c>
      <c r="F685" s="12" t="s">
        <v>2314</v>
      </c>
      <c r="G685" s="12" t="s">
        <v>2310</v>
      </c>
      <c r="H685" s="17"/>
      <c r="I685" s="17"/>
      <c r="J685" s="13" t="n">
        <v>20074</v>
      </c>
      <c r="K685" s="12" t="n">
        <v>7.5</v>
      </c>
      <c r="L685" s="12" t="s">
        <v>169</v>
      </c>
      <c r="M685" s="12" t="s">
        <v>4222</v>
      </c>
    </row>
    <row r="686" customFormat="false" ht="15" hidden="false" customHeight="false" outlineLevel="0" collapsed="false">
      <c r="A686" s="12" t="s">
        <v>2306</v>
      </c>
      <c r="C686" s="12" t="s">
        <v>4223</v>
      </c>
      <c r="D686" s="12" t="s">
        <v>175</v>
      </c>
      <c r="E686" s="12" t="n">
        <v>2</v>
      </c>
      <c r="F686" s="12" t="s">
        <v>2563</v>
      </c>
      <c r="G686" s="12" t="s">
        <v>2310</v>
      </c>
      <c r="H686" s="17"/>
      <c r="I686" s="13" t="n">
        <v>670491959</v>
      </c>
      <c r="J686" s="13" t="n">
        <v>4144</v>
      </c>
      <c r="K686" s="12" t="n">
        <v>6.4</v>
      </c>
      <c r="L686" s="12" t="s">
        <v>92</v>
      </c>
      <c r="M686" s="12" t="s">
        <v>4224</v>
      </c>
    </row>
    <row r="687" customFormat="false" ht="15" hidden="false" customHeight="false" outlineLevel="0" collapsed="false">
      <c r="A687" s="12" t="s">
        <v>2306</v>
      </c>
      <c r="B687" s="12" t="s">
        <v>4225</v>
      </c>
      <c r="C687" s="12" t="s">
        <v>4226</v>
      </c>
      <c r="D687" s="12" t="s">
        <v>265</v>
      </c>
      <c r="E687" s="12" t="n">
        <v>2</v>
      </c>
      <c r="F687" s="12" t="s">
        <v>2309</v>
      </c>
      <c r="G687" s="12" t="s">
        <v>2310</v>
      </c>
      <c r="H687" s="17"/>
      <c r="I687" s="17"/>
      <c r="J687" s="13" t="n">
        <v>19144</v>
      </c>
      <c r="K687" s="12" t="n">
        <v>6.5</v>
      </c>
      <c r="L687" s="12" t="s">
        <v>128</v>
      </c>
      <c r="M687" s="12" t="s">
        <v>4227</v>
      </c>
    </row>
    <row r="688" customFormat="false" ht="15" hidden="false" customHeight="false" outlineLevel="0" collapsed="false">
      <c r="A688" s="12" t="s">
        <v>2306</v>
      </c>
      <c r="B688" s="12" t="s">
        <v>4228</v>
      </c>
      <c r="C688" s="12" t="s">
        <v>4229</v>
      </c>
      <c r="D688" s="12" t="s">
        <v>101</v>
      </c>
      <c r="E688" s="12" t="n">
        <v>2</v>
      </c>
      <c r="F688" s="12" t="s">
        <v>2314</v>
      </c>
      <c r="G688" s="12" t="s">
        <v>2310</v>
      </c>
      <c r="H688" s="17"/>
      <c r="I688" s="17"/>
      <c r="J688" s="13" t="n">
        <v>19080</v>
      </c>
      <c r="K688" s="12" t="n">
        <v>8</v>
      </c>
      <c r="L688" s="12" t="s">
        <v>169</v>
      </c>
      <c r="M688" s="12" t="s">
        <v>4230</v>
      </c>
    </row>
    <row r="689" customFormat="false" ht="15" hidden="false" customHeight="false" outlineLevel="0" collapsed="false">
      <c r="A689" s="12" t="s">
        <v>2306</v>
      </c>
      <c r="C689" s="12" t="s">
        <v>4231</v>
      </c>
      <c r="D689" s="12" t="s">
        <v>101</v>
      </c>
      <c r="E689" s="12" t="n">
        <v>2</v>
      </c>
      <c r="F689" s="12" t="s">
        <v>2563</v>
      </c>
      <c r="G689" s="12" t="s">
        <v>2310</v>
      </c>
      <c r="H689" s="17"/>
      <c r="I689" s="13" t="n">
        <v>686257563</v>
      </c>
      <c r="J689" s="13" t="n">
        <v>3162</v>
      </c>
      <c r="K689" s="12" t="n">
        <v>5.6</v>
      </c>
      <c r="L689" s="12" t="s">
        <v>92</v>
      </c>
      <c r="M689" s="12" t="s">
        <v>4232</v>
      </c>
    </row>
    <row r="690" customFormat="false" ht="15" hidden="false" customHeight="false" outlineLevel="0" collapsed="false">
      <c r="A690" s="12" t="s">
        <v>2306</v>
      </c>
      <c r="B690" s="12" t="s">
        <v>4233</v>
      </c>
      <c r="C690" s="12" t="s">
        <v>4234</v>
      </c>
      <c r="D690" s="12" t="s">
        <v>505</v>
      </c>
      <c r="E690" s="12" t="n">
        <v>2</v>
      </c>
      <c r="F690" s="12" t="s">
        <v>2309</v>
      </c>
      <c r="G690" s="12" t="s">
        <v>2310</v>
      </c>
      <c r="H690" s="17"/>
      <c r="I690" s="17"/>
      <c r="J690" s="13" t="n">
        <v>19077</v>
      </c>
      <c r="K690" s="12" t="n">
        <v>6.3</v>
      </c>
      <c r="L690" s="12" t="s">
        <v>128</v>
      </c>
      <c r="M690" s="12" t="s">
        <v>4235</v>
      </c>
    </row>
    <row r="691" customFormat="false" ht="15" hidden="false" customHeight="false" outlineLevel="0" collapsed="false">
      <c r="A691" s="12" t="s">
        <v>2306</v>
      </c>
      <c r="B691" s="12" t="s">
        <v>4236</v>
      </c>
      <c r="C691" s="12" t="s">
        <v>4237</v>
      </c>
      <c r="D691" s="12" t="s">
        <v>1103</v>
      </c>
      <c r="E691" s="12" t="n">
        <v>2</v>
      </c>
      <c r="F691" s="12" t="s">
        <v>2387</v>
      </c>
      <c r="G691" s="12" t="s">
        <v>2310</v>
      </c>
      <c r="H691" s="13" t="n">
        <v>415613</v>
      </c>
      <c r="I691" s="17"/>
      <c r="J691" s="13" t="n">
        <v>64038</v>
      </c>
      <c r="K691" s="12" t="n">
        <v>6.8</v>
      </c>
      <c r="L691" s="12" t="s">
        <v>92</v>
      </c>
      <c r="M691" s="12" t="s">
        <v>4238</v>
      </c>
    </row>
    <row r="692" customFormat="false" ht="15" hidden="false" customHeight="false" outlineLevel="0" collapsed="false">
      <c r="A692" s="12" t="s">
        <v>2306</v>
      </c>
      <c r="B692" s="12" t="s">
        <v>4239</v>
      </c>
      <c r="C692" s="12" t="s">
        <v>4240</v>
      </c>
      <c r="D692" s="12" t="s">
        <v>505</v>
      </c>
      <c r="E692" s="12" t="n">
        <v>2</v>
      </c>
      <c r="F692" s="12" t="s">
        <v>2309</v>
      </c>
      <c r="G692" s="12" t="s">
        <v>2310</v>
      </c>
      <c r="H692" s="17"/>
      <c r="I692" s="17"/>
      <c r="J692" s="13" t="n">
        <v>18548</v>
      </c>
      <c r="K692" s="12" t="n">
        <v>6.7</v>
      </c>
      <c r="L692" s="12" t="s">
        <v>128</v>
      </c>
      <c r="M692" s="12" t="s">
        <v>4241</v>
      </c>
    </row>
    <row r="693" customFormat="false" ht="15" hidden="false" customHeight="false" outlineLevel="0" collapsed="false">
      <c r="A693" s="12" t="s">
        <v>2306</v>
      </c>
      <c r="B693" s="12" t="s">
        <v>4242</v>
      </c>
      <c r="D693" s="12" t="s">
        <v>358</v>
      </c>
      <c r="E693" s="12" t="n">
        <v>2</v>
      </c>
      <c r="F693" s="12" t="s">
        <v>2387</v>
      </c>
      <c r="G693" s="12" t="s">
        <v>2310</v>
      </c>
      <c r="H693" s="13" t="n">
        <v>1485498</v>
      </c>
      <c r="I693" s="17"/>
      <c r="J693" s="13" t="n">
        <v>1270</v>
      </c>
      <c r="K693" s="12" t="n">
        <v>5.3</v>
      </c>
      <c r="L693" s="12" t="s">
        <v>92</v>
      </c>
      <c r="M693" s="12" t="s">
        <v>4243</v>
      </c>
    </row>
    <row r="694" customFormat="false" ht="15" hidden="false" customHeight="false" outlineLevel="0" collapsed="false">
      <c r="A694" s="12" t="s">
        <v>2306</v>
      </c>
      <c r="B694" s="12" t="s">
        <v>4244</v>
      </c>
      <c r="C694" s="12" t="s">
        <v>1183</v>
      </c>
      <c r="D694" s="12" t="s">
        <v>140</v>
      </c>
      <c r="E694" s="12" t="n">
        <v>2</v>
      </c>
      <c r="F694" s="12" t="s">
        <v>2387</v>
      </c>
      <c r="G694" s="12" t="s">
        <v>2310</v>
      </c>
      <c r="H694" s="13" t="n">
        <v>2456934</v>
      </c>
      <c r="I694" s="17"/>
      <c r="J694" s="13" t="n">
        <v>68</v>
      </c>
      <c r="K694" s="12" t="n">
        <v>5.7</v>
      </c>
      <c r="L694" s="12" t="s">
        <v>92</v>
      </c>
      <c r="M694" s="12" t="s">
        <v>4245</v>
      </c>
    </row>
    <row r="695" customFormat="false" ht="15" hidden="false" customHeight="false" outlineLevel="0" collapsed="false">
      <c r="A695" s="12" t="s">
        <v>2306</v>
      </c>
      <c r="B695" s="12" t="s">
        <v>4246</v>
      </c>
      <c r="C695" s="12" t="s">
        <v>4247</v>
      </c>
      <c r="D695" s="12" t="s">
        <v>118</v>
      </c>
      <c r="E695" s="12" t="n">
        <v>2</v>
      </c>
      <c r="F695" s="12" t="s">
        <v>2314</v>
      </c>
      <c r="G695" s="12" t="s">
        <v>2310</v>
      </c>
      <c r="H695" s="17"/>
      <c r="I695" s="17"/>
      <c r="J695" s="13" t="n">
        <v>18119</v>
      </c>
      <c r="K695" s="12" t="n">
        <v>7.5</v>
      </c>
      <c r="L695" s="12" t="s">
        <v>169</v>
      </c>
      <c r="M695" s="12" t="s">
        <v>4248</v>
      </c>
    </row>
    <row r="696" customFormat="false" ht="15" hidden="false" customHeight="false" outlineLevel="0" collapsed="false">
      <c r="A696" s="12" t="s">
        <v>2306</v>
      </c>
      <c r="C696" s="12" t="s">
        <v>4249</v>
      </c>
      <c r="D696" s="12" t="s">
        <v>265</v>
      </c>
      <c r="E696" s="12" t="n">
        <v>2</v>
      </c>
      <c r="F696" s="12" t="s">
        <v>2309</v>
      </c>
      <c r="G696" s="12" t="s">
        <v>2310</v>
      </c>
      <c r="H696" s="17"/>
      <c r="I696" s="17"/>
      <c r="J696" s="13" t="n">
        <v>17183</v>
      </c>
      <c r="K696" s="12" t="n">
        <v>7.1</v>
      </c>
      <c r="L696" s="12" t="s">
        <v>128</v>
      </c>
      <c r="M696" s="12" t="s">
        <v>4250</v>
      </c>
    </row>
    <row r="697" customFormat="false" ht="15" hidden="false" customHeight="false" outlineLevel="0" collapsed="false">
      <c r="A697" s="12" t="s">
        <v>2306</v>
      </c>
      <c r="B697" s="12" t="s">
        <v>4251</v>
      </c>
      <c r="C697" s="12" t="s">
        <v>4252</v>
      </c>
      <c r="D697" s="12" t="s">
        <v>251</v>
      </c>
      <c r="E697" s="12" t="n">
        <v>2</v>
      </c>
      <c r="F697" s="12" t="s">
        <v>2387</v>
      </c>
      <c r="G697" s="12" t="s">
        <v>2310</v>
      </c>
      <c r="H697" s="13" t="n">
        <v>1615208</v>
      </c>
      <c r="I697" s="17"/>
      <c r="J697" s="13" t="n">
        <v>799</v>
      </c>
      <c r="K697" s="12" t="n">
        <v>6.1</v>
      </c>
      <c r="L697" s="12" t="s">
        <v>92</v>
      </c>
      <c r="M697" s="12" t="s">
        <v>4253</v>
      </c>
    </row>
    <row r="698" customFormat="false" ht="15" hidden="false" customHeight="false" outlineLevel="0" collapsed="false">
      <c r="A698" s="12" t="s">
        <v>2306</v>
      </c>
      <c r="B698" s="12" t="s">
        <v>4254</v>
      </c>
      <c r="C698" s="12" t="s">
        <v>4255</v>
      </c>
      <c r="D698" s="12" t="s">
        <v>265</v>
      </c>
      <c r="E698" s="12" t="n">
        <v>2</v>
      </c>
      <c r="F698" s="12" t="s">
        <v>2309</v>
      </c>
      <c r="G698" s="12" t="s">
        <v>2310</v>
      </c>
      <c r="H698" s="17"/>
      <c r="I698" s="17"/>
      <c r="J698" s="13" t="n">
        <v>16025</v>
      </c>
      <c r="K698" s="12" t="n">
        <v>6</v>
      </c>
      <c r="L698" s="12" t="s">
        <v>128</v>
      </c>
      <c r="M698" s="12" t="s">
        <v>4256</v>
      </c>
    </row>
    <row r="699" customFormat="false" ht="15" hidden="false" customHeight="false" outlineLevel="0" collapsed="false">
      <c r="A699" s="12" t="s">
        <v>2306</v>
      </c>
      <c r="B699" s="12" t="s">
        <v>4257</v>
      </c>
      <c r="C699" s="12" t="s">
        <v>4258</v>
      </c>
      <c r="D699" s="12" t="s">
        <v>251</v>
      </c>
      <c r="E699" s="12" t="n">
        <v>2</v>
      </c>
      <c r="F699" s="12" t="s">
        <v>2563</v>
      </c>
      <c r="G699" s="12" t="s">
        <v>2310</v>
      </c>
      <c r="H699" s="17"/>
      <c r="I699" s="13" t="n">
        <v>492162604</v>
      </c>
      <c r="J699" s="13" t="n">
        <v>85460</v>
      </c>
      <c r="K699" s="12" t="n">
        <v>6.9</v>
      </c>
      <c r="L699" s="12" t="s">
        <v>92</v>
      </c>
      <c r="M699" s="12" t="s">
        <v>4259</v>
      </c>
    </row>
    <row r="700" customFormat="false" ht="15" hidden="false" customHeight="false" outlineLevel="0" collapsed="false">
      <c r="A700" s="12" t="s">
        <v>2306</v>
      </c>
      <c r="B700" s="12" t="s">
        <v>4260</v>
      </c>
      <c r="C700" s="12" t="s">
        <v>4261</v>
      </c>
      <c r="D700" s="12" t="s">
        <v>90</v>
      </c>
      <c r="E700" s="12" t="n">
        <v>2</v>
      </c>
      <c r="F700" s="12" t="s">
        <v>2314</v>
      </c>
      <c r="G700" s="12" t="s">
        <v>2310</v>
      </c>
      <c r="H700" s="17"/>
      <c r="I700" s="17"/>
      <c r="J700" s="13" t="n">
        <v>15872</v>
      </c>
      <c r="K700" s="12" t="n">
        <v>7.6</v>
      </c>
      <c r="L700" s="12" t="s">
        <v>169</v>
      </c>
      <c r="M700" s="12" t="s">
        <v>4262</v>
      </c>
    </row>
    <row r="701" customFormat="false" ht="15" hidden="false" customHeight="false" outlineLevel="0" collapsed="false">
      <c r="A701" s="12" t="s">
        <v>2306</v>
      </c>
      <c r="B701" s="12" t="s">
        <v>4263</v>
      </c>
      <c r="C701" s="12" t="s">
        <v>4264</v>
      </c>
      <c r="D701" s="12" t="s">
        <v>118</v>
      </c>
      <c r="E701" s="12" t="n">
        <v>2</v>
      </c>
      <c r="F701" s="12" t="s">
        <v>2688</v>
      </c>
      <c r="G701" s="12" t="s">
        <v>2310</v>
      </c>
      <c r="H701" s="17"/>
      <c r="I701" s="17"/>
      <c r="J701" s="13" t="n">
        <v>15278</v>
      </c>
      <c r="K701" s="12" t="n">
        <v>5.9</v>
      </c>
      <c r="L701" s="12" t="s">
        <v>674</v>
      </c>
      <c r="M701" s="12" t="s">
        <v>4265</v>
      </c>
    </row>
    <row r="702" customFormat="false" ht="15" hidden="false" customHeight="false" outlineLevel="0" collapsed="false">
      <c r="A702" s="12" t="s">
        <v>2306</v>
      </c>
      <c r="C702" s="12" t="s">
        <v>4266</v>
      </c>
      <c r="D702" s="12" t="s">
        <v>118</v>
      </c>
      <c r="E702" s="12" t="n">
        <v>2</v>
      </c>
      <c r="F702" s="12" t="s">
        <v>2314</v>
      </c>
      <c r="G702" s="12" t="s">
        <v>2310</v>
      </c>
      <c r="H702" s="17"/>
      <c r="I702" s="17"/>
      <c r="J702" s="13" t="n">
        <v>15225</v>
      </c>
      <c r="K702" s="12" t="n">
        <v>7.4</v>
      </c>
      <c r="L702" s="12" t="s">
        <v>169</v>
      </c>
      <c r="M702" s="12" t="s">
        <v>4267</v>
      </c>
    </row>
    <row r="703" customFormat="false" ht="15" hidden="false" customHeight="false" outlineLevel="0" collapsed="false">
      <c r="A703" s="12" t="s">
        <v>2306</v>
      </c>
      <c r="B703" s="12" t="s">
        <v>4268</v>
      </c>
      <c r="C703" s="12" t="s">
        <v>4269</v>
      </c>
      <c r="D703" s="12" t="s">
        <v>202</v>
      </c>
      <c r="E703" s="12" t="n">
        <v>2</v>
      </c>
      <c r="F703" s="12" t="s">
        <v>2387</v>
      </c>
      <c r="G703" s="12" t="s">
        <v>2310</v>
      </c>
      <c r="H703" s="13" t="n">
        <v>1716774</v>
      </c>
      <c r="I703" s="17"/>
      <c r="J703" s="13" t="n">
        <v>630</v>
      </c>
      <c r="K703" s="12" t="n">
        <v>3.6</v>
      </c>
      <c r="L703" s="12" t="s">
        <v>92</v>
      </c>
      <c r="M703" s="12" t="s">
        <v>4270</v>
      </c>
    </row>
    <row r="704" customFormat="false" ht="15" hidden="false" customHeight="false" outlineLevel="0" collapsed="false">
      <c r="A704" s="12" t="s">
        <v>2306</v>
      </c>
      <c r="C704" s="12" t="s">
        <v>4271</v>
      </c>
      <c r="D704" s="12" t="s">
        <v>175</v>
      </c>
      <c r="E704" s="12" t="n">
        <v>1</v>
      </c>
      <c r="F704" s="12" t="s">
        <v>3220</v>
      </c>
      <c r="G704" s="12" t="s">
        <v>2405</v>
      </c>
      <c r="H704" s="17"/>
      <c r="I704" s="13" t="n">
        <v>615023132</v>
      </c>
      <c r="J704" s="17"/>
      <c r="L704" s="12" t="s">
        <v>92</v>
      </c>
    </row>
    <row r="705" customFormat="false" ht="15" hidden="false" customHeight="false" outlineLevel="0" collapsed="false">
      <c r="A705" s="12" t="s">
        <v>2306</v>
      </c>
      <c r="B705" s="12" t="s">
        <v>4272</v>
      </c>
      <c r="C705" s="12" t="s">
        <v>4272</v>
      </c>
      <c r="D705" s="12" t="s">
        <v>1103</v>
      </c>
      <c r="E705" s="12" t="n">
        <v>2</v>
      </c>
      <c r="F705" s="12" t="s">
        <v>2314</v>
      </c>
      <c r="G705" s="12" t="s">
        <v>2310</v>
      </c>
      <c r="H705" s="17"/>
      <c r="I705" s="17"/>
      <c r="J705" s="13" t="n">
        <v>14433</v>
      </c>
      <c r="K705" s="12" t="n">
        <v>6.1</v>
      </c>
      <c r="L705" s="12" t="s">
        <v>169</v>
      </c>
      <c r="M705" s="12" t="s">
        <v>4273</v>
      </c>
    </row>
    <row r="706" customFormat="false" ht="15" hidden="false" customHeight="false" outlineLevel="0" collapsed="false">
      <c r="A706" s="12" t="s">
        <v>2306</v>
      </c>
      <c r="B706" s="12" t="s">
        <v>4274</v>
      </c>
      <c r="C706" s="12" t="s">
        <v>4275</v>
      </c>
      <c r="D706" s="12" t="s">
        <v>175</v>
      </c>
      <c r="E706" s="12" t="n">
        <v>2</v>
      </c>
      <c r="F706" s="12" t="s">
        <v>2309</v>
      </c>
      <c r="G706" s="12" t="s">
        <v>2310</v>
      </c>
      <c r="H706" s="17"/>
      <c r="I706" s="17"/>
      <c r="J706" s="13" t="n">
        <v>14397</v>
      </c>
      <c r="K706" s="12" t="n">
        <v>5</v>
      </c>
      <c r="L706" s="12" t="s">
        <v>128</v>
      </c>
      <c r="M706" s="12" t="s">
        <v>4276</v>
      </c>
    </row>
    <row r="707" customFormat="false" ht="15" hidden="false" customHeight="false" outlineLevel="0" collapsed="false">
      <c r="A707" s="12" t="s">
        <v>2306</v>
      </c>
      <c r="B707" s="12" t="s">
        <v>4277</v>
      </c>
      <c r="C707" s="12" t="s">
        <v>4278</v>
      </c>
      <c r="D707" s="12" t="s">
        <v>101</v>
      </c>
      <c r="E707" s="12" t="n">
        <v>2</v>
      </c>
      <c r="F707" s="12" t="s">
        <v>2387</v>
      </c>
      <c r="G707" s="12" t="s">
        <v>2310</v>
      </c>
      <c r="H707" s="13" t="n">
        <v>668742</v>
      </c>
      <c r="I707" s="17"/>
      <c r="J707" s="13" t="n">
        <v>27612</v>
      </c>
      <c r="K707" s="12" t="n">
        <v>5.8</v>
      </c>
      <c r="L707" s="12" t="s">
        <v>92</v>
      </c>
      <c r="M707" s="12" t="s">
        <v>4279</v>
      </c>
    </row>
    <row r="708" customFormat="false" ht="15" hidden="false" customHeight="false" outlineLevel="0" collapsed="false">
      <c r="A708" s="12" t="s">
        <v>2306</v>
      </c>
      <c r="B708" s="12" t="s">
        <v>4280</v>
      </c>
      <c r="C708" s="12" t="s">
        <v>4281</v>
      </c>
      <c r="D708" s="12" t="s">
        <v>118</v>
      </c>
      <c r="E708" s="12" t="n">
        <v>2</v>
      </c>
      <c r="F708" s="12" t="s">
        <v>2688</v>
      </c>
      <c r="G708" s="12" t="s">
        <v>2310</v>
      </c>
      <c r="H708" s="17"/>
      <c r="I708" s="17"/>
      <c r="J708" s="13" t="n">
        <v>14332</v>
      </c>
      <c r="K708" s="12" t="n">
        <v>7.2</v>
      </c>
      <c r="L708" s="12" t="s">
        <v>674</v>
      </c>
      <c r="M708" s="12" t="s">
        <v>4282</v>
      </c>
    </row>
    <row r="709" customFormat="false" ht="15" hidden="false" customHeight="false" outlineLevel="0" collapsed="false">
      <c r="A709" s="12" t="s">
        <v>2306</v>
      </c>
      <c r="B709" s="12" t="s">
        <v>4283</v>
      </c>
      <c r="C709" s="12" t="s">
        <v>4284</v>
      </c>
      <c r="D709" s="12" t="s">
        <v>265</v>
      </c>
      <c r="E709" s="12" t="n">
        <v>2</v>
      </c>
      <c r="F709" s="12" t="s">
        <v>2309</v>
      </c>
      <c r="G709" s="12" t="s">
        <v>2310</v>
      </c>
      <c r="H709" s="17"/>
      <c r="I709" s="17"/>
      <c r="J709" s="13" t="n">
        <v>13461</v>
      </c>
      <c r="K709" s="12" t="n">
        <v>6.3</v>
      </c>
      <c r="L709" s="12" t="s">
        <v>128</v>
      </c>
      <c r="M709" s="12" t="s">
        <v>4285</v>
      </c>
    </row>
    <row r="710" customFormat="false" ht="15" hidden="false" customHeight="false" outlineLevel="0" collapsed="false">
      <c r="A710" s="12" t="s">
        <v>2306</v>
      </c>
      <c r="B710" s="12" t="s">
        <v>4286</v>
      </c>
      <c r="C710" s="12" t="s">
        <v>4287</v>
      </c>
      <c r="D710" s="12" t="s">
        <v>118</v>
      </c>
      <c r="E710" s="12" t="n">
        <v>2</v>
      </c>
      <c r="F710" s="12" t="s">
        <v>2688</v>
      </c>
      <c r="G710" s="12" t="s">
        <v>2310</v>
      </c>
      <c r="H710" s="17"/>
      <c r="I710" s="17"/>
      <c r="J710" s="13" t="n">
        <v>13014</v>
      </c>
      <c r="K710" s="12" t="n">
        <v>5.3</v>
      </c>
      <c r="L710" s="12" t="s">
        <v>674</v>
      </c>
      <c r="M710" s="12" t="s">
        <v>4288</v>
      </c>
    </row>
    <row r="711" customFormat="false" ht="15" hidden="false" customHeight="false" outlineLevel="0" collapsed="false">
      <c r="A711" s="12" t="s">
        <v>2306</v>
      </c>
      <c r="B711" s="12" t="s">
        <v>4289</v>
      </c>
      <c r="C711" s="12" t="s">
        <v>4290</v>
      </c>
      <c r="D711" s="12" t="s">
        <v>265</v>
      </c>
      <c r="E711" s="12" t="n">
        <v>2</v>
      </c>
      <c r="F711" s="12" t="s">
        <v>2309</v>
      </c>
      <c r="G711" s="12" t="s">
        <v>2310</v>
      </c>
      <c r="H711" s="17"/>
      <c r="I711" s="17"/>
      <c r="J711" s="13" t="n">
        <v>12966</v>
      </c>
      <c r="K711" s="12" t="n">
        <v>6.3</v>
      </c>
      <c r="L711" s="12" t="s">
        <v>128</v>
      </c>
      <c r="M711" s="12" t="s">
        <v>4291</v>
      </c>
    </row>
    <row r="712" customFormat="false" ht="15" hidden="false" customHeight="false" outlineLevel="0" collapsed="false">
      <c r="A712" s="12" t="s">
        <v>2306</v>
      </c>
      <c r="B712" s="12" t="s">
        <v>4292</v>
      </c>
      <c r="C712" s="12" t="s">
        <v>4293</v>
      </c>
      <c r="D712" s="12" t="s">
        <v>118</v>
      </c>
      <c r="E712" s="12" t="n">
        <v>2</v>
      </c>
      <c r="F712" s="12" t="s">
        <v>2688</v>
      </c>
      <c r="G712" s="12" t="s">
        <v>2310</v>
      </c>
      <c r="H712" s="17"/>
      <c r="I712" s="17"/>
      <c r="J712" s="13" t="n">
        <v>12597</v>
      </c>
      <c r="K712" s="12" t="n">
        <v>6.4</v>
      </c>
      <c r="L712" s="12" t="s">
        <v>674</v>
      </c>
      <c r="M712" s="12" t="s">
        <v>4294</v>
      </c>
    </row>
    <row r="713" customFormat="false" ht="15" hidden="false" customHeight="false" outlineLevel="0" collapsed="false">
      <c r="A713" s="12" t="s">
        <v>2306</v>
      </c>
      <c r="B713" s="12" t="s">
        <v>4295</v>
      </c>
      <c r="D713" s="12" t="s">
        <v>207</v>
      </c>
      <c r="E713" s="12" t="n">
        <v>2</v>
      </c>
      <c r="F713" s="12" t="s">
        <v>2387</v>
      </c>
      <c r="G713" s="12" t="s">
        <v>2310</v>
      </c>
      <c r="H713" s="13" t="n">
        <v>1585341</v>
      </c>
      <c r="I713" s="17"/>
      <c r="J713" s="13" t="n">
        <v>681</v>
      </c>
      <c r="K713" s="12" t="n">
        <v>4.1</v>
      </c>
      <c r="L713" s="12" t="s">
        <v>92</v>
      </c>
      <c r="M713" s="12" t="s">
        <v>4296</v>
      </c>
    </row>
    <row r="714" customFormat="false" ht="15" hidden="false" customHeight="false" outlineLevel="0" collapsed="false">
      <c r="A714" s="12" t="s">
        <v>2306</v>
      </c>
      <c r="B714" s="12" t="s">
        <v>4297</v>
      </c>
      <c r="C714" s="12" t="s">
        <v>4298</v>
      </c>
      <c r="D714" s="12" t="s">
        <v>265</v>
      </c>
      <c r="E714" s="12" t="n">
        <v>2</v>
      </c>
      <c r="F714" s="12" t="s">
        <v>2309</v>
      </c>
      <c r="G714" s="12" t="s">
        <v>2310</v>
      </c>
      <c r="H714" s="17"/>
      <c r="I714" s="17"/>
      <c r="J714" s="13" t="n">
        <v>11890</v>
      </c>
      <c r="K714" s="12" t="n">
        <v>6.8</v>
      </c>
      <c r="L714" s="12" t="s">
        <v>128</v>
      </c>
      <c r="M714" s="12" t="s">
        <v>4299</v>
      </c>
    </row>
    <row r="715" customFormat="false" ht="15" hidden="false" customHeight="false" outlineLevel="0" collapsed="false">
      <c r="A715" s="12" t="s">
        <v>2306</v>
      </c>
      <c r="B715" s="12" t="s">
        <v>4300</v>
      </c>
      <c r="C715" s="12" t="s">
        <v>4301</v>
      </c>
      <c r="D715" s="12" t="s">
        <v>251</v>
      </c>
      <c r="E715" s="12" t="n">
        <v>2</v>
      </c>
      <c r="F715" s="12" t="s">
        <v>2309</v>
      </c>
      <c r="G715" s="12" t="s">
        <v>2310</v>
      </c>
      <c r="H715" s="17"/>
      <c r="I715" s="17"/>
      <c r="J715" s="13" t="n">
        <v>11822</v>
      </c>
      <c r="K715" s="12" t="n">
        <v>5.3</v>
      </c>
      <c r="L715" s="12" t="s">
        <v>128</v>
      </c>
      <c r="M715" s="12" t="s">
        <v>4302</v>
      </c>
    </row>
    <row r="716" customFormat="false" ht="15" hidden="false" customHeight="false" outlineLevel="0" collapsed="false">
      <c r="A716" s="12" t="s">
        <v>2306</v>
      </c>
      <c r="C716" s="12" t="s">
        <v>4303</v>
      </c>
      <c r="D716" s="12" t="s">
        <v>101</v>
      </c>
      <c r="E716" s="12" t="n">
        <v>2</v>
      </c>
      <c r="F716" s="12" t="s">
        <v>2314</v>
      </c>
      <c r="G716" s="12" t="s">
        <v>2310</v>
      </c>
      <c r="H716" s="17"/>
      <c r="I716" s="17"/>
      <c r="J716" s="13" t="n">
        <v>11251</v>
      </c>
      <c r="K716" s="12" t="n">
        <v>8.7</v>
      </c>
      <c r="L716" s="12" t="s">
        <v>169</v>
      </c>
      <c r="M716" s="12" t="s">
        <v>4304</v>
      </c>
    </row>
    <row r="717" customFormat="false" ht="15" hidden="false" customHeight="false" outlineLevel="0" collapsed="false">
      <c r="A717" s="12" t="s">
        <v>2306</v>
      </c>
      <c r="B717" s="12" t="s">
        <v>4305</v>
      </c>
      <c r="D717" s="12" t="s">
        <v>158</v>
      </c>
      <c r="E717" s="12" t="n">
        <v>2</v>
      </c>
      <c r="F717" s="12" t="s">
        <v>2387</v>
      </c>
      <c r="G717" s="12" t="s">
        <v>2310</v>
      </c>
      <c r="H717" s="13" t="n">
        <v>1892337</v>
      </c>
      <c r="I717" s="17"/>
      <c r="J717" s="13" t="n">
        <v>334</v>
      </c>
      <c r="K717" s="12" t="n">
        <v>4</v>
      </c>
      <c r="L717" s="12" t="s">
        <v>92</v>
      </c>
      <c r="M717" s="12" t="s">
        <v>4306</v>
      </c>
    </row>
    <row r="718" customFormat="false" ht="15" hidden="false" customHeight="false" outlineLevel="0" collapsed="false">
      <c r="A718" s="12" t="s">
        <v>2306</v>
      </c>
      <c r="B718" s="12" t="s">
        <v>4307</v>
      </c>
      <c r="C718" s="12" t="s">
        <v>4308</v>
      </c>
      <c r="D718" s="12" t="s">
        <v>396</v>
      </c>
      <c r="E718" s="12" t="n">
        <v>2</v>
      </c>
      <c r="F718" s="12" t="s">
        <v>2387</v>
      </c>
      <c r="G718" s="12" t="s">
        <v>2310</v>
      </c>
      <c r="H718" s="13" t="n">
        <v>1449411</v>
      </c>
      <c r="I718" s="17"/>
      <c r="J718" s="13" t="n">
        <v>825</v>
      </c>
      <c r="K718" s="12" t="n">
        <v>6.5</v>
      </c>
      <c r="L718" s="12" t="s">
        <v>92</v>
      </c>
      <c r="M718" s="12" t="s">
        <v>4309</v>
      </c>
    </row>
    <row r="719" customFormat="false" ht="15" hidden="false" customHeight="false" outlineLevel="0" collapsed="false">
      <c r="A719" s="12" t="s">
        <v>2306</v>
      </c>
      <c r="B719" s="12" t="s">
        <v>4310</v>
      </c>
      <c r="C719" s="12" t="s">
        <v>4311</v>
      </c>
      <c r="D719" s="12" t="s">
        <v>1103</v>
      </c>
      <c r="E719" s="12" t="n">
        <v>2</v>
      </c>
      <c r="F719" s="12" t="s">
        <v>2314</v>
      </c>
      <c r="G719" s="12" t="s">
        <v>2310</v>
      </c>
      <c r="H719" s="17"/>
      <c r="I719" s="17"/>
      <c r="J719" s="13" t="n">
        <v>10932</v>
      </c>
      <c r="K719" s="12" t="n">
        <v>7.1</v>
      </c>
      <c r="L719" s="12" t="s">
        <v>169</v>
      </c>
      <c r="M719" s="12" t="s">
        <v>4312</v>
      </c>
    </row>
    <row r="720" customFormat="false" ht="15" hidden="false" customHeight="false" outlineLevel="0" collapsed="false">
      <c r="A720" s="12" t="s">
        <v>2306</v>
      </c>
      <c r="B720" s="12" t="s">
        <v>4313</v>
      </c>
      <c r="C720" s="12" t="s">
        <v>4314</v>
      </c>
      <c r="D720" s="12" t="s">
        <v>101</v>
      </c>
      <c r="E720" s="12" t="n">
        <v>2</v>
      </c>
      <c r="F720" s="12" t="s">
        <v>2387</v>
      </c>
      <c r="G720" s="12" t="s">
        <v>2310</v>
      </c>
      <c r="H720" s="13" t="n">
        <v>673725</v>
      </c>
      <c r="I720" s="17"/>
      <c r="J720" s="13" t="n">
        <v>18863</v>
      </c>
      <c r="K720" s="12" t="n">
        <v>5.4</v>
      </c>
      <c r="L720" s="12" t="s">
        <v>92</v>
      </c>
      <c r="M720" s="12" t="s">
        <v>4315</v>
      </c>
    </row>
    <row r="721" customFormat="false" ht="15" hidden="false" customHeight="false" outlineLevel="0" collapsed="false">
      <c r="A721" s="12" t="s">
        <v>2306</v>
      </c>
      <c r="B721" s="12" t="s">
        <v>4316</v>
      </c>
      <c r="C721" s="12" t="s">
        <v>4317</v>
      </c>
      <c r="D721" s="12" t="s">
        <v>175</v>
      </c>
      <c r="E721" s="12" t="n">
        <v>2</v>
      </c>
      <c r="F721" s="12" t="s">
        <v>2688</v>
      </c>
      <c r="G721" s="12" t="s">
        <v>2310</v>
      </c>
      <c r="H721" s="17"/>
      <c r="I721" s="17"/>
      <c r="J721" s="13" t="n">
        <v>10497</v>
      </c>
      <c r="K721" s="12" t="n">
        <v>7.4</v>
      </c>
      <c r="L721" s="12" t="s">
        <v>674</v>
      </c>
      <c r="M721" s="12" t="s">
        <v>4318</v>
      </c>
    </row>
    <row r="722" customFormat="false" ht="15" hidden="false" customHeight="false" outlineLevel="0" collapsed="false">
      <c r="A722" s="12" t="s">
        <v>2306</v>
      </c>
      <c r="B722" s="12" t="s">
        <v>4319</v>
      </c>
      <c r="C722" s="12" t="s">
        <v>4319</v>
      </c>
      <c r="D722" s="12" t="s">
        <v>265</v>
      </c>
      <c r="E722" s="12" t="n">
        <v>2</v>
      </c>
      <c r="F722" s="12" t="s">
        <v>2309</v>
      </c>
      <c r="G722" s="12" t="s">
        <v>2310</v>
      </c>
      <c r="H722" s="17"/>
      <c r="I722" s="17"/>
      <c r="J722" s="13" t="n">
        <v>9791</v>
      </c>
      <c r="K722" s="12" t="n">
        <v>5.8</v>
      </c>
      <c r="L722" s="12" t="s">
        <v>128</v>
      </c>
      <c r="M722" s="12" t="s">
        <v>4320</v>
      </c>
    </row>
    <row r="723" customFormat="false" ht="15" hidden="false" customHeight="false" outlineLevel="0" collapsed="false">
      <c r="A723" s="12" t="s">
        <v>2306</v>
      </c>
      <c r="B723" s="12" t="s">
        <v>4321</v>
      </c>
      <c r="C723" s="12" t="s">
        <v>4322</v>
      </c>
      <c r="D723" s="12" t="s">
        <v>286</v>
      </c>
      <c r="E723" s="12" t="n">
        <v>2</v>
      </c>
      <c r="F723" s="12" t="s">
        <v>2387</v>
      </c>
      <c r="G723" s="12" t="s">
        <v>2310</v>
      </c>
      <c r="H723" s="13" t="n">
        <v>1758579</v>
      </c>
      <c r="I723" s="17"/>
      <c r="J723" s="13" t="n">
        <v>424</v>
      </c>
      <c r="K723" s="12" t="n">
        <v>2.7</v>
      </c>
      <c r="L723" s="12" t="s">
        <v>92</v>
      </c>
      <c r="M723" s="12" t="s">
        <v>4323</v>
      </c>
    </row>
    <row r="724" customFormat="false" ht="15" hidden="false" customHeight="false" outlineLevel="0" collapsed="false">
      <c r="A724" s="12" t="s">
        <v>2306</v>
      </c>
      <c r="B724" s="12" t="s">
        <v>4324</v>
      </c>
      <c r="C724" s="12" t="s">
        <v>4325</v>
      </c>
      <c r="D724" s="12" t="s">
        <v>111</v>
      </c>
      <c r="E724" s="12" t="n">
        <v>2</v>
      </c>
      <c r="F724" s="12" t="s">
        <v>2314</v>
      </c>
      <c r="G724" s="12" t="s">
        <v>2310</v>
      </c>
      <c r="H724" s="17"/>
      <c r="I724" s="17"/>
      <c r="J724" s="13" t="n">
        <v>9534</v>
      </c>
      <c r="K724" s="12" t="n">
        <v>7.8</v>
      </c>
      <c r="L724" s="12" t="s">
        <v>169</v>
      </c>
      <c r="M724" s="12" t="s">
        <v>4326</v>
      </c>
    </row>
    <row r="725" customFormat="false" ht="15" hidden="false" customHeight="false" outlineLevel="0" collapsed="false">
      <c r="A725" s="12" t="s">
        <v>2306</v>
      </c>
      <c r="B725" s="12" t="s">
        <v>4327</v>
      </c>
      <c r="C725" s="12" t="s">
        <v>4327</v>
      </c>
      <c r="D725" s="12" t="s">
        <v>265</v>
      </c>
      <c r="E725" s="12" t="n">
        <v>2</v>
      </c>
      <c r="F725" s="12" t="s">
        <v>2309</v>
      </c>
      <c r="G725" s="12" t="s">
        <v>2310</v>
      </c>
      <c r="H725" s="17"/>
      <c r="I725" s="17"/>
      <c r="J725" s="13" t="n">
        <v>9238</v>
      </c>
      <c r="K725" s="12" t="n">
        <v>7.8</v>
      </c>
      <c r="L725" s="12" t="s">
        <v>128</v>
      </c>
      <c r="M725" s="12" t="s">
        <v>4328</v>
      </c>
    </row>
    <row r="726" customFormat="false" ht="15" hidden="false" customHeight="false" outlineLevel="0" collapsed="false">
      <c r="A726" s="12" t="s">
        <v>2306</v>
      </c>
      <c r="B726" s="12" t="s">
        <v>4329</v>
      </c>
      <c r="C726" s="12" t="s">
        <v>4330</v>
      </c>
      <c r="D726" s="12" t="s">
        <v>118</v>
      </c>
      <c r="E726" s="12" t="n">
        <v>2</v>
      </c>
      <c r="F726" s="12" t="s">
        <v>2688</v>
      </c>
      <c r="G726" s="12" t="s">
        <v>2310</v>
      </c>
      <c r="H726" s="17"/>
      <c r="I726" s="17"/>
      <c r="J726" s="13" t="n">
        <v>9056</v>
      </c>
      <c r="K726" s="12" t="n">
        <v>5.3</v>
      </c>
      <c r="L726" s="12" t="s">
        <v>674</v>
      </c>
      <c r="M726" s="12" t="s">
        <v>4331</v>
      </c>
    </row>
    <row r="727" customFormat="false" ht="15" hidden="false" customHeight="false" outlineLevel="0" collapsed="false">
      <c r="A727" s="12" t="s">
        <v>2306</v>
      </c>
      <c r="B727" s="12" t="s">
        <v>4332</v>
      </c>
      <c r="C727" s="12" t="s">
        <v>4333</v>
      </c>
      <c r="D727" s="12" t="s">
        <v>202</v>
      </c>
      <c r="E727" s="12" t="n">
        <v>2</v>
      </c>
      <c r="F727" s="12" t="s">
        <v>2387</v>
      </c>
      <c r="G727" s="12" t="s">
        <v>2310</v>
      </c>
      <c r="H727" s="13" t="n">
        <v>1320102</v>
      </c>
      <c r="I727" s="17"/>
      <c r="J727" s="13" t="n">
        <v>1127</v>
      </c>
      <c r="K727" s="12" t="n">
        <v>4.7</v>
      </c>
      <c r="L727" s="12" t="s">
        <v>92</v>
      </c>
      <c r="M727" s="12" t="s">
        <v>4334</v>
      </c>
    </row>
    <row r="728" customFormat="false" ht="15" hidden="false" customHeight="false" outlineLevel="0" collapsed="false">
      <c r="A728" s="12" t="s">
        <v>2306</v>
      </c>
      <c r="C728" s="12" t="s">
        <v>4335</v>
      </c>
      <c r="D728" s="12" t="s">
        <v>118</v>
      </c>
      <c r="E728" s="12" t="n">
        <v>2</v>
      </c>
      <c r="F728" s="12" t="s">
        <v>2314</v>
      </c>
      <c r="G728" s="12" t="s">
        <v>2310</v>
      </c>
      <c r="H728" s="17"/>
      <c r="I728" s="17"/>
      <c r="J728" s="13" t="n">
        <v>8752</v>
      </c>
      <c r="K728" s="12" t="n">
        <v>7.6</v>
      </c>
      <c r="L728" s="12" t="s">
        <v>169</v>
      </c>
      <c r="M728" s="12" t="s">
        <v>4336</v>
      </c>
    </row>
    <row r="729" customFormat="false" ht="15" hidden="false" customHeight="false" outlineLevel="0" collapsed="false">
      <c r="A729" s="12" t="s">
        <v>2306</v>
      </c>
      <c r="B729" s="12" t="s">
        <v>4337</v>
      </c>
      <c r="C729" s="12" t="s">
        <v>4338</v>
      </c>
      <c r="D729" s="12" t="s">
        <v>286</v>
      </c>
      <c r="E729" s="12" t="n">
        <v>2</v>
      </c>
      <c r="F729" s="12" t="s">
        <v>2387</v>
      </c>
      <c r="G729" s="12" t="s">
        <v>2310</v>
      </c>
      <c r="H729" s="13" t="n">
        <v>664651</v>
      </c>
      <c r="I729" s="17"/>
      <c r="J729" s="13" t="n">
        <v>12984</v>
      </c>
      <c r="K729" s="12" t="n">
        <v>7.6</v>
      </c>
      <c r="L729" s="12" t="s">
        <v>92</v>
      </c>
      <c r="M729" s="12" t="s">
        <v>4339</v>
      </c>
    </row>
    <row r="730" customFormat="false" ht="15" hidden="false" customHeight="false" outlineLevel="0" collapsed="false">
      <c r="A730" s="12" t="s">
        <v>2306</v>
      </c>
      <c r="B730" s="12" t="s">
        <v>4340</v>
      </c>
      <c r="C730" s="12" t="s">
        <v>4341</v>
      </c>
      <c r="D730" s="12" t="s">
        <v>1103</v>
      </c>
      <c r="E730" s="12" t="n">
        <v>2</v>
      </c>
      <c r="F730" s="12" t="s">
        <v>2387</v>
      </c>
      <c r="G730" s="12" t="s">
        <v>2310</v>
      </c>
      <c r="H730" s="13" t="n">
        <v>340017</v>
      </c>
      <c r="I730" s="17"/>
      <c r="J730" s="13" t="n">
        <v>53091</v>
      </c>
      <c r="K730" s="12" t="n">
        <v>5.4</v>
      </c>
      <c r="L730" s="12" t="s">
        <v>92</v>
      </c>
      <c r="M730" s="12" t="s">
        <v>4342</v>
      </c>
    </row>
    <row r="731" customFormat="false" ht="15" hidden="false" customHeight="false" outlineLevel="0" collapsed="false">
      <c r="A731" s="12" t="s">
        <v>2306</v>
      </c>
      <c r="B731" s="12" t="s">
        <v>4343</v>
      </c>
      <c r="C731" s="12" t="s">
        <v>4343</v>
      </c>
      <c r="D731" s="12" t="s">
        <v>251</v>
      </c>
      <c r="E731" s="12" t="n">
        <v>2</v>
      </c>
      <c r="F731" s="12" t="s">
        <v>2314</v>
      </c>
      <c r="G731" s="12" t="s">
        <v>2310</v>
      </c>
      <c r="H731" s="17"/>
      <c r="I731" s="17"/>
      <c r="J731" s="13" t="n">
        <v>8744</v>
      </c>
      <c r="K731" s="12" t="n">
        <v>7.8</v>
      </c>
      <c r="L731" s="12" t="s">
        <v>169</v>
      </c>
      <c r="M731" s="12" t="s">
        <v>4344</v>
      </c>
    </row>
    <row r="732" customFormat="false" ht="15" hidden="false" customHeight="false" outlineLevel="0" collapsed="false">
      <c r="A732" s="12" t="s">
        <v>2306</v>
      </c>
      <c r="B732" s="12" t="s">
        <v>4345</v>
      </c>
      <c r="C732" s="12" t="s">
        <v>4346</v>
      </c>
      <c r="D732" s="12" t="s">
        <v>118</v>
      </c>
      <c r="E732" s="12" t="n">
        <v>2</v>
      </c>
      <c r="F732" s="12" t="s">
        <v>2688</v>
      </c>
      <c r="G732" s="12" t="s">
        <v>2310</v>
      </c>
      <c r="H732" s="17"/>
      <c r="I732" s="17"/>
      <c r="J732" s="13" t="n">
        <v>8226</v>
      </c>
      <c r="K732" s="12" t="n">
        <v>4.5</v>
      </c>
      <c r="L732" s="12" t="s">
        <v>674</v>
      </c>
      <c r="M732" s="12" t="s">
        <v>4347</v>
      </c>
    </row>
    <row r="733" customFormat="false" ht="15" hidden="false" customHeight="false" outlineLevel="0" collapsed="false">
      <c r="A733" s="12" t="s">
        <v>2306</v>
      </c>
      <c r="B733" s="12" t="s">
        <v>4348</v>
      </c>
      <c r="C733" s="12" t="s">
        <v>4349</v>
      </c>
      <c r="D733" s="12" t="s">
        <v>183</v>
      </c>
      <c r="E733" s="12" t="n">
        <v>2</v>
      </c>
      <c r="F733" s="12" t="s">
        <v>2387</v>
      </c>
      <c r="G733" s="12" t="s">
        <v>2310</v>
      </c>
      <c r="H733" s="13" t="n">
        <v>1638272</v>
      </c>
      <c r="I733" s="17"/>
      <c r="J733" s="13" t="n">
        <v>435</v>
      </c>
      <c r="K733" s="12" t="n">
        <v>5.4</v>
      </c>
      <c r="L733" s="12" t="s">
        <v>92</v>
      </c>
      <c r="M733" s="12" t="s">
        <v>4350</v>
      </c>
    </row>
    <row r="734" customFormat="false" ht="15" hidden="false" customHeight="false" outlineLevel="0" collapsed="false">
      <c r="A734" s="12" t="s">
        <v>2306</v>
      </c>
      <c r="B734" s="12" t="s">
        <v>4351</v>
      </c>
      <c r="C734" s="12" t="s">
        <v>4352</v>
      </c>
      <c r="D734" s="12" t="s">
        <v>118</v>
      </c>
      <c r="E734" s="12" t="n">
        <v>2</v>
      </c>
      <c r="F734" s="12" t="s">
        <v>2688</v>
      </c>
      <c r="G734" s="12" t="s">
        <v>2310</v>
      </c>
      <c r="H734" s="17"/>
      <c r="I734" s="17"/>
      <c r="J734" s="13" t="n">
        <v>7523</v>
      </c>
      <c r="K734" s="12" t="n">
        <v>4.6</v>
      </c>
      <c r="L734" s="12" t="s">
        <v>674</v>
      </c>
      <c r="M734" s="12" t="s">
        <v>4353</v>
      </c>
    </row>
    <row r="735" customFormat="false" ht="15" hidden="false" customHeight="false" outlineLevel="0" collapsed="false">
      <c r="A735" s="12" t="s">
        <v>2306</v>
      </c>
      <c r="B735" s="12" t="s">
        <v>4354</v>
      </c>
      <c r="C735" s="12" t="s">
        <v>4355</v>
      </c>
      <c r="D735" s="12" t="s">
        <v>358</v>
      </c>
      <c r="E735" s="12" t="n">
        <v>2</v>
      </c>
      <c r="F735" s="12" t="s">
        <v>2387</v>
      </c>
      <c r="G735" s="12" t="s">
        <v>2310</v>
      </c>
      <c r="H735" s="13" t="n">
        <v>848733</v>
      </c>
      <c r="I735" s="17"/>
      <c r="J735" s="13" t="n">
        <v>3338</v>
      </c>
      <c r="K735" s="12" t="n">
        <v>4.5</v>
      </c>
      <c r="L735" s="12" t="s">
        <v>92</v>
      </c>
      <c r="M735" s="12" t="s">
        <v>4356</v>
      </c>
    </row>
    <row r="736" customFormat="false" ht="15" hidden="false" customHeight="false" outlineLevel="0" collapsed="false">
      <c r="A736" s="12" t="s">
        <v>2306</v>
      </c>
      <c r="B736" s="12" t="s">
        <v>4357</v>
      </c>
      <c r="C736" s="12" t="s">
        <v>4358</v>
      </c>
      <c r="D736" s="12" t="s">
        <v>265</v>
      </c>
      <c r="E736" s="12" t="n">
        <v>2</v>
      </c>
      <c r="F736" s="12" t="s">
        <v>2309</v>
      </c>
      <c r="G736" s="12" t="s">
        <v>2310</v>
      </c>
      <c r="H736" s="17"/>
      <c r="I736" s="17"/>
      <c r="J736" s="13" t="n">
        <v>7115</v>
      </c>
      <c r="K736" s="12" t="n">
        <v>6</v>
      </c>
      <c r="L736" s="12" t="s">
        <v>128</v>
      </c>
      <c r="M736" s="12" t="s">
        <v>4359</v>
      </c>
    </row>
    <row r="737" customFormat="false" ht="15" hidden="false" customHeight="false" outlineLevel="0" collapsed="false">
      <c r="A737" s="12" t="s">
        <v>2306</v>
      </c>
      <c r="B737" s="12" t="s">
        <v>4360</v>
      </c>
      <c r="D737" s="12" t="s">
        <v>146</v>
      </c>
      <c r="E737" s="12" t="n">
        <v>1</v>
      </c>
      <c r="F737" s="12" t="s">
        <v>2404</v>
      </c>
      <c r="G737" s="12" t="s">
        <v>2405</v>
      </c>
      <c r="H737" s="13" t="n">
        <v>545482</v>
      </c>
      <c r="I737" s="17"/>
      <c r="J737" s="17"/>
      <c r="L737" s="12" t="s">
        <v>92</v>
      </c>
    </row>
    <row r="738" customFormat="false" ht="15" hidden="false" customHeight="false" outlineLevel="0" collapsed="false">
      <c r="A738" s="12" t="s">
        <v>2306</v>
      </c>
      <c r="B738" s="12" t="s">
        <v>4361</v>
      </c>
      <c r="C738" s="12" t="s">
        <v>4362</v>
      </c>
      <c r="D738" s="12" t="s">
        <v>505</v>
      </c>
      <c r="E738" s="12" t="n">
        <v>2</v>
      </c>
      <c r="F738" s="12" t="s">
        <v>2314</v>
      </c>
      <c r="G738" s="12" t="s">
        <v>2310</v>
      </c>
      <c r="H738" s="17"/>
      <c r="I738" s="17"/>
      <c r="J738" s="13" t="n">
        <v>6370</v>
      </c>
      <c r="K738" s="12" t="n">
        <v>7.8</v>
      </c>
      <c r="L738" s="12" t="s">
        <v>169</v>
      </c>
      <c r="M738" s="12" t="s">
        <v>4363</v>
      </c>
    </row>
    <row r="739" customFormat="false" ht="15" hidden="false" customHeight="false" outlineLevel="0" collapsed="false">
      <c r="A739" s="12" t="s">
        <v>2306</v>
      </c>
      <c r="B739" s="12" t="s">
        <v>4364</v>
      </c>
      <c r="C739" s="12" t="s">
        <v>4365</v>
      </c>
      <c r="D739" s="12" t="s">
        <v>265</v>
      </c>
      <c r="E739" s="12" t="n">
        <v>2</v>
      </c>
      <c r="F739" s="12" t="s">
        <v>2309</v>
      </c>
      <c r="G739" s="12" t="s">
        <v>2310</v>
      </c>
      <c r="H739" s="17"/>
      <c r="I739" s="17"/>
      <c r="J739" s="13" t="n">
        <v>6349</v>
      </c>
      <c r="K739" s="12" t="n">
        <v>5.5</v>
      </c>
      <c r="L739" s="12" t="s">
        <v>128</v>
      </c>
      <c r="M739" s="12" t="s">
        <v>4366</v>
      </c>
    </row>
    <row r="740" customFormat="false" ht="15" hidden="false" customHeight="false" outlineLevel="0" collapsed="false">
      <c r="A740" s="12" t="s">
        <v>2306</v>
      </c>
      <c r="B740" s="12" t="s">
        <v>4367</v>
      </c>
      <c r="D740" s="12" t="s">
        <v>321</v>
      </c>
      <c r="E740" s="12" t="n">
        <v>1</v>
      </c>
      <c r="F740" s="12" t="s">
        <v>2404</v>
      </c>
      <c r="G740" s="12" t="s">
        <v>2405</v>
      </c>
      <c r="H740" s="13" t="n">
        <v>525035</v>
      </c>
      <c r="I740" s="17"/>
      <c r="J740" s="17"/>
      <c r="L740" s="12" t="s">
        <v>92</v>
      </c>
    </row>
    <row r="741" customFormat="false" ht="15" hidden="false" customHeight="false" outlineLevel="0" collapsed="false">
      <c r="A741" s="12" t="s">
        <v>2306</v>
      </c>
      <c r="B741" s="12" t="s">
        <v>4368</v>
      </c>
      <c r="C741" s="12" t="s">
        <v>4369</v>
      </c>
      <c r="D741" s="12" t="s">
        <v>183</v>
      </c>
      <c r="E741" s="12" t="n">
        <v>2</v>
      </c>
      <c r="F741" s="12" t="s">
        <v>2387</v>
      </c>
      <c r="G741" s="12" t="s">
        <v>2310</v>
      </c>
      <c r="H741" s="13" t="n">
        <v>493022</v>
      </c>
      <c r="I741" s="17"/>
      <c r="J741" s="13" t="n">
        <v>19744</v>
      </c>
      <c r="K741" s="12" t="n">
        <v>7.8</v>
      </c>
      <c r="L741" s="12" t="s">
        <v>92</v>
      </c>
      <c r="M741" s="12" t="s">
        <v>4370</v>
      </c>
    </row>
    <row r="742" customFormat="false" ht="15" hidden="false" customHeight="false" outlineLevel="0" collapsed="false">
      <c r="A742" s="12" t="s">
        <v>2306</v>
      </c>
      <c r="B742" s="12" t="s">
        <v>4371</v>
      </c>
      <c r="C742" s="12" t="s">
        <v>4372</v>
      </c>
      <c r="D742" s="12" t="s">
        <v>505</v>
      </c>
      <c r="E742" s="12" t="n">
        <v>2</v>
      </c>
      <c r="F742" s="12" t="s">
        <v>2314</v>
      </c>
      <c r="G742" s="12" t="s">
        <v>2310</v>
      </c>
      <c r="H742" s="17"/>
      <c r="I742" s="17"/>
      <c r="J742" s="13" t="n">
        <v>6275</v>
      </c>
      <c r="K742" s="12" t="n">
        <v>7.6</v>
      </c>
      <c r="L742" s="12" t="s">
        <v>169</v>
      </c>
      <c r="M742" s="12" t="s">
        <v>4373</v>
      </c>
    </row>
    <row r="743" customFormat="false" ht="15" hidden="false" customHeight="false" outlineLevel="0" collapsed="false">
      <c r="A743" s="12" t="s">
        <v>2306</v>
      </c>
      <c r="B743" s="12" t="s">
        <v>4374</v>
      </c>
      <c r="C743" s="12" t="s">
        <v>4375</v>
      </c>
      <c r="D743" s="12" t="s">
        <v>118</v>
      </c>
      <c r="E743" s="12" t="n">
        <v>2</v>
      </c>
      <c r="F743" s="12" t="s">
        <v>2688</v>
      </c>
      <c r="G743" s="12" t="s">
        <v>2310</v>
      </c>
      <c r="H743" s="17"/>
      <c r="I743" s="17"/>
      <c r="J743" s="13" t="n">
        <v>6133</v>
      </c>
      <c r="K743" s="12" t="n">
        <v>5.7</v>
      </c>
      <c r="L743" s="12" t="s">
        <v>674</v>
      </c>
      <c r="M743" s="12" t="s">
        <v>4376</v>
      </c>
    </row>
    <row r="744" customFormat="false" ht="15" hidden="false" customHeight="false" outlineLevel="0" collapsed="false">
      <c r="A744" s="12" t="s">
        <v>2306</v>
      </c>
      <c r="B744" s="12" t="s">
        <v>4377</v>
      </c>
      <c r="D744" s="12" t="s">
        <v>214</v>
      </c>
      <c r="E744" s="12" t="n">
        <v>2</v>
      </c>
      <c r="F744" s="12" t="s">
        <v>2387</v>
      </c>
      <c r="G744" s="12" t="s">
        <v>2310</v>
      </c>
      <c r="H744" s="13" t="n">
        <v>1194750</v>
      </c>
      <c r="I744" s="17"/>
      <c r="J744" s="13" t="n">
        <v>1060</v>
      </c>
      <c r="K744" s="12" t="n">
        <v>5.7</v>
      </c>
      <c r="L744" s="12" t="s">
        <v>92</v>
      </c>
      <c r="M744" s="12" t="s">
        <v>4378</v>
      </c>
    </row>
    <row r="745" customFormat="false" ht="15" hidden="false" customHeight="false" outlineLevel="0" collapsed="false">
      <c r="A745" s="12" t="s">
        <v>2306</v>
      </c>
      <c r="B745" s="12" t="s">
        <v>4379</v>
      </c>
      <c r="D745" s="12" t="s">
        <v>158</v>
      </c>
      <c r="E745" s="12" t="n">
        <v>2</v>
      </c>
      <c r="F745" s="12" t="s">
        <v>2387</v>
      </c>
      <c r="G745" s="12" t="s">
        <v>2310</v>
      </c>
      <c r="H745" s="13" t="n">
        <v>777699</v>
      </c>
      <c r="I745" s="17"/>
      <c r="J745" s="13" t="n">
        <v>3259</v>
      </c>
      <c r="K745" s="12" t="n">
        <v>7.2</v>
      </c>
      <c r="L745" s="12" t="s">
        <v>92</v>
      </c>
      <c r="M745" s="12" t="s">
        <v>4380</v>
      </c>
    </row>
    <row r="746" customFormat="false" ht="15" hidden="false" customHeight="false" outlineLevel="0" collapsed="false">
      <c r="A746" s="12" t="s">
        <v>2306</v>
      </c>
      <c r="C746" s="12" t="s">
        <v>4381</v>
      </c>
      <c r="D746" s="12" t="s">
        <v>90</v>
      </c>
      <c r="E746" s="12" t="n">
        <v>2</v>
      </c>
      <c r="F746" s="12" t="s">
        <v>2314</v>
      </c>
      <c r="G746" s="12" t="s">
        <v>2310</v>
      </c>
      <c r="H746" s="17"/>
      <c r="I746" s="17"/>
      <c r="J746" s="13" t="n">
        <v>5949</v>
      </c>
      <c r="K746" s="12" t="n">
        <v>7.4</v>
      </c>
      <c r="L746" s="12" t="s">
        <v>169</v>
      </c>
      <c r="M746" s="12" t="s">
        <v>4382</v>
      </c>
    </row>
    <row r="747" customFormat="false" ht="15" hidden="false" customHeight="false" outlineLevel="0" collapsed="false">
      <c r="A747" s="12" t="s">
        <v>2306</v>
      </c>
      <c r="B747" s="12" t="s">
        <v>4383</v>
      </c>
      <c r="C747" s="12" t="s">
        <v>4384</v>
      </c>
      <c r="D747" s="12" t="s">
        <v>152</v>
      </c>
      <c r="E747" s="12" t="n">
        <v>2</v>
      </c>
      <c r="F747" s="12" t="s">
        <v>2387</v>
      </c>
      <c r="G747" s="12" t="s">
        <v>2310</v>
      </c>
      <c r="H747" s="13" t="n">
        <v>1271415</v>
      </c>
      <c r="I747" s="17"/>
      <c r="J747" s="13" t="n">
        <v>786</v>
      </c>
      <c r="K747" s="12" t="n">
        <v>6.5</v>
      </c>
      <c r="L747" s="12" t="s">
        <v>92</v>
      </c>
      <c r="M747" s="12" t="s">
        <v>4385</v>
      </c>
    </row>
    <row r="748" customFormat="false" ht="15" hidden="false" customHeight="false" outlineLevel="0" collapsed="false">
      <c r="A748" s="12" t="s">
        <v>2306</v>
      </c>
      <c r="C748" s="12" t="s">
        <v>4386</v>
      </c>
      <c r="D748" s="12" t="s">
        <v>265</v>
      </c>
      <c r="E748" s="12" t="n">
        <v>2</v>
      </c>
      <c r="F748" s="12" t="s">
        <v>2563</v>
      </c>
      <c r="G748" s="12" t="s">
        <v>2310</v>
      </c>
      <c r="H748" s="17"/>
      <c r="I748" s="13" t="n">
        <v>656459523</v>
      </c>
      <c r="J748" s="13" t="n">
        <v>1098</v>
      </c>
      <c r="K748" s="12" t="n">
        <v>6.5</v>
      </c>
      <c r="L748" s="12" t="s">
        <v>92</v>
      </c>
      <c r="M748" s="12" t="s">
        <v>4387</v>
      </c>
    </row>
    <row r="749" customFormat="false" ht="15" hidden="false" customHeight="false" outlineLevel="0" collapsed="false">
      <c r="A749" s="12" t="s">
        <v>2306</v>
      </c>
      <c r="B749" s="12" t="s">
        <v>4388</v>
      </c>
      <c r="C749" s="12" t="s">
        <v>4388</v>
      </c>
      <c r="D749" s="12" t="s">
        <v>118</v>
      </c>
      <c r="E749" s="12" t="n">
        <v>2</v>
      </c>
      <c r="F749" s="12" t="s">
        <v>2688</v>
      </c>
      <c r="G749" s="12" t="s">
        <v>2310</v>
      </c>
      <c r="H749" s="17"/>
      <c r="I749" s="17"/>
      <c r="J749" s="13" t="n">
        <v>5684</v>
      </c>
      <c r="K749" s="12" t="n">
        <v>5.4</v>
      </c>
      <c r="L749" s="12" t="s">
        <v>674</v>
      </c>
      <c r="M749" s="12" t="s">
        <v>4389</v>
      </c>
    </row>
    <row r="750" customFormat="false" ht="15" hidden="false" customHeight="false" outlineLevel="0" collapsed="false">
      <c r="A750" s="12" t="s">
        <v>2306</v>
      </c>
      <c r="B750" s="12" t="s">
        <v>4390</v>
      </c>
      <c r="C750" s="12" t="s">
        <v>4391</v>
      </c>
      <c r="D750" s="12" t="s">
        <v>202</v>
      </c>
      <c r="E750" s="12" t="n">
        <v>2</v>
      </c>
      <c r="F750" s="12" t="s">
        <v>2387</v>
      </c>
      <c r="G750" s="12" t="s">
        <v>2310</v>
      </c>
      <c r="H750" s="13" t="n">
        <v>1134563</v>
      </c>
      <c r="I750" s="17"/>
      <c r="J750" s="13" t="n">
        <v>1270</v>
      </c>
      <c r="K750" s="12" t="n">
        <v>5.9</v>
      </c>
      <c r="L750" s="12" t="s">
        <v>92</v>
      </c>
      <c r="M750" s="12" t="s">
        <v>4392</v>
      </c>
    </row>
    <row r="751" customFormat="false" ht="15" hidden="false" customHeight="false" outlineLevel="0" collapsed="false">
      <c r="A751" s="12" t="s">
        <v>2306</v>
      </c>
      <c r="B751" s="12" t="s">
        <v>4393</v>
      </c>
      <c r="C751" s="12" t="s">
        <v>4394</v>
      </c>
      <c r="D751" s="12" t="s">
        <v>505</v>
      </c>
      <c r="E751" s="12" t="n">
        <v>2</v>
      </c>
      <c r="F751" s="12" t="s">
        <v>2387</v>
      </c>
      <c r="G751" s="12" t="s">
        <v>2310</v>
      </c>
      <c r="H751" s="13" t="n">
        <v>1000446</v>
      </c>
      <c r="I751" s="17"/>
      <c r="J751" s="13" t="n">
        <v>1611</v>
      </c>
      <c r="K751" s="12" t="n">
        <v>7.3</v>
      </c>
      <c r="L751" s="12" t="s">
        <v>92</v>
      </c>
      <c r="M751" s="12" t="s">
        <v>4395</v>
      </c>
    </row>
    <row r="752" customFormat="false" ht="15" hidden="false" customHeight="false" outlineLevel="0" collapsed="false">
      <c r="A752" s="12" t="s">
        <v>2306</v>
      </c>
      <c r="B752" s="12" t="s">
        <v>4396</v>
      </c>
      <c r="C752" s="12" t="s">
        <v>4397</v>
      </c>
      <c r="D752" s="12" t="s">
        <v>265</v>
      </c>
      <c r="E752" s="12" t="n">
        <v>2</v>
      </c>
      <c r="F752" s="12" t="s">
        <v>2309</v>
      </c>
      <c r="G752" s="12" t="s">
        <v>2310</v>
      </c>
      <c r="H752" s="17"/>
      <c r="I752" s="17"/>
      <c r="J752" s="13" t="n">
        <v>5673</v>
      </c>
      <c r="K752" s="12" t="n">
        <v>5.4</v>
      </c>
      <c r="L752" s="12" t="s">
        <v>128</v>
      </c>
      <c r="M752" s="12" t="s">
        <v>4398</v>
      </c>
    </row>
    <row r="753" customFormat="false" ht="15" hidden="false" customHeight="false" outlineLevel="0" collapsed="false">
      <c r="A753" s="12" t="s">
        <v>2306</v>
      </c>
      <c r="B753" s="12" t="s">
        <v>4399</v>
      </c>
      <c r="C753" s="12" t="s">
        <v>4400</v>
      </c>
      <c r="D753" s="12" t="s">
        <v>505</v>
      </c>
      <c r="E753" s="12" t="n">
        <v>2</v>
      </c>
      <c r="F753" s="12" t="s">
        <v>2309</v>
      </c>
      <c r="G753" s="12" t="s">
        <v>2310</v>
      </c>
      <c r="H753" s="17"/>
      <c r="I753" s="17"/>
      <c r="J753" s="13" t="n">
        <v>5104</v>
      </c>
      <c r="K753" s="12" t="n">
        <v>7.5</v>
      </c>
      <c r="L753" s="12" t="s">
        <v>128</v>
      </c>
      <c r="M753" s="12" t="s">
        <v>4401</v>
      </c>
    </row>
    <row r="754" customFormat="false" ht="15" hidden="false" customHeight="false" outlineLevel="0" collapsed="false">
      <c r="A754" s="12" t="s">
        <v>2306</v>
      </c>
      <c r="C754" s="12" t="s">
        <v>4402</v>
      </c>
      <c r="D754" s="12" t="s">
        <v>101</v>
      </c>
      <c r="E754" s="12" t="n">
        <v>2</v>
      </c>
      <c r="F754" s="12" t="s">
        <v>2314</v>
      </c>
      <c r="G754" s="12" t="s">
        <v>2310</v>
      </c>
      <c r="H754" s="17"/>
      <c r="I754" s="17"/>
      <c r="J754" s="13" t="n">
        <v>4972</v>
      </c>
      <c r="K754" s="12" t="n">
        <v>7</v>
      </c>
      <c r="L754" s="12" t="s">
        <v>169</v>
      </c>
      <c r="M754" s="12" t="s">
        <v>4403</v>
      </c>
    </row>
    <row r="755" customFormat="false" ht="15" hidden="false" customHeight="false" outlineLevel="0" collapsed="false">
      <c r="A755" s="12" t="s">
        <v>2306</v>
      </c>
      <c r="B755" s="12" t="s">
        <v>4404</v>
      </c>
      <c r="C755" s="12" t="s">
        <v>4405</v>
      </c>
      <c r="D755" s="12" t="s">
        <v>140</v>
      </c>
      <c r="E755" s="12" t="n">
        <v>2</v>
      </c>
      <c r="F755" s="12" t="s">
        <v>2387</v>
      </c>
      <c r="G755" s="12" t="s">
        <v>2310</v>
      </c>
      <c r="H755" s="13" t="n">
        <v>288838</v>
      </c>
      <c r="I755" s="17"/>
      <c r="J755" s="13" t="n">
        <v>45002</v>
      </c>
      <c r="K755" s="12" t="n">
        <v>6</v>
      </c>
      <c r="L755" s="12" t="s">
        <v>92</v>
      </c>
      <c r="M755" s="12" t="s">
        <v>4406</v>
      </c>
    </row>
    <row r="756" customFormat="false" ht="15" hidden="false" customHeight="false" outlineLevel="0" collapsed="false">
      <c r="A756" s="12" t="s">
        <v>2306</v>
      </c>
      <c r="B756" s="12" t="s">
        <v>4407</v>
      </c>
      <c r="D756" s="12" t="s">
        <v>158</v>
      </c>
      <c r="E756" s="12" t="n">
        <v>2</v>
      </c>
      <c r="F756" s="12" t="s">
        <v>2387</v>
      </c>
      <c r="G756" s="12" t="s">
        <v>2310</v>
      </c>
      <c r="H756" s="13" t="n">
        <v>1429862</v>
      </c>
      <c r="I756" s="17"/>
      <c r="J756" s="13" t="n">
        <v>453</v>
      </c>
      <c r="K756" s="12" t="n">
        <v>4.9</v>
      </c>
      <c r="L756" s="12" t="s">
        <v>92</v>
      </c>
      <c r="M756" s="12" t="s">
        <v>4408</v>
      </c>
    </row>
    <row r="757" customFormat="false" ht="15" hidden="false" customHeight="false" outlineLevel="0" collapsed="false">
      <c r="A757" s="12" t="s">
        <v>2306</v>
      </c>
      <c r="B757" s="12" t="s">
        <v>4409</v>
      </c>
      <c r="C757" s="12" t="s">
        <v>4410</v>
      </c>
      <c r="D757" s="12" t="s">
        <v>158</v>
      </c>
      <c r="E757" s="12" t="n">
        <v>2</v>
      </c>
      <c r="F757" s="12" t="s">
        <v>2387</v>
      </c>
      <c r="G757" s="12" t="s">
        <v>2310</v>
      </c>
      <c r="H757" s="13" t="n">
        <v>955841</v>
      </c>
      <c r="I757" s="17"/>
      <c r="J757" s="13" t="n">
        <v>1494</v>
      </c>
      <c r="K757" s="12" t="n">
        <v>6.1</v>
      </c>
      <c r="L757" s="12" t="s">
        <v>92</v>
      </c>
      <c r="M757" s="12" t="s">
        <v>4411</v>
      </c>
    </row>
    <row r="758" customFormat="false" ht="15" hidden="false" customHeight="false" outlineLevel="0" collapsed="false">
      <c r="A758" s="12" t="s">
        <v>2306</v>
      </c>
      <c r="B758" s="12" t="s">
        <v>4412</v>
      </c>
      <c r="C758" s="12" t="s">
        <v>4413</v>
      </c>
      <c r="D758" s="12" t="s">
        <v>189</v>
      </c>
      <c r="E758" s="12" t="n">
        <v>2</v>
      </c>
      <c r="F758" s="12" t="s">
        <v>2387</v>
      </c>
      <c r="G758" s="12" t="s">
        <v>2310</v>
      </c>
      <c r="H758" s="13" t="n">
        <v>1121570</v>
      </c>
      <c r="I758" s="17"/>
      <c r="J758" s="13" t="n">
        <v>989</v>
      </c>
      <c r="K758" s="12" t="n">
        <v>5.5</v>
      </c>
      <c r="L758" s="12" t="s">
        <v>92</v>
      </c>
      <c r="M758" s="12" t="s">
        <v>4414</v>
      </c>
    </row>
    <row r="759" customFormat="false" ht="15" hidden="false" customHeight="false" outlineLevel="0" collapsed="false">
      <c r="A759" s="12" t="s">
        <v>2306</v>
      </c>
      <c r="B759" s="12" t="s">
        <v>4415</v>
      </c>
      <c r="C759" s="12" t="s">
        <v>4416</v>
      </c>
      <c r="D759" s="12" t="s">
        <v>175</v>
      </c>
      <c r="E759" s="12" t="n">
        <v>2</v>
      </c>
      <c r="F759" s="12" t="s">
        <v>2387</v>
      </c>
      <c r="G759" s="12" t="s">
        <v>2310</v>
      </c>
      <c r="H759" s="13" t="n">
        <v>862701</v>
      </c>
      <c r="I759" s="17"/>
      <c r="J759" s="13" t="n">
        <v>1583</v>
      </c>
      <c r="K759" s="12" t="n">
        <v>4.7</v>
      </c>
      <c r="L759" s="12" t="s">
        <v>92</v>
      </c>
      <c r="M759" s="12" t="s">
        <v>4417</v>
      </c>
    </row>
    <row r="760" customFormat="false" ht="15" hidden="false" customHeight="false" outlineLevel="0" collapsed="false">
      <c r="A760" s="12" t="s">
        <v>2306</v>
      </c>
      <c r="B760" s="12" t="s">
        <v>4418</v>
      </c>
      <c r="C760" s="12" t="s">
        <v>4419</v>
      </c>
      <c r="D760" s="12" t="s">
        <v>127</v>
      </c>
      <c r="E760" s="12" t="n">
        <v>2</v>
      </c>
      <c r="F760" s="12" t="s">
        <v>2387</v>
      </c>
      <c r="G760" s="12" t="s">
        <v>2310</v>
      </c>
      <c r="H760" s="13" t="n">
        <v>969278</v>
      </c>
      <c r="I760" s="17"/>
      <c r="J760" s="13" t="n">
        <v>1247</v>
      </c>
      <c r="K760" s="12" t="n">
        <v>6.2</v>
      </c>
      <c r="L760" s="12" t="s">
        <v>92</v>
      </c>
      <c r="M760" s="12" t="s">
        <v>4420</v>
      </c>
    </row>
    <row r="761" customFormat="false" ht="15" hidden="false" customHeight="false" outlineLevel="0" collapsed="false">
      <c r="A761" s="12" t="s">
        <v>2306</v>
      </c>
      <c r="B761" s="12" t="s">
        <v>4421</v>
      </c>
      <c r="C761" s="12" t="s">
        <v>4422</v>
      </c>
      <c r="D761" s="12" t="s">
        <v>321</v>
      </c>
      <c r="E761" s="12" t="n">
        <v>2</v>
      </c>
      <c r="F761" s="12" t="s">
        <v>2387</v>
      </c>
      <c r="G761" s="12" t="s">
        <v>2310</v>
      </c>
      <c r="H761" s="13" t="n">
        <v>526094</v>
      </c>
      <c r="I761" s="17"/>
      <c r="J761" s="13" t="n">
        <v>5979</v>
      </c>
      <c r="K761" s="12" t="n">
        <v>7.1</v>
      </c>
      <c r="L761" s="12" t="s">
        <v>92</v>
      </c>
      <c r="M761" s="12" t="s">
        <v>4423</v>
      </c>
    </row>
    <row r="762" customFormat="false" ht="15" hidden="false" customHeight="false" outlineLevel="0" collapsed="false">
      <c r="A762" s="12" t="s">
        <v>2306</v>
      </c>
      <c r="B762" s="12" t="s">
        <v>4424</v>
      </c>
      <c r="C762" s="12" t="s">
        <v>4425</v>
      </c>
      <c r="D762" s="12" t="s">
        <v>214</v>
      </c>
      <c r="E762" s="12" t="n">
        <v>2</v>
      </c>
      <c r="F762" s="12" t="s">
        <v>2387</v>
      </c>
      <c r="G762" s="12" t="s">
        <v>2310</v>
      </c>
      <c r="H762" s="13" t="n">
        <v>593855</v>
      </c>
      <c r="I762" s="17"/>
      <c r="J762" s="13" t="n">
        <v>3584</v>
      </c>
      <c r="K762" s="12" t="n">
        <v>6.6</v>
      </c>
      <c r="L762" s="12" t="s">
        <v>92</v>
      </c>
      <c r="M762" s="12" t="s">
        <v>4426</v>
      </c>
    </row>
    <row r="763" customFormat="false" ht="15" hidden="false" customHeight="false" outlineLevel="0" collapsed="false">
      <c r="A763" s="12" t="s">
        <v>2306</v>
      </c>
      <c r="B763" s="12" t="s">
        <v>4427</v>
      </c>
      <c r="C763" s="12" t="s">
        <v>4428</v>
      </c>
      <c r="D763" s="12" t="s">
        <v>101</v>
      </c>
      <c r="E763" s="12" t="n">
        <v>2</v>
      </c>
      <c r="F763" s="12" t="s">
        <v>2387</v>
      </c>
      <c r="G763" s="12" t="s">
        <v>2310</v>
      </c>
      <c r="H763" s="13" t="n">
        <v>814543</v>
      </c>
      <c r="I763" s="17"/>
      <c r="J763" s="13" t="n">
        <v>1614</v>
      </c>
      <c r="K763" s="12" t="n">
        <v>7.6</v>
      </c>
      <c r="L763" s="12" t="s">
        <v>92</v>
      </c>
      <c r="M763" s="12" t="s">
        <v>4429</v>
      </c>
    </row>
    <row r="764" customFormat="false" ht="15" hidden="false" customHeight="false" outlineLevel="0" collapsed="false">
      <c r="A764" s="12" t="s">
        <v>2306</v>
      </c>
      <c r="B764" s="12" t="s">
        <v>4430</v>
      </c>
      <c r="C764" s="12" t="s">
        <v>4431</v>
      </c>
      <c r="D764" s="12" t="s">
        <v>265</v>
      </c>
      <c r="E764" s="12" t="n">
        <v>2</v>
      </c>
      <c r="F764" s="12" t="s">
        <v>2309</v>
      </c>
      <c r="G764" s="12" t="s">
        <v>2310</v>
      </c>
      <c r="H764" s="17"/>
      <c r="I764" s="17"/>
      <c r="J764" s="13" t="n">
        <v>3533</v>
      </c>
      <c r="K764" s="12" t="n">
        <v>6.8</v>
      </c>
      <c r="L764" s="12" t="s">
        <v>128</v>
      </c>
      <c r="M764" s="12" t="s">
        <v>4432</v>
      </c>
    </row>
    <row r="765" customFormat="false" ht="15" hidden="false" customHeight="false" outlineLevel="0" collapsed="false">
      <c r="A765" s="12" t="s">
        <v>2306</v>
      </c>
      <c r="B765" s="12" t="s">
        <v>4433</v>
      </c>
      <c r="D765" s="12" t="s">
        <v>90</v>
      </c>
      <c r="E765" s="12" t="n">
        <v>2</v>
      </c>
      <c r="F765" s="12" t="s">
        <v>2387</v>
      </c>
      <c r="G765" s="12" t="s">
        <v>2310</v>
      </c>
      <c r="H765" s="13" t="n">
        <v>749256</v>
      </c>
      <c r="I765" s="17"/>
      <c r="J765" s="13" t="n">
        <v>2000</v>
      </c>
      <c r="K765" s="12" t="n">
        <v>6.1</v>
      </c>
      <c r="L765" s="12" t="s">
        <v>92</v>
      </c>
      <c r="M765" s="12" t="s">
        <v>4434</v>
      </c>
    </row>
    <row r="766" customFormat="false" ht="15" hidden="false" customHeight="false" outlineLevel="0" collapsed="false">
      <c r="A766" s="12" t="s">
        <v>2306</v>
      </c>
      <c r="B766" s="12" t="s">
        <v>4435</v>
      </c>
      <c r="C766" s="12" t="s">
        <v>4436</v>
      </c>
      <c r="D766" s="12" t="s">
        <v>189</v>
      </c>
      <c r="E766" s="12" t="n">
        <v>2</v>
      </c>
      <c r="F766" s="12" t="s">
        <v>2387</v>
      </c>
      <c r="G766" s="12" t="s">
        <v>2310</v>
      </c>
      <c r="H766" s="13" t="n">
        <v>673269</v>
      </c>
      <c r="I766" s="17"/>
      <c r="J766" s="13" t="n">
        <v>2349</v>
      </c>
      <c r="K766" s="12" t="n">
        <v>6.1</v>
      </c>
      <c r="L766" s="12" t="s">
        <v>92</v>
      </c>
      <c r="M766" s="12" t="s">
        <v>4437</v>
      </c>
    </row>
    <row r="767" customFormat="false" ht="15" hidden="false" customHeight="false" outlineLevel="0" collapsed="false">
      <c r="A767" s="12" t="s">
        <v>2306</v>
      </c>
      <c r="B767" s="12" t="s">
        <v>4438</v>
      </c>
      <c r="D767" s="12" t="s">
        <v>152</v>
      </c>
      <c r="E767" s="12" t="n">
        <v>2</v>
      </c>
      <c r="F767" s="12" t="s">
        <v>2387</v>
      </c>
      <c r="G767" s="12" t="s">
        <v>2310</v>
      </c>
      <c r="H767" s="13" t="n">
        <v>591120</v>
      </c>
      <c r="I767" s="17"/>
      <c r="J767" s="13" t="n">
        <v>3219</v>
      </c>
      <c r="K767" s="12" t="n">
        <v>6.6</v>
      </c>
      <c r="L767" s="12" t="s">
        <v>92</v>
      </c>
      <c r="M767" s="12" t="s">
        <v>4439</v>
      </c>
    </row>
    <row r="768" customFormat="false" ht="15" hidden="false" customHeight="false" outlineLevel="0" collapsed="false">
      <c r="A768" s="12" t="s">
        <v>2306</v>
      </c>
      <c r="B768" s="12" t="s">
        <v>4440</v>
      </c>
      <c r="C768" s="12" t="s">
        <v>4441</v>
      </c>
      <c r="D768" s="12" t="s">
        <v>134</v>
      </c>
      <c r="E768" s="12" t="n">
        <v>2</v>
      </c>
      <c r="F768" s="12" t="s">
        <v>2387</v>
      </c>
      <c r="G768" s="12" t="s">
        <v>2310</v>
      </c>
      <c r="H768" s="13" t="n">
        <v>1307135</v>
      </c>
      <c r="I768" s="17"/>
      <c r="J768" s="13" t="n">
        <v>526</v>
      </c>
      <c r="K768" s="12" t="n">
        <v>3</v>
      </c>
      <c r="L768" s="12" t="s">
        <v>92</v>
      </c>
      <c r="M768" s="12" t="s">
        <v>4442</v>
      </c>
    </row>
    <row r="769" customFormat="false" ht="15" hidden="false" customHeight="false" outlineLevel="0" collapsed="false">
      <c r="A769" s="12" t="s">
        <v>2306</v>
      </c>
      <c r="B769" s="12" t="s">
        <v>4443</v>
      </c>
      <c r="C769" s="12" t="s">
        <v>4444</v>
      </c>
      <c r="D769" s="12" t="s">
        <v>152</v>
      </c>
      <c r="E769" s="12" t="n">
        <v>2</v>
      </c>
      <c r="F769" s="12" t="s">
        <v>2387</v>
      </c>
      <c r="G769" s="12" t="s">
        <v>2310</v>
      </c>
      <c r="H769" s="13" t="n">
        <v>1342806</v>
      </c>
      <c r="I769" s="17"/>
      <c r="J769" s="13" t="n">
        <v>376</v>
      </c>
      <c r="K769" s="12" t="n">
        <v>2.8</v>
      </c>
      <c r="L769" s="12" t="s">
        <v>92</v>
      </c>
      <c r="M769" s="12" t="s">
        <v>4445</v>
      </c>
    </row>
    <row r="770" customFormat="false" ht="15" hidden="false" customHeight="false" outlineLevel="0" collapsed="false">
      <c r="A770" s="12" t="s">
        <v>2306</v>
      </c>
      <c r="B770" s="12" t="s">
        <v>4446</v>
      </c>
      <c r="D770" s="12" t="s">
        <v>118</v>
      </c>
      <c r="E770" s="12" t="n">
        <v>1</v>
      </c>
      <c r="F770" s="12" t="s">
        <v>2404</v>
      </c>
      <c r="G770" s="12" t="s">
        <v>2405</v>
      </c>
      <c r="H770" s="13" t="n">
        <v>425481</v>
      </c>
      <c r="I770" s="17"/>
      <c r="J770" s="17"/>
      <c r="L770" s="12" t="s">
        <v>92</v>
      </c>
    </row>
    <row r="771" customFormat="false" ht="15" hidden="false" customHeight="false" outlineLevel="0" collapsed="false">
      <c r="A771" s="12" t="s">
        <v>2306</v>
      </c>
      <c r="C771" s="12" t="s">
        <v>4447</v>
      </c>
      <c r="D771" s="12" t="s">
        <v>118</v>
      </c>
      <c r="E771" s="12" t="n">
        <v>2</v>
      </c>
      <c r="F771" s="12" t="s">
        <v>2314</v>
      </c>
      <c r="G771" s="12" t="s">
        <v>2310</v>
      </c>
      <c r="H771" s="17"/>
      <c r="I771" s="17"/>
      <c r="J771" s="13" t="n">
        <v>2940</v>
      </c>
      <c r="K771" s="12" t="n">
        <v>7.9</v>
      </c>
      <c r="L771" s="12" t="s">
        <v>169</v>
      </c>
      <c r="M771" s="12" t="s">
        <v>4448</v>
      </c>
    </row>
    <row r="772" customFormat="false" ht="15" hidden="false" customHeight="false" outlineLevel="0" collapsed="false">
      <c r="A772" s="12" t="s">
        <v>2306</v>
      </c>
      <c r="B772" s="12" t="s">
        <v>4449</v>
      </c>
      <c r="D772" s="12" t="s">
        <v>500</v>
      </c>
      <c r="E772" s="12" t="n">
        <v>2</v>
      </c>
      <c r="F772" s="12" t="s">
        <v>2387</v>
      </c>
      <c r="G772" s="12" t="s">
        <v>2310</v>
      </c>
      <c r="H772" s="13" t="n">
        <v>774318</v>
      </c>
      <c r="I772" s="17"/>
      <c r="J772" s="13" t="n">
        <v>1158</v>
      </c>
      <c r="K772" s="12" t="n">
        <v>6.9</v>
      </c>
      <c r="L772" s="12" t="s">
        <v>92</v>
      </c>
      <c r="M772" s="12" t="s">
        <v>4450</v>
      </c>
    </row>
    <row r="773" customFormat="false" ht="15" hidden="false" customHeight="false" outlineLevel="0" collapsed="false">
      <c r="A773" s="12" t="s">
        <v>2306</v>
      </c>
      <c r="B773" s="12" t="s">
        <v>4451</v>
      </c>
      <c r="D773" s="12" t="s">
        <v>118</v>
      </c>
      <c r="E773" s="12" t="n">
        <v>1</v>
      </c>
      <c r="F773" s="12" t="s">
        <v>2404</v>
      </c>
      <c r="G773" s="12" t="s">
        <v>2405</v>
      </c>
      <c r="H773" s="13" t="n">
        <v>409401</v>
      </c>
      <c r="I773" s="17"/>
      <c r="J773" s="17"/>
      <c r="L773" s="12" t="s">
        <v>92</v>
      </c>
    </row>
    <row r="774" customFormat="false" ht="15" hidden="false" customHeight="false" outlineLevel="0" collapsed="false">
      <c r="A774" s="12" t="s">
        <v>2306</v>
      </c>
      <c r="B774" s="12" t="s">
        <v>4452</v>
      </c>
      <c r="D774" s="12" t="s">
        <v>189</v>
      </c>
      <c r="E774" s="12" t="n">
        <v>2</v>
      </c>
      <c r="F774" s="12" t="s">
        <v>2387</v>
      </c>
      <c r="G774" s="12" t="s">
        <v>2310</v>
      </c>
      <c r="H774" s="13" t="n">
        <v>559896</v>
      </c>
      <c r="I774" s="17"/>
      <c r="J774" s="13" t="n">
        <v>2306</v>
      </c>
      <c r="K774" s="12" t="n">
        <v>6.7</v>
      </c>
      <c r="L774" s="12" t="s">
        <v>92</v>
      </c>
      <c r="M774" s="12" t="s">
        <v>4453</v>
      </c>
    </row>
    <row r="775" customFormat="false" ht="15" hidden="false" customHeight="false" outlineLevel="0" collapsed="false">
      <c r="A775" s="12" t="s">
        <v>2306</v>
      </c>
      <c r="B775" s="12" t="s">
        <v>4454</v>
      </c>
      <c r="C775" s="12" t="s">
        <v>4455</v>
      </c>
      <c r="D775" s="12" t="s">
        <v>158</v>
      </c>
      <c r="E775" s="12" t="n">
        <v>2</v>
      </c>
      <c r="F775" s="12" t="s">
        <v>2387</v>
      </c>
      <c r="G775" s="12" t="s">
        <v>2310</v>
      </c>
      <c r="H775" s="13" t="n">
        <v>258824</v>
      </c>
      <c r="I775" s="17"/>
      <c r="J775" s="13" t="n">
        <v>23859</v>
      </c>
      <c r="K775" s="12" t="n">
        <v>7.1</v>
      </c>
      <c r="L775" s="12" t="s">
        <v>92</v>
      </c>
      <c r="M775" s="12" t="s">
        <v>4456</v>
      </c>
    </row>
    <row r="776" customFormat="false" ht="15" hidden="false" customHeight="false" outlineLevel="0" collapsed="false">
      <c r="A776" s="12" t="s">
        <v>2306</v>
      </c>
      <c r="B776" s="12" t="s">
        <v>4457</v>
      </c>
      <c r="C776" s="12" t="s">
        <v>4458</v>
      </c>
      <c r="D776" s="12" t="s">
        <v>189</v>
      </c>
      <c r="E776" s="12" t="n">
        <v>2</v>
      </c>
      <c r="F776" s="12" t="s">
        <v>2387</v>
      </c>
      <c r="G776" s="12" t="s">
        <v>2310</v>
      </c>
      <c r="H776" s="13" t="n">
        <v>565916</v>
      </c>
      <c r="I776" s="17"/>
      <c r="J776" s="13" t="n">
        <v>2216</v>
      </c>
      <c r="K776" s="12" t="n">
        <v>7.1</v>
      </c>
      <c r="L776" s="12" t="s">
        <v>92</v>
      </c>
      <c r="M776" s="12" t="s">
        <v>4459</v>
      </c>
    </row>
    <row r="777" customFormat="false" ht="15" hidden="false" customHeight="false" outlineLevel="0" collapsed="false">
      <c r="A777" s="12" t="s">
        <v>2306</v>
      </c>
      <c r="B777" s="12" t="s">
        <v>4460</v>
      </c>
      <c r="C777" s="12" t="s">
        <v>4461</v>
      </c>
      <c r="D777" s="12" t="s">
        <v>158</v>
      </c>
      <c r="E777" s="12" t="n">
        <v>2</v>
      </c>
      <c r="F777" s="12" t="s">
        <v>2387</v>
      </c>
      <c r="G777" s="12" t="s">
        <v>2310</v>
      </c>
      <c r="H777" s="13" t="n">
        <v>204748</v>
      </c>
      <c r="I777" s="17"/>
      <c r="J777" s="13" t="n">
        <v>29992</v>
      </c>
      <c r="K777" s="12" t="n">
        <v>7.9</v>
      </c>
      <c r="L777" s="12" t="s">
        <v>92</v>
      </c>
      <c r="M777" s="12" t="s">
        <v>4462</v>
      </c>
    </row>
    <row r="778" customFormat="false" ht="15" hidden="false" customHeight="false" outlineLevel="0" collapsed="false">
      <c r="A778" s="12" t="s">
        <v>2306</v>
      </c>
      <c r="B778" s="12" t="s">
        <v>4463</v>
      </c>
      <c r="C778" s="12" t="s">
        <v>4464</v>
      </c>
      <c r="D778" s="12" t="s">
        <v>358</v>
      </c>
      <c r="E778" s="12" t="n">
        <v>2</v>
      </c>
      <c r="F778" s="12" t="s">
        <v>2387</v>
      </c>
      <c r="G778" s="12" t="s">
        <v>2310</v>
      </c>
      <c r="H778" s="13" t="n">
        <v>955393</v>
      </c>
      <c r="I778" s="17"/>
      <c r="J778" s="13" t="n">
        <v>657</v>
      </c>
      <c r="K778" s="12" t="n">
        <v>6.4</v>
      </c>
      <c r="L778" s="12" t="s">
        <v>92</v>
      </c>
      <c r="M778" s="12" t="s">
        <v>4465</v>
      </c>
    </row>
    <row r="779" customFormat="false" ht="15" hidden="false" customHeight="false" outlineLevel="0" collapsed="false">
      <c r="A779" s="12" t="s">
        <v>2306</v>
      </c>
      <c r="B779" s="12" t="s">
        <v>4466</v>
      </c>
      <c r="D779" s="12" t="s">
        <v>118</v>
      </c>
      <c r="E779" s="12" t="n">
        <v>1</v>
      </c>
      <c r="F779" s="12" t="s">
        <v>2404</v>
      </c>
      <c r="G779" s="12" t="s">
        <v>2405</v>
      </c>
      <c r="H779" s="13" t="n">
        <v>390003</v>
      </c>
      <c r="I779" s="17"/>
      <c r="J779" s="17"/>
      <c r="L779" s="12" t="s">
        <v>92</v>
      </c>
    </row>
    <row r="780" customFormat="false" ht="15" hidden="false" customHeight="false" outlineLevel="0" collapsed="false">
      <c r="A780" s="12" t="s">
        <v>2306</v>
      </c>
      <c r="B780" s="12" t="s">
        <v>4467</v>
      </c>
      <c r="D780" s="12" t="s">
        <v>90</v>
      </c>
      <c r="E780" s="12" t="n">
        <v>2</v>
      </c>
      <c r="F780" s="12" t="s">
        <v>2387</v>
      </c>
      <c r="G780" s="12" t="s">
        <v>2310</v>
      </c>
      <c r="H780" s="13" t="n">
        <v>1312143</v>
      </c>
      <c r="I780" s="17"/>
      <c r="J780" s="13" t="n">
        <v>309</v>
      </c>
      <c r="K780" s="12" t="n">
        <v>3.4</v>
      </c>
      <c r="L780" s="12" t="s">
        <v>92</v>
      </c>
      <c r="M780" s="12" t="s">
        <v>4468</v>
      </c>
    </row>
    <row r="781" customFormat="false" ht="15" hidden="false" customHeight="false" outlineLevel="0" collapsed="false">
      <c r="A781" s="12" t="s">
        <v>2306</v>
      </c>
      <c r="B781" s="12" t="s">
        <v>4469</v>
      </c>
      <c r="C781" s="12" t="s">
        <v>4470</v>
      </c>
      <c r="D781" s="12" t="s">
        <v>146</v>
      </c>
      <c r="E781" s="12" t="n">
        <v>2</v>
      </c>
      <c r="F781" s="12" t="s">
        <v>2387</v>
      </c>
      <c r="G781" s="12" t="s">
        <v>2310</v>
      </c>
      <c r="H781" s="13" t="n">
        <v>282085</v>
      </c>
      <c r="I781" s="17"/>
      <c r="J781" s="13" t="n">
        <v>17069</v>
      </c>
      <c r="K781" s="12" t="n">
        <v>7.2</v>
      </c>
      <c r="L781" s="12" t="s">
        <v>92</v>
      </c>
      <c r="M781" s="12" t="s">
        <v>4471</v>
      </c>
    </row>
    <row r="782" customFormat="false" ht="15" hidden="false" customHeight="false" outlineLevel="0" collapsed="false">
      <c r="A782" s="12" t="s">
        <v>2306</v>
      </c>
      <c r="C782" s="12" t="s">
        <v>4472</v>
      </c>
      <c r="D782" s="12" t="s">
        <v>118</v>
      </c>
      <c r="E782" s="12" t="n">
        <v>2</v>
      </c>
      <c r="F782" s="12" t="s">
        <v>2314</v>
      </c>
      <c r="G782" s="12" t="s">
        <v>2310</v>
      </c>
      <c r="H782" s="17"/>
      <c r="I782" s="17"/>
      <c r="J782" s="13" t="n">
        <v>2525</v>
      </c>
      <c r="K782" s="12" t="n">
        <v>7.6</v>
      </c>
      <c r="L782" s="12" t="s">
        <v>169</v>
      </c>
      <c r="M782" s="12" t="s">
        <v>4473</v>
      </c>
    </row>
    <row r="783" customFormat="false" ht="15" hidden="false" customHeight="false" outlineLevel="0" collapsed="false">
      <c r="A783" s="12" t="s">
        <v>2306</v>
      </c>
      <c r="B783" s="12" t="s">
        <v>4474</v>
      </c>
      <c r="C783" s="12" t="s">
        <v>4475</v>
      </c>
      <c r="D783" s="12" t="s">
        <v>158</v>
      </c>
      <c r="E783" s="12" t="n">
        <v>2</v>
      </c>
      <c r="F783" s="12" t="s">
        <v>2387</v>
      </c>
      <c r="G783" s="12" t="s">
        <v>2310</v>
      </c>
      <c r="H783" s="13" t="n">
        <v>816971</v>
      </c>
      <c r="I783" s="17"/>
      <c r="J783" s="13" t="n">
        <v>761</v>
      </c>
      <c r="K783" s="12" t="n">
        <v>6.5</v>
      </c>
      <c r="L783" s="12" t="s">
        <v>92</v>
      </c>
      <c r="M783" s="12" t="s">
        <v>4476</v>
      </c>
    </row>
    <row r="784" customFormat="false" ht="15" hidden="false" customHeight="false" outlineLevel="0" collapsed="false">
      <c r="A784" s="12" t="s">
        <v>2306</v>
      </c>
      <c r="B784" s="12" t="s">
        <v>4477</v>
      </c>
      <c r="C784" s="12" t="s">
        <v>4478</v>
      </c>
      <c r="D784" s="12" t="s">
        <v>140</v>
      </c>
      <c r="E784" s="12" t="n">
        <v>2</v>
      </c>
      <c r="F784" s="12" t="s">
        <v>2387</v>
      </c>
      <c r="G784" s="12" t="s">
        <v>2310</v>
      </c>
      <c r="H784" s="13" t="n">
        <v>402852</v>
      </c>
      <c r="I784" s="17"/>
      <c r="J784" s="13" t="n">
        <v>3822</v>
      </c>
      <c r="K784" s="12" t="n">
        <v>6.3</v>
      </c>
      <c r="L784" s="12" t="s">
        <v>92</v>
      </c>
      <c r="M784" s="12" t="s">
        <v>4479</v>
      </c>
    </row>
    <row r="785" customFormat="false" ht="15" hidden="false" customHeight="false" outlineLevel="0" collapsed="false">
      <c r="A785" s="12" t="s">
        <v>2306</v>
      </c>
      <c r="B785" s="12" t="s">
        <v>4480</v>
      </c>
      <c r="C785" s="12" t="s">
        <v>4481</v>
      </c>
      <c r="D785" s="12" t="s">
        <v>202</v>
      </c>
      <c r="E785" s="12" t="n">
        <v>2</v>
      </c>
      <c r="F785" s="12" t="s">
        <v>2387</v>
      </c>
      <c r="G785" s="12" t="s">
        <v>2310</v>
      </c>
      <c r="H785" s="13" t="n">
        <v>711515</v>
      </c>
      <c r="I785" s="17"/>
      <c r="J785" s="13" t="n">
        <v>1004</v>
      </c>
      <c r="K785" s="12" t="n">
        <v>6.7</v>
      </c>
      <c r="L785" s="12" t="s">
        <v>92</v>
      </c>
      <c r="M785" s="12" t="s">
        <v>4482</v>
      </c>
    </row>
    <row r="786" customFormat="false" ht="15" hidden="false" customHeight="false" outlineLevel="0" collapsed="false">
      <c r="A786" s="12" t="s">
        <v>2306</v>
      </c>
      <c r="B786" s="12" t="s">
        <v>4483</v>
      </c>
      <c r="C786" s="12" t="s">
        <v>4484</v>
      </c>
      <c r="D786" s="12" t="s">
        <v>152</v>
      </c>
      <c r="E786" s="12" t="n">
        <v>2</v>
      </c>
      <c r="F786" s="12" t="s">
        <v>2387</v>
      </c>
      <c r="G786" s="12" t="s">
        <v>2310</v>
      </c>
      <c r="H786" s="13" t="n">
        <v>982175</v>
      </c>
      <c r="I786" s="17"/>
      <c r="J786" s="13" t="n">
        <v>594</v>
      </c>
      <c r="K786" s="12" t="n">
        <v>2.7</v>
      </c>
      <c r="L786" s="12" t="s">
        <v>92</v>
      </c>
      <c r="M786" s="12" t="s">
        <v>4485</v>
      </c>
    </row>
    <row r="787" customFormat="false" ht="15" hidden="false" customHeight="false" outlineLevel="0" collapsed="false">
      <c r="A787" s="12" t="s">
        <v>2306</v>
      </c>
      <c r="B787" s="12" t="s">
        <v>4486</v>
      </c>
      <c r="C787" s="12" t="s">
        <v>4487</v>
      </c>
      <c r="D787" s="12" t="s">
        <v>207</v>
      </c>
      <c r="E787" s="12" t="n">
        <v>2</v>
      </c>
      <c r="F787" s="12" t="s">
        <v>2387</v>
      </c>
      <c r="G787" s="12" t="s">
        <v>2310</v>
      </c>
      <c r="H787" s="13" t="n">
        <v>506412</v>
      </c>
      <c r="I787" s="17"/>
      <c r="J787" s="13" t="n">
        <v>2260</v>
      </c>
      <c r="K787" s="12" t="n">
        <v>5.4</v>
      </c>
      <c r="L787" s="12" t="s">
        <v>92</v>
      </c>
      <c r="M787" s="12" t="s">
        <v>4488</v>
      </c>
    </row>
    <row r="788" customFormat="false" ht="15" hidden="false" customHeight="false" outlineLevel="0" collapsed="false">
      <c r="A788" s="12" t="s">
        <v>2306</v>
      </c>
      <c r="B788" s="12" t="s">
        <v>4489</v>
      </c>
      <c r="C788" s="12" t="s">
        <v>4490</v>
      </c>
      <c r="D788" s="12" t="s">
        <v>321</v>
      </c>
      <c r="E788" s="12" t="n">
        <v>2</v>
      </c>
      <c r="F788" s="12" t="s">
        <v>2387</v>
      </c>
      <c r="G788" s="12" t="s">
        <v>2310</v>
      </c>
      <c r="H788" s="13" t="n">
        <v>570470</v>
      </c>
      <c r="I788" s="17"/>
      <c r="J788" s="13" t="n">
        <v>1572</v>
      </c>
      <c r="K788" s="12" t="n">
        <v>7</v>
      </c>
      <c r="L788" s="12" t="s">
        <v>92</v>
      </c>
      <c r="M788" s="12" t="s">
        <v>4491</v>
      </c>
    </row>
    <row r="789" customFormat="false" ht="15" hidden="false" customHeight="false" outlineLevel="0" collapsed="false">
      <c r="A789" s="12" t="s">
        <v>2306</v>
      </c>
      <c r="B789" s="12" t="s">
        <v>4492</v>
      </c>
      <c r="C789" s="12" t="s">
        <v>4493</v>
      </c>
      <c r="D789" s="12" t="s">
        <v>158</v>
      </c>
      <c r="E789" s="12" t="n">
        <v>2</v>
      </c>
      <c r="F789" s="12" t="s">
        <v>2387</v>
      </c>
      <c r="G789" s="12" t="s">
        <v>2310</v>
      </c>
      <c r="H789" s="13" t="n">
        <v>1258720</v>
      </c>
      <c r="I789" s="17"/>
      <c r="J789" s="13" t="n">
        <v>293</v>
      </c>
      <c r="K789" s="12" t="n">
        <v>4.7</v>
      </c>
      <c r="L789" s="12" t="s">
        <v>92</v>
      </c>
      <c r="M789" s="12" t="s">
        <v>4494</v>
      </c>
    </row>
    <row r="790" customFormat="false" ht="15" hidden="false" customHeight="false" outlineLevel="0" collapsed="false">
      <c r="A790" s="12" t="s">
        <v>2306</v>
      </c>
      <c r="B790" s="12" t="s">
        <v>4495</v>
      </c>
      <c r="C790" s="12" t="s">
        <v>4496</v>
      </c>
      <c r="D790" s="12" t="s">
        <v>140</v>
      </c>
      <c r="E790" s="12" t="n">
        <v>2</v>
      </c>
      <c r="F790" s="12" t="s">
        <v>2387</v>
      </c>
      <c r="G790" s="12" t="s">
        <v>2310</v>
      </c>
      <c r="H790" s="13" t="n">
        <v>937980</v>
      </c>
      <c r="I790" s="17"/>
      <c r="J790" s="13" t="n">
        <v>585</v>
      </c>
      <c r="K790" s="12" t="n">
        <v>2.8</v>
      </c>
      <c r="L790" s="12" t="s">
        <v>92</v>
      </c>
      <c r="M790" s="12" t="s">
        <v>4497</v>
      </c>
    </row>
    <row r="791" customFormat="false" ht="15" hidden="false" customHeight="false" outlineLevel="0" collapsed="false">
      <c r="A791" s="12" t="s">
        <v>2306</v>
      </c>
      <c r="B791" s="12" t="s">
        <v>4498</v>
      </c>
      <c r="C791" s="12" t="s">
        <v>4499</v>
      </c>
      <c r="D791" s="12" t="s">
        <v>111</v>
      </c>
      <c r="E791" s="12" t="n">
        <v>2</v>
      </c>
      <c r="F791" s="12" t="s">
        <v>2387</v>
      </c>
      <c r="G791" s="12" t="s">
        <v>2310</v>
      </c>
      <c r="H791" s="13" t="n">
        <v>1327627</v>
      </c>
      <c r="I791" s="17"/>
      <c r="J791" s="13" t="n">
        <v>219</v>
      </c>
      <c r="K791" s="12" t="n">
        <v>5.8</v>
      </c>
      <c r="L791" s="12" t="s">
        <v>92</v>
      </c>
      <c r="M791" s="12" t="s">
        <v>4500</v>
      </c>
    </row>
    <row r="792" customFormat="false" ht="15" hidden="false" customHeight="false" outlineLevel="0" collapsed="false">
      <c r="A792" s="12" t="s">
        <v>2306</v>
      </c>
      <c r="B792" s="12" t="s">
        <v>4501</v>
      </c>
      <c r="C792" s="12" t="s">
        <v>4502</v>
      </c>
      <c r="D792" s="12" t="s">
        <v>140</v>
      </c>
      <c r="E792" s="12" t="n">
        <v>2</v>
      </c>
      <c r="F792" s="12" t="s">
        <v>2387</v>
      </c>
      <c r="G792" s="12" t="s">
        <v>2310</v>
      </c>
      <c r="H792" s="13" t="n">
        <v>336460</v>
      </c>
      <c r="I792" s="17"/>
      <c r="J792" s="13" t="n">
        <v>5756</v>
      </c>
      <c r="K792" s="12" t="n">
        <v>7.3</v>
      </c>
      <c r="L792" s="12" t="s">
        <v>92</v>
      </c>
      <c r="M792" s="12" t="s">
        <v>4503</v>
      </c>
    </row>
    <row r="793" customFormat="false" ht="15" hidden="false" customHeight="false" outlineLevel="0" collapsed="false">
      <c r="A793" s="12" t="s">
        <v>2306</v>
      </c>
      <c r="B793" s="12" t="s">
        <v>4504</v>
      </c>
      <c r="C793" s="12" t="s">
        <v>4505</v>
      </c>
      <c r="D793" s="12" t="s">
        <v>183</v>
      </c>
      <c r="E793" s="12" t="n">
        <v>2</v>
      </c>
      <c r="F793" s="12" t="s">
        <v>2387</v>
      </c>
      <c r="G793" s="12" t="s">
        <v>2310</v>
      </c>
      <c r="H793" s="13" t="n">
        <v>438782</v>
      </c>
      <c r="I793" s="17"/>
      <c r="J793" s="13" t="n">
        <v>2375</v>
      </c>
      <c r="K793" s="12" t="n">
        <v>6.7</v>
      </c>
      <c r="L793" s="12" t="s">
        <v>92</v>
      </c>
      <c r="M793" s="12" t="s">
        <v>4506</v>
      </c>
    </row>
    <row r="794" customFormat="false" ht="15" hidden="false" customHeight="false" outlineLevel="0" collapsed="false">
      <c r="A794" s="12" t="s">
        <v>2306</v>
      </c>
      <c r="B794" s="12" t="s">
        <v>4507</v>
      </c>
      <c r="C794" s="12" t="s">
        <v>4508</v>
      </c>
      <c r="D794" s="12" t="s">
        <v>134</v>
      </c>
      <c r="E794" s="12" t="n">
        <v>2</v>
      </c>
      <c r="F794" s="12" t="s">
        <v>2387</v>
      </c>
      <c r="G794" s="12" t="s">
        <v>2310</v>
      </c>
      <c r="H794" s="13" t="n">
        <v>481381</v>
      </c>
      <c r="I794" s="17"/>
      <c r="J794" s="13" t="n">
        <v>1960</v>
      </c>
      <c r="K794" s="12" t="n">
        <v>6</v>
      </c>
      <c r="L794" s="12" t="s">
        <v>92</v>
      </c>
      <c r="M794" s="12" t="s">
        <v>4509</v>
      </c>
    </row>
    <row r="795" customFormat="false" ht="15" hidden="false" customHeight="false" outlineLevel="0" collapsed="false">
      <c r="A795" s="12" t="s">
        <v>2306</v>
      </c>
      <c r="B795" s="12" t="s">
        <v>4510</v>
      </c>
      <c r="D795" s="12" t="s">
        <v>189</v>
      </c>
      <c r="E795" s="12" t="n">
        <v>2</v>
      </c>
      <c r="F795" s="12" t="s">
        <v>2387</v>
      </c>
      <c r="G795" s="12" t="s">
        <v>2310</v>
      </c>
      <c r="H795" s="13" t="n">
        <v>1079299</v>
      </c>
      <c r="I795" s="17"/>
      <c r="J795" s="13" t="n">
        <v>437</v>
      </c>
      <c r="K795" s="12" t="n">
        <v>4.6</v>
      </c>
      <c r="L795" s="12" t="s">
        <v>92</v>
      </c>
      <c r="M795" s="12" t="s">
        <v>4511</v>
      </c>
    </row>
    <row r="796" customFormat="false" ht="15" hidden="false" customHeight="false" outlineLevel="0" collapsed="false">
      <c r="A796" s="12" t="s">
        <v>2306</v>
      </c>
      <c r="B796" s="12" t="s">
        <v>4512</v>
      </c>
      <c r="D796" s="12" t="s">
        <v>189</v>
      </c>
      <c r="E796" s="12" t="n">
        <v>2</v>
      </c>
      <c r="F796" s="12" t="s">
        <v>2387</v>
      </c>
      <c r="G796" s="12" t="s">
        <v>2310</v>
      </c>
      <c r="H796" s="13" t="n">
        <v>610741</v>
      </c>
      <c r="I796" s="17"/>
      <c r="J796" s="13" t="n">
        <v>863</v>
      </c>
      <c r="K796" s="12" t="n">
        <v>6.5</v>
      </c>
      <c r="L796" s="12" t="s">
        <v>92</v>
      </c>
      <c r="M796" s="12" t="s">
        <v>4513</v>
      </c>
    </row>
    <row r="797" customFormat="false" ht="15" hidden="false" customHeight="false" outlineLevel="0" collapsed="false">
      <c r="A797" s="12" t="s">
        <v>2306</v>
      </c>
      <c r="B797" s="12" t="s">
        <v>4514</v>
      </c>
      <c r="C797" s="12" t="s">
        <v>4515</v>
      </c>
      <c r="D797" s="12" t="s">
        <v>146</v>
      </c>
      <c r="E797" s="12" t="n">
        <v>2</v>
      </c>
      <c r="F797" s="12" t="s">
        <v>2387</v>
      </c>
      <c r="G797" s="12" t="s">
        <v>2310</v>
      </c>
      <c r="H797" s="13" t="n">
        <v>383253</v>
      </c>
      <c r="I797" s="17"/>
      <c r="J797" s="13" t="n">
        <v>2872</v>
      </c>
      <c r="K797" s="12" t="n">
        <v>6.4</v>
      </c>
      <c r="L797" s="12" t="s">
        <v>92</v>
      </c>
      <c r="M797" s="12" t="s">
        <v>4516</v>
      </c>
    </row>
    <row r="798" customFormat="false" ht="15" hidden="false" customHeight="false" outlineLevel="0" collapsed="false">
      <c r="A798" s="12" t="s">
        <v>2306</v>
      </c>
      <c r="B798" s="12" t="s">
        <v>4517</v>
      </c>
      <c r="D798" s="12" t="s">
        <v>127</v>
      </c>
      <c r="E798" s="12" t="n">
        <v>2</v>
      </c>
      <c r="F798" s="12" t="s">
        <v>2387</v>
      </c>
      <c r="G798" s="12" t="s">
        <v>2310</v>
      </c>
      <c r="H798" s="13" t="n">
        <v>654983</v>
      </c>
      <c r="I798" s="17"/>
      <c r="J798" s="13" t="n">
        <v>802</v>
      </c>
      <c r="K798" s="12" t="n">
        <v>5.9</v>
      </c>
      <c r="L798" s="12" t="s">
        <v>92</v>
      </c>
      <c r="M798" s="12" t="s">
        <v>4518</v>
      </c>
    </row>
    <row r="799" customFormat="false" ht="15" hidden="false" customHeight="false" outlineLevel="0" collapsed="false">
      <c r="A799" s="12" t="s">
        <v>2306</v>
      </c>
      <c r="B799" s="12" t="s">
        <v>4519</v>
      </c>
      <c r="D799" s="12" t="s">
        <v>202</v>
      </c>
      <c r="E799" s="12" t="n">
        <v>1</v>
      </c>
      <c r="F799" s="12" t="s">
        <v>2404</v>
      </c>
      <c r="G799" s="12" t="s">
        <v>2405</v>
      </c>
      <c r="H799" s="13" t="n">
        <v>353690</v>
      </c>
      <c r="I799" s="17"/>
      <c r="J799" s="17"/>
      <c r="L799" s="12" t="s">
        <v>92</v>
      </c>
    </row>
    <row r="800" customFormat="false" ht="15" hidden="false" customHeight="false" outlineLevel="0" collapsed="false">
      <c r="A800" s="12" t="s">
        <v>2306</v>
      </c>
      <c r="B800" s="12" t="s">
        <v>4520</v>
      </c>
      <c r="C800" s="12" t="s">
        <v>4521</v>
      </c>
      <c r="D800" s="12" t="s">
        <v>396</v>
      </c>
      <c r="E800" s="12" t="n">
        <v>2</v>
      </c>
      <c r="F800" s="12" t="s">
        <v>2387</v>
      </c>
      <c r="G800" s="12" t="s">
        <v>2310</v>
      </c>
      <c r="H800" s="13" t="n">
        <v>853210</v>
      </c>
      <c r="I800" s="17"/>
      <c r="J800" s="13" t="n">
        <v>538</v>
      </c>
      <c r="K800" s="12" t="n">
        <v>5.3</v>
      </c>
      <c r="L800" s="12" t="s">
        <v>92</v>
      </c>
      <c r="M800" s="12" t="s">
        <v>4522</v>
      </c>
    </row>
    <row r="801" customFormat="false" ht="15" hidden="false" customHeight="false" outlineLevel="0" collapsed="false">
      <c r="A801" s="12" t="s">
        <v>2306</v>
      </c>
      <c r="B801" s="12" t="s">
        <v>4523</v>
      </c>
      <c r="D801" s="12" t="s">
        <v>158</v>
      </c>
      <c r="E801" s="12" t="n">
        <v>2</v>
      </c>
      <c r="F801" s="12" t="s">
        <v>2387</v>
      </c>
      <c r="G801" s="12" t="s">
        <v>2310</v>
      </c>
      <c r="H801" s="13" t="n">
        <v>508901</v>
      </c>
      <c r="I801" s="17"/>
      <c r="J801" s="13" t="n">
        <v>1375</v>
      </c>
      <c r="K801" s="12" t="n">
        <v>6.7</v>
      </c>
      <c r="L801" s="12" t="s">
        <v>92</v>
      </c>
      <c r="M801" s="12" t="s">
        <v>4524</v>
      </c>
    </row>
    <row r="802" customFormat="false" ht="15" hidden="false" customHeight="false" outlineLevel="0" collapsed="false">
      <c r="A802" s="12" t="s">
        <v>2306</v>
      </c>
      <c r="B802" s="12" t="s">
        <v>4525</v>
      </c>
      <c r="C802" s="12" t="s">
        <v>4526</v>
      </c>
      <c r="D802" s="12" t="s">
        <v>90</v>
      </c>
      <c r="E802" s="12" t="n">
        <v>2</v>
      </c>
      <c r="F802" s="12" t="s">
        <v>2387</v>
      </c>
      <c r="G802" s="12" t="s">
        <v>2310</v>
      </c>
      <c r="H802" s="13" t="n">
        <v>476714</v>
      </c>
      <c r="I802" s="17"/>
      <c r="J802" s="13" t="n">
        <v>1616</v>
      </c>
      <c r="K802" s="12" t="n">
        <v>4.7</v>
      </c>
      <c r="L802" s="12" t="s">
        <v>92</v>
      </c>
      <c r="M802" s="12" t="s">
        <v>4527</v>
      </c>
    </row>
    <row r="803" customFormat="false" ht="15" hidden="false" customHeight="false" outlineLevel="0" collapsed="false">
      <c r="A803" s="12" t="s">
        <v>2306</v>
      </c>
      <c r="B803" s="12" t="s">
        <v>4528</v>
      </c>
      <c r="C803" s="12" t="s">
        <v>4529</v>
      </c>
      <c r="D803" s="12" t="s">
        <v>202</v>
      </c>
      <c r="E803" s="12" t="n">
        <v>2</v>
      </c>
      <c r="F803" s="12" t="s">
        <v>2387</v>
      </c>
      <c r="G803" s="12" t="s">
        <v>2310</v>
      </c>
      <c r="H803" s="13" t="n">
        <v>405609</v>
      </c>
      <c r="I803" s="17"/>
      <c r="J803" s="13" t="n">
        <v>2286</v>
      </c>
      <c r="K803" s="12" t="n">
        <v>7</v>
      </c>
      <c r="L803" s="12" t="s">
        <v>92</v>
      </c>
      <c r="M803" s="12" t="s">
        <v>4530</v>
      </c>
    </row>
    <row r="804" customFormat="false" ht="15" hidden="false" customHeight="false" outlineLevel="0" collapsed="false">
      <c r="A804" s="12" t="s">
        <v>2306</v>
      </c>
      <c r="B804" s="12" t="s">
        <v>4531</v>
      </c>
      <c r="D804" s="12" t="s">
        <v>175</v>
      </c>
      <c r="E804" s="12" t="n">
        <v>2</v>
      </c>
      <c r="F804" s="12" t="s">
        <v>2387</v>
      </c>
      <c r="G804" s="12" t="s">
        <v>2310</v>
      </c>
      <c r="H804" s="13" t="n">
        <v>505352</v>
      </c>
      <c r="I804" s="17"/>
      <c r="J804" s="13" t="n">
        <v>1301</v>
      </c>
      <c r="K804" s="12" t="n">
        <v>7.2</v>
      </c>
      <c r="L804" s="12" t="s">
        <v>92</v>
      </c>
      <c r="M804" s="12" t="s">
        <v>4532</v>
      </c>
    </row>
    <row r="805" customFormat="false" ht="15" hidden="false" customHeight="false" outlineLevel="0" collapsed="false">
      <c r="A805" s="12" t="s">
        <v>2306</v>
      </c>
      <c r="B805" s="12" t="s">
        <v>4533</v>
      </c>
      <c r="C805" s="12" t="s">
        <v>4534</v>
      </c>
      <c r="D805" s="12" t="s">
        <v>202</v>
      </c>
      <c r="E805" s="12" t="n">
        <v>2</v>
      </c>
      <c r="F805" s="12" t="s">
        <v>2387</v>
      </c>
      <c r="G805" s="12" t="s">
        <v>2310</v>
      </c>
      <c r="H805" s="13" t="n">
        <v>352914</v>
      </c>
      <c r="I805" s="17"/>
      <c r="J805" s="13" t="n">
        <v>3168</v>
      </c>
      <c r="K805" s="12" t="n">
        <v>6.8</v>
      </c>
      <c r="L805" s="12" t="s">
        <v>92</v>
      </c>
      <c r="M805" s="12" t="s">
        <v>4535</v>
      </c>
    </row>
    <row r="806" customFormat="false" ht="15" hidden="false" customHeight="false" outlineLevel="0" collapsed="false">
      <c r="A806" s="12" t="s">
        <v>2306</v>
      </c>
      <c r="C806" s="12" t="s">
        <v>4536</v>
      </c>
      <c r="D806" s="12" t="s">
        <v>101</v>
      </c>
      <c r="E806" s="12" t="n">
        <v>2</v>
      </c>
      <c r="F806" s="12" t="s">
        <v>2314</v>
      </c>
      <c r="G806" s="12" t="s">
        <v>2310</v>
      </c>
      <c r="H806" s="17"/>
      <c r="I806" s="17"/>
      <c r="J806" s="13" t="n">
        <v>1781</v>
      </c>
      <c r="K806" s="12" t="n">
        <v>7.3</v>
      </c>
      <c r="L806" s="12" t="s">
        <v>169</v>
      </c>
      <c r="M806" s="12" t="s">
        <v>4537</v>
      </c>
    </row>
    <row r="807" customFormat="false" ht="15" hidden="false" customHeight="false" outlineLevel="0" collapsed="false">
      <c r="A807" s="12" t="s">
        <v>2306</v>
      </c>
      <c r="B807" s="12" t="s">
        <v>4538</v>
      </c>
      <c r="D807" s="12" t="s">
        <v>202</v>
      </c>
      <c r="E807" s="12" t="n">
        <v>2</v>
      </c>
      <c r="F807" s="12" t="s">
        <v>2387</v>
      </c>
      <c r="G807" s="12" t="s">
        <v>2310</v>
      </c>
      <c r="H807" s="13" t="n">
        <v>485259</v>
      </c>
      <c r="I807" s="17"/>
      <c r="J807" s="13" t="n">
        <v>1305</v>
      </c>
      <c r="K807" s="12" t="n">
        <v>6.9</v>
      </c>
      <c r="L807" s="12" t="s">
        <v>92</v>
      </c>
      <c r="M807" s="12" t="s">
        <v>4539</v>
      </c>
    </row>
    <row r="808" customFormat="false" ht="15" hidden="false" customHeight="false" outlineLevel="0" collapsed="false">
      <c r="A808" s="12" t="s">
        <v>2306</v>
      </c>
      <c r="B808" s="12" t="s">
        <v>4540</v>
      </c>
      <c r="C808" s="12" t="s">
        <v>4541</v>
      </c>
      <c r="D808" s="12" t="s">
        <v>207</v>
      </c>
      <c r="E808" s="12" t="n">
        <v>2</v>
      </c>
      <c r="F808" s="12" t="s">
        <v>2387</v>
      </c>
      <c r="G808" s="12" t="s">
        <v>2310</v>
      </c>
      <c r="H808" s="13" t="n">
        <v>249309</v>
      </c>
      <c r="I808" s="17"/>
      <c r="J808" s="13" t="n">
        <v>7182</v>
      </c>
      <c r="K808" s="12" t="n">
        <v>7.9</v>
      </c>
      <c r="L808" s="12" t="s">
        <v>92</v>
      </c>
      <c r="M808" s="12" t="s">
        <v>4542</v>
      </c>
    </row>
    <row r="809" customFormat="false" ht="15" hidden="false" customHeight="false" outlineLevel="0" collapsed="false">
      <c r="A809" s="12" t="s">
        <v>2306</v>
      </c>
      <c r="B809" s="12" t="s">
        <v>4543</v>
      </c>
      <c r="C809" s="12" t="s">
        <v>4544</v>
      </c>
      <c r="D809" s="12" t="s">
        <v>183</v>
      </c>
      <c r="E809" s="12" t="n">
        <v>2</v>
      </c>
      <c r="F809" s="12" t="s">
        <v>2387</v>
      </c>
      <c r="G809" s="12" t="s">
        <v>2310</v>
      </c>
      <c r="H809" s="13" t="n">
        <v>948542</v>
      </c>
      <c r="I809" s="17"/>
      <c r="J809" s="13" t="n">
        <v>420</v>
      </c>
      <c r="K809" s="12" t="n">
        <v>4.9</v>
      </c>
      <c r="L809" s="12" t="s">
        <v>92</v>
      </c>
      <c r="M809" s="12" t="s">
        <v>4545</v>
      </c>
    </row>
    <row r="810" customFormat="false" ht="15" hidden="false" customHeight="false" outlineLevel="0" collapsed="false">
      <c r="A810" s="12" t="s">
        <v>2306</v>
      </c>
      <c r="B810" s="12" t="s">
        <v>4546</v>
      </c>
      <c r="C810" s="12" t="s">
        <v>4547</v>
      </c>
      <c r="D810" s="12" t="s">
        <v>189</v>
      </c>
      <c r="E810" s="12" t="n">
        <v>2</v>
      </c>
      <c r="F810" s="12" t="s">
        <v>2387</v>
      </c>
      <c r="G810" s="12" t="s">
        <v>2310</v>
      </c>
      <c r="H810" s="13" t="n">
        <v>454569</v>
      </c>
      <c r="I810" s="17"/>
      <c r="J810" s="13" t="n">
        <v>1550</v>
      </c>
      <c r="K810" s="12" t="n">
        <v>3.8</v>
      </c>
      <c r="L810" s="12" t="s">
        <v>92</v>
      </c>
      <c r="M810" s="12" t="s">
        <v>4548</v>
      </c>
    </row>
    <row r="811" customFormat="false" ht="15" hidden="false" customHeight="false" outlineLevel="0" collapsed="false">
      <c r="A811" s="12" t="s">
        <v>2306</v>
      </c>
      <c r="B811" s="12" t="s">
        <v>4549</v>
      </c>
      <c r="C811" s="12" t="s">
        <v>4550</v>
      </c>
      <c r="D811" s="12" t="s">
        <v>500</v>
      </c>
      <c r="E811" s="12" t="n">
        <v>2</v>
      </c>
      <c r="F811" s="12" t="s">
        <v>2387</v>
      </c>
      <c r="G811" s="12" t="s">
        <v>2310</v>
      </c>
      <c r="H811" s="13" t="n">
        <v>1035700</v>
      </c>
      <c r="I811" s="17"/>
      <c r="J811" s="13" t="n">
        <v>337</v>
      </c>
      <c r="K811" s="12" t="n">
        <v>2.4</v>
      </c>
      <c r="L811" s="12" t="s">
        <v>92</v>
      </c>
      <c r="M811" s="12" t="s">
        <v>4551</v>
      </c>
    </row>
    <row r="812" customFormat="false" ht="15" hidden="false" customHeight="false" outlineLevel="0" collapsed="false">
      <c r="A812" s="12" t="s">
        <v>2306</v>
      </c>
      <c r="B812" s="12" t="s">
        <v>4552</v>
      </c>
      <c r="D812" s="12" t="s">
        <v>286</v>
      </c>
      <c r="E812" s="12" t="n">
        <v>2</v>
      </c>
      <c r="F812" s="12" t="s">
        <v>2387</v>
      </c>
      <c r="G812" s="12" t="s">
        <v>2310</v>
      </c>
      <c r="H812" s="13" t="n">
        <v>837695</v>
      </c>
      <c r="I812" s="17"/>
      <c r="J812" s="13" t="n">
        <v>507</v>
      </c>
      <c r="K812" s="12" t="n">
        <v>3.4</v>
      </c>
      <c r="L812" s="12" t="s">
        <v>92</v>
      </c>
      <c r="M812" s="12" t="s">
        <v>4553</v>
      </c>
    </row>
    <row r="813" customFormat="false" ht="15" hidden="false" customHeight="false" outlineLevel="0" collapsed="false">
      <c r="A813" s="12" t="s">
        <v>2306</v>
      </c>
      <c r="B813" s="12" t="s">
        <v>4554</v>
      </c>
      <c r="C813" s="12" t="s">
        <v>4555</v>
      </c>
      <c r="D813" s="12" t="s">
        <v>500</v>
      </c>
      <c r="E813" s="12" t="n">
        <v>2</v>
      </c>
      <c r="F813" s="12" t="s">
        <v>2387</v>
      </c>
      <c r="G813" s="12" t="s">
        <v>2310</v>
      </c>
      <c r="H813" s="13" t="n">
        <v>1024732</v>
      </c>
      <c r="I813" s="17"/>
      <c r="J813" s="13" t="n">
        <v>335</v>
      </c>
      <c r="K813" s="12" t="n">
        <v>4</v>
      </c>
      <c r="L813" s="12" t="s">
        <v>92</v>
      </c>
      <c r="M813" s="12" t="s">
        <v>4556</v>
      </c>
    </row>
    <row r="814" customFormat="false" ht="15" hidden="false" customHeight="false" outlineLevel="0" collapsed="false">
      <c r="A814" s="12" t="s">
        <v>2306</v>
      </c>
      <c r="B814" s="12" t="s">
        <v>4557</v>
      </c>
      <c r="C814" s="12" t="s">
        <v>4558</v>
      </c>
      <c r="D814" s="12" t="s">
        <v>127</v>
      </c>
      <c r="E814" s="12" t="n">
        <v>2</v>
      </c>
      <c r="F814" s="12" t="s">
        <v>2387</v>
      </c>
      <c r="G814" s="12" t="s">
        <v>2310</v>
      </c>
      <c r="H814" s="13" t="n">
        <v>596218</v>
      </c>
      <c r="I814" s="17"/>
      <c r="J814" s="13" t="n">
        <v>769</v>
      </c>
      <c r="K814" s="12" t="n">
        <v>2.9</v>
      </c>
      <c r="L814" s="12" t="s">
        <v>92</v>
      </c>
      <c r="M814" s="12" t="s">
        <v>4559</v>
      </c>
    </row>
    <row r="815" customFormat="false" ht="15" hidden="false" customHeight="false" outlineLevel="0" collapsed="false">
      <c r="A815" s="12" t="s">
        <v>2306</v>
      </c>
      <c r="B815" s="12" t="s">
        <v>4560</v>
      </c>
      <c r="D815" s="12" t="s">
        <v>111</v>
      </c>
      <c r="E815" s="12" t="n">
        <v>2</v>
      </c>
      <c r="F815" s="12" t="s">
        <v>2387</v>
      </c>
      <c r="G815" s="12" t="s">
        <v>2310</v>
      </c>
      <c r="H815" s="13" t="n">
        <v>644126</v>
      </c>
      <c r="I815" s="17"/>
      <c r="J815" s="13" t="n">
        <v>711</v>
      </c>
      <c r="K815" s="12" t="n">
        <v>5.3</v>
      </c>
      <c r="L815" s="12" t="s">
        <v>92</v>
      </c>
      <c r="M815" s="12" t="s">
        <v>4561</v>
      </c>
    </row>
    <row r="816" customFormat="false" ht="15" hidden="false" customHeight="false" outlineLevel="0" collapsed="false">
      <c r="A816" s="12" t="s">
        <v>2306</v>
      </c>
      <c r="B816" s="12" t="s">
        <v>4562</v>
      </c>
      <c r="C816" s="12" t="s">
        <v>4563</v>
      </c>
      <c r="D816" s="12" t="s">
        <v>189</v>
      </c>
      <c r="E816" s="12" t="n">
        <v>2</v>
      </c>
      <c r="F816" s="12" t="s">
        <v>2387</v>
      </c>
      <c r="G816" s="12" t="s">
        <v>2310</v>
      </c>
      <c r="H816" s="13" t="n">
        <v>923426</v>
      </c>
      <c r="I816" s="17"/>
      <c r="J816" s="13" t="n">
        <v>369</v>
      </c>
      <c r="K816" s="12" t="n">
        <v>5.6</v>
      </c>
      <c r="L816" s="12" t="s">
        <v>92</v>
      </c>
      <c r="M816" s="12" t="s">
        <v>4564</v>
      </c>
    </row>
    <row r="817" customFormat="false" ht="15" hidden="false" customHeight="false" outlineLevel="0" collapsed="false">
      <c r="A817" s="12" t="s">
        <v>2306</v>
      </c>
      <c r="B817" s="12" t="s">
        <v>4565</v>
      </c>
      <c r="D817" s="12" t="s">
        <v>140</v>
      </c>
      <c r="E817" s="12" t="n">
        <v>2</v>
      </c>
      <c r="F817" s="12" t="s">
        <v>2387</v>
      </c>
      <c r="G817" s="12" t="s">
        <v>2310</v>
      </c>
      <c r="H817" s="13" t="n">
        <v>377887</v>
      </c>
      <c r="I817" s="17"/>
      <c r="J817" s="13" t="n">
        <v>2044</v>
      </c>
      <c r="K817" s="12" t="n">
        <v>7.1</v>
      </c>
      <c r="L817" s="12" t="s">
        <v>92</v>
      </c>
      <c r="M817" s="12" t="s">
        <v>4566</v>
      </c>
    </row>
    <row r="818" customFormat="false" ht="15" hidden="false" customHeight="false" outlineLevel="0" collapsed="false">
      <c r="A818" s="12" t="s">
        <v>2306</v>
      </c>
      <c r="B818" s="12" t="s">
        <v>4567</v>
      </c>
      <c r="C818" s="12" t="s">
        <v>4568</v>
      </c>
      <c r="D818" s="12" t="s">
        <v>202</v>
      </c>
      <c r="E818" s="12" t="n">
        <v>2</v>
      </c>
      <c r="F818" s="12" t="s">
        <v>2387</v>
      </c>
      <c r="G818" s="12" t="s">
        <v>2310</v>
      </c>
      <c r="H818" s="13" t="n">
        <v>275484</v>
      </c>
      <c r="I818" s="17"/>
      <c r="J818" s="13" t="n">
        <v>3875</v>
      </c>
      <c r="K818" s="12" t="n">
        <v>7</v>
      </c>
      <c r="L818" s="12" t="s">
        <v>92</v>
      </c>
      <c r="M818" s="12" t="s">
        <v>4569</v>
      </c>
    </row>
    <row r="819" customFormat="false" ht="15" hidden="false" customHeight="false" outlineLevel="0" collapsed="false">
      <c r="A819" s="12" t="s">
        <v>2306</v>
      </c>
      <c r="B819" s="12" t="s">
        <v>4570</v>
      </c>
      <c r="D819" s="12" t="s">
        <v>134</v>
      </c>
      <c r="E819" s="12" t="n">
        <v>2</v>
      </c>
      <c r="F819" s="12" t="s">
        <v>2387</v>
      </c>
      <c r="G819" s="12" t="s">
        <v>2310</v>
      </c>
      <c r="H819" s="13" t="n">
        <v>669287</v>
      </c>
      <c r="I819" s="17"/>
      <c r="J819" s="13" t="n">
        <v>584</v>
      </c>
      <c r="K819" s="12" t="n">
        <v>5.6</v>
      </c>
      <c r="L819" s="12" t="s">
        <v>92</v>
      </c>
      <c r="M819" s="12" t="s">
        <v>4571</v>
      </c>
    </row>
    <row r="820" customFormat="false" ht="15" hidden="false" customHeight="false" outlineLevel="0" collapsed="false">
      <c r="A820" s="12" t="s">
        <v>2306</v>
      </c>
      <c r="B820" s="12" t="s">
        <v>4572</v>
      </c>
      <c r="D820" s="12" t="s">
        <v>101</v>
      </c>
      <c r="E820" s="12" t="n">
        <v>1</v>
      </c>
      <c r="F820" s="12" t="s">
        <v>2404</v>
      </c>
      <c r="G820" s="12" t="s">
        <v>2405</v>
      </c>
      <c r="H820" s="13" t="n">
        <v>304288</v>
      </c>
      <c r="I820" s="17"/>
      <c r="J820" s="17"/>
      <c r="L820" s="12" t="s">
        <v>92</v>
      </c>
    </row>
    <row r="821" customFormat="false" ht="15" hidden="false" customHeight="false" outlineLevel="0" collapsed="false">
      <c r="A821" s="12" t="s">
        <v>2306</v>
      </c>
      <c r="B821" s="12" t="s">
        <v>4573</v>
      </c>
      <c r="D821" s="12" t="s">
        <v>158</v>
      </c>
      <c r="E821" s="12" t="n">
        <v>2</v>
      </c>
      <c r="F821" s="12" t="s">
        <v>2387</v>
      </c>
      <c r="G821" s="12" t="s">
        <v>2310</v>
      </c>
      <c r="H821" s="13" t="n">
        <v>646224</v>
      </c>
      <c r="I821" s="17"/>
      <c r="J821" s="13" t="n">
        <v>598</v>
      </c>
      <c r="K821" s="12" t="n">
        <v>4.1</v>
      </c>
      <c r="L821" s="12" t="s">
        <v>92</v>
      </c>
      <c r="M821" s="12" t="s">
        <v>4574</v>
      </c>
    </row>
    <row r="822" customFormat="false" ht="15" hidden="false" customHeight="false" outlineLevel="0" collapsed="false">
      <c r="A822" s="12" t="s">
        <v>2306</v>
      </c>
      <c r="B822" s="12" t="s">
        <v>4575</v>
      </c>
      <c r="C822" s="12" t="s">
        <v>4576</v>
      </c>
      <c r="D822" s="12" t="s">
        <v>146</v>
      </c>
      <c r="E822" s="12" t="n">
        <v>2</v>
      </c>
      <c r="F822" s="12" t="s">
        <v>2387</v>
      </c>
      <c r="G822" s="12" t="s">
        <v>2310</v>
      </c>
      <c r="H822" s="13" t="n">
        <v>422855</v>
      </c>
      <c r="I822" s="17"/>
      <c r="J822" s="13" t="n">
        <v>1221</v>
      </c>
      <c r="K822" s="12" t="n">
        <v>6.6</v>
      </c>
      <c r="L822" s="12" t="s">
        <v>92</v>
      </c>
      <c r="M822" s="12" t="s">
        <v>4577</v>
      </c>
    </row>
    <row r="823" customFormat="false" ht="15" hidden="false" customHeight="false" outlineLevel="0" collapsed="false">
      <c r="A823" s="12" t="s">
        <v>2306</v>
      </c>
      <c r="B823" s="12" t="s">
        <v>4578</v>
      </c>
      <c r="C823" s="12" t="s">
        <v>4579</v>
      </c>
      <c r="D823" s="12" t="s">
        <v>286</v>
      </c>
      <c r="E823" s="12" t="n">
        <v>2</v>
      </c>
      <c r="F823" s="12" t="s">
        <v>2387</v>
      </c>
      <c r="G823" s="12" t="s">
        <v>2310</v>
      </c>
      <c r="H823" s="13" t="n">
        <v>690709</v>
      </c>
      <c r="I823" s="17"/>
      <c r="J823" s="13" t="n">
        <v>520</v>
      </c>
      <c r="K823" s="12" t="n">
        <v>4.4</v>
      </c>
      <c r="L823" s="12" t="s">
        <v>92</v>
      </c>
      <c r="M823" s="12" t="s">
        <v>4580</v>
      </c>
    </row>
    <row r="824" customFormat="false" ht="15" hidden="false" customHeight="false" outlineLevel="0" collapsed="false">
      <c r="A824" s="12" t="s">
        <v>2306</v>
      </c>
      <c r="B824" s="12" t="s">
        <v>4581</v>
      </c>
      <c r="C824" s="12" t="s">
        <v>4582</v>
      </c>
      <c r="D824" s="12" t="s">
        <v>183</v>
      </c>
      <c r="E824" s="12" t="n">
        <v>2</v>
      </c>
      <c r="F824" s="12" t="s">
        <v>2387</v>
      </c>
      <c r="G824" s="12" t="s">
        <v>2310</v>
      </c>
      <c r="H824" s="13" t="n">
        <v>807827</v>
      </c>
      <c r="I824" s="17"/>
      <c r="J824" s="13" t="n">
        <v>363</v>
      </c>
      <c r="K824" s="12" t="n">
        <v>5.5</v>
      </c>
      <c r="L824" s="12" t="s">
        <v>92</v>
      </c>
      <c r="M824" s="12" t="s">
        <v>4583</v>
      </c>
    </row>
    <row r="825" customFormat="false" ht="15" hidden="false" customHeight="false" outlineLevel="0" collapsed="false">
      <c r="A825" s="12" t="s">
        <v>2306</v>
      </c>
      <c r="B825" s="12" t="s">
        <v>4584</v>
      </c>
      <c r="D825" s="12" t="s">
        <v>183</v>
      </c>
      <c r="E825" s="12" t="n">
        <v>2</v>
      </c>
      <c r="F825" s="12" t="s">
        <v>2387</v>
      </c>
      <c r="G825" s="12" t="s">
        <v>2310</v>
      </c>
      <c r="H825" s="13" t="n">
        <v>348322</v>
      </c>
      <c r="I825" s="17"/>
      <c r="J825" s="13" t="n">
        <v>1822</v>
      </c>
      <c r="K825" s="12" t="n">
        <v>6.3</v>
      </c>
      <c r="L825" s="12" t="s">
        <v>92</v>
      </c>
      <c r="M825" s="12" t="s">
        <v>4585</v>
      </c>
    </row>
    <row r="826" customFormat="false" ht="15" hidden="false" customHeight="false" outlineLevel="0" collapsed="false">
      <c r="A826" s="12" t="s">
        <v>2306</v>
      </c>
      <c r="B826" s="12" t="s">
        <v>4586</v>
      </c>
      <c r="D826" s="12" t="s">
        <v>207</v>
      </c>
      <c r="E826" s="12" t="n">
        <v>2</v>
      </c>
      <c r="F826" s="12" t="s">
        <v>2387</v>
      </c>
      <c r="G826" s="12" t="s">
        <v>2310</v>
      </c>
      <c r="H826" s="13" t="n">
        <v>742153</v>
      </c>
      <c r="I826" s="17"/>
      <c r="J826" s="13" t="n">
        <v>458</v>
      </c>
      <c r="K826" s="12" t="n">
        <v>5.2</v>
      </c>
      <c r="L826" s="12" t="s">
        <v>92</v>
      </c>
      <c r="M826" s="12" t="s">
        <v>4587</v>
      </c>
    </row>
    <row r="827" customFormat="false" ht="15" hidden="false" customHeight="false" outlineLevel="0" collapsed="false">
      <c r="A827" s="12" t="s">
        <v>2306</v>
      </c>
      <c r="B827" s="12" t="s">
        <v>4588</v>
      </c>
      <c r="D827" s="12" t="s">
        <v>111</v>
      </c>
      <c r="E827" s="12" t="n">
        <v>2</v>
      </c>
      <c r="F827" s="12" t="s">
        <v>2387</v>
      </c>
      <c r="G827" s="12" t="s">
        <v>2310</v>
      </c>
      <c r="H827" s="13" t="n">
        <v>580568</v>
      </c>
      <c r="I827" s="17"/>
      <c r="J827" s="13" t="n">
        <v>622</v>
      </c>
      <c r="K827" s="12" t="n">
        <v>5.4</v>
      </c>
      <c r="L827" s="12" t="s">
        <v>92</v>
      </c>
      <c r="M827" s="12" t="s">
        <v>4589</v>
      </c>
    </row>
    <row r="828" customFormat="false" ht="15" hidden="false" customHeight="false" outlineLevel="0" collapsed="false">
      <c r="A828" s="12" t="s">
        <v>2306</v>
      </c>
      <c r="B828" s="12" t="s">
        <v>4590</v>
      </c>
      <c r="C828" s="12" t="s">
        <v>4591</v>
      </c>
      <c r="D828" s="12" t="s">
        <v>207</v>
      </c>
      <c r="E828" s="12" t="n">
        <v>2</v>
      </c>
      <c r="F828" s="12" t="s">
        <v>2387</v>
      </c>
      <c r="G828" s="12" t="s">
        <v>2310</v>
      </c>
      <c r="H828" s="13" t="n">
        <v>295753</v>
      </c>
      <c r="I828" s="17"/>
      <c r="J828" s="13" t="n">
        <v>2279</v>
      </c>
      <c r="K828" s="12" t="n">
        <v>7.1</v>
      </c>
      <c r="L828" s="12" t="s">
        <v>92</v>
      </c>
      <c r="M828" s="12" t="s">
        <v>4592</v>
      </c>
    </row>
    <row r="829" customFormat="false" ht="15" hidden="false" customHeight="false" outlineLevel="0" collapsed="false">
      <c r="A829" s="12" t="s">
        <v>2306</v>
      </c>
      <c r="B829" s="12" t="s">
        <v>4593</v>
      </c>
      <c r="C829" s="12" t="s">
        <v>4594</v>
      </c>
      <c r="D829" s="12" t="s">
        <v>207</v>
      </c>
      <c r="E829" s="12" t="n">
        <v>2</v>
      </c>
      <c r="F829" s="12" t="s">
        <v>2387</v>
      </c>
      <c r="G829" s="12" t="s">
        <v>2310</v>
      </c>
      <c r="H829" s="13" t="n">
        <v>380166</v>
      </c>
      <c r="I829" s="17"/>
      <c r="J829" s="13" t="n">
        <v>1147</v>
      </c>
      <c r="K829" s="12" t="n">
        <v>3.1</v>
      </c>
      <c r="L829" s="12" t="s">
        <v>92</v>
      </c>
      <c r="M829" s="12" t="s">
        <v>4595</v>
      </c>
    </row>
    <row r="830" customFormat="false" ht="15" hidden="false" customHeight="false" outlineLevel="0" collapsed="false">
      <c r="A830" s="12" t="s">
        <v>2306</v>
      </c>
      <c r="B830" s="12" t="s">
        <v>4596</v>
      </c>
      <c r="C830" s="12" t="s">
        <v>4597</v>
      </c>
      <c r="D830" s="12" t="s">
        <v>146</v>
      </c>
      <c r="E830" s="12" t="n">
        <v>2</v>
      </c>
      <c r="F830" s="12" t="s">
        <v>2387</v>
      </c>
      <c r="G830" s="12" t="s">
        <v>2310</v>
      </c>
      <c r="H830" s="13" t="n">
        <v>172696</v>
      </c>
      <c r="I830" s="17"/>
      <c r="J830" s="13" t="n">
        <v>6110</v>
      </c>
      <c r="K830" s="12" t="n">
        <v>7.3</v>
      </c>
      <c r="L830" s="12" t="s">
        <v>92</v>
      </c>
      <c r="M830" s="12" t="s">
        <v>4598</v>
      </c>
    </row>
    <row r="831" customFormat="false" ht="15" hidden="false" customHeight="false" outlineLevel="0" collapsed="false">
      <c r="A831" s="12" t="s">
        <v>2306</v>
      </c>
      <c r="B831" s="12" t="s">
        <v>4599</v>
      </c>
      <c r="C831" s="12" t="s">
        <v>4600</v>
      </c>
      <c r="D831" s="12" t="s">
        <v>146</v>
      </c>
      <c r="E831" s="12" t="n">
        <v>2</v>
      </c>
      <c r="F831" s="12" t="s">
        <v>2387</v>
      </c>
      <c r="G831" s="12" t="s">
        <v>2310</v>
      </c>
      <c r="H831" s="13" t="n">
        <v>190656</v>
      </c>
      <c r="I831" s="17"/>
      <c r="J831" s="13" t="n">
        <v>4795</v>
      </c>
      <c r="K831" s="12" t="n">
        <v>7.5</v>
      </c>
      <c r="L831" s="12" t="s">
        <v>92</v>
      </c>
      <c r="M831" s="12" t="s">
        <v>4601</v>
      </c>
    </row>
    <row r="832" customFormat="false" ht="15" hidden="false" customHeight="false" outlineLevel="0" collapsed="false">
      <c r="A832" s="12" t="s">
        <v>2306</v>
      </c>
      <c r="B832" s="12" t="s">
        <v>4602</v>
      </c>
      <c r="C832" s="12" t="s">
        <v>4603</v>
      </c>
      <c r="D832" s="12" t="s">
        <v>358</v>
      </c>
      <c r="E832" s="12" t="n">
        <v>2</v>
      </c>
      <c r="F832" s="12" t="s">
        <v>2387</v>
      </c>
      <c r="G832" s="12" t="s">
        <v>2310</v>
      </c>
      <c r="H832" s="13" t="n">
        <v>296739</v>
      </c>
      <c r="I832" s="17"/>
      <c r="J832" s="13" t="n">
        <v>1731</v>
      </c>
      <c r="K832" s="12" t="n">
        <v>7.2</v>
      </c>
      <c r="L832" s="12" t="s">
        <v>92</v>
      </c>
      <c r="M832" s="12" t="s">
        <v>4604</v>
      </c>
    </row>
    <row r="833" customFormat="false" ht="15" hidden="false" customHeight="false" outlineLevel="0" collapsed="false">
      <c r="A833" s="12" t="s">
        <v>2306</v>
      </c>
      <c r="C833" s="12" t="s">
        <v>4605</v>
      </c>
      <c r="D833" s="12" t="s">
        <v>1103</v>
      </c>
      <c r="E833" s="12" t="n">
        <v>2</v>
      </c>
      <c r="F833" s="12" t="s">
        <v>2563</v>
      </c>
      <c r="G833" s="12" t="s">
        <v>2310</v>
      </c>
      <c r="H833" s="17"/>
      <c r="I833" s="13" t="n">
        <v>461421559</v>
      </c>
      <c r="J833" s="13" t="n">
        <v>8625</v>
      </c>
      <c r="K833" s="12" t="n">
        <v>6.7</v>
      </c>
      <c r="L833" s="12" t="s">
        <v>92</v>
      </c>
      <c r="M833" s="12" t="s">
        <v>4606</v>
      </c>
    </row>
    <row r="834" customFormat="false" ht="15" hidden="false" customHeight="false" outlineLevel="0" collapsed="false">
      <c r="A834" s="12" t="s">
        <v>2306</v>
      </c>
      <c r="B834" s="12" t="s">
        <v>4607</v>
      </c>
      <c r="D834" s="12" t="s">
        <v>214</v>
      </c>
      <c r="E834" s="12" t="n">
        <v>2</v>
      </c>
      <c r="F834" s="12" t="s">
        <v>2387</v>
      </c>
      <c r="G834" s="12" t="s">
        <v>2310</v>
      </c>
      <c r="H834" s="13" t="n">
        <v>517330</v>
      </c>
      <c r="I834" s="17"/>
      <c r="J834" s="13" t="n">
        <v>617</v>
      </c>
      <c r="K834" s="12" t="n">
        <v>6.4</v>
      </c>
      <c r="L834" s="12" t="s">
        <v>92</v>
      </c>
      <c r="M834" s="12" t="s">
        <v>4608</v>
      </c>
    </row>
    <row r="835" customFormat="false" ht="15" hidden="false" customHeight="false" outlineLevel="0" collapsed="false">
      <c r="A835" s="12" t="s">
        <v>2306</v>
      </c>
      <c r="B835" s="12" t="s">
        <v>4609</v>
      </c>
      <c r="C835" s="12" t="s">
        <v>4610</v>
      </c>
      <c r="D835" s="12" t="s">
        <v>90</v>
      </c>
      <c r="E835" s="12" t="n">
        <v>2</v>
      </c>
      <c r="F835" s="12" t="s">
        <v>2387</v>
      </c>
      <c r="G835" s="12" t="s">
        <v>2310</v>
      </c>
      <c r="H835" s="13" t="n">
        <v>803483</v>
      </c>
      <c r="I835" s="17"/>
      <c r="J835" s="13" t="n">
        <v>304</v>
      </c>
      <c r="K835" s="12" t="n">
        <v>4.9</v>
      </c>
      <c r="L835" s="12" t="s">
        <v>92</v>
      </c>
      <c r="M835" s="12" t="s">
        <v>4611</v>
      </c>
    </row>
    <row r="836" customFormat="false" ht="15" hidden="false" customHeight="false" outlineLevel="0" collapsed="false">
      <c r="A836" s="12" t="s">
        <v>2306</v>
      </c>
      <c r="C836" s="12" t="s">
        <v>4612</v>
      </c>
      <c r="D836" s="12" t="s">
        <v>1103</v>
      </c>
      <c r="E836" s="12" t="n">
        <v>2</v>
      </c>
      <c r="F836" s="12" t="s">
        <v>2314</v>
      </c>
      <c r="G836" s="12" t="s">
        <v>2310</v>
      </c>
      <c r="H836" s="17"/>
      <c r="I836" s="17"/>
      <c r="J836" s="13" t="n">
        <v>1154</v>
      </c>
      <c r="K836" s="12" t="n">
        <v>7.2</v>
      </c>
      <c r="L836" s="12" t="s">
        <v>169</v>
      </c>
      <c r="M836" s="12" t="s">
        <v>4613</v>
      </c>
    </row>
    <row r="837" customFormat="false" ht="15" hidden="false" customHeight="false" outlineLevel="0" collapsed="false">
      <c r="A837" s="12" t="s">
        <v>2306</v>
      </c>
      <c r="B837" s="12" t="s">
        <v>4614</v>
      </c>
      <c r="C837" s="12" t="s">
        <v>4615</v>
      </c>
      <c r="D837" s="12" t="s">
        <v>207</v>
      </c>
      <c r="E837" s="12" t="n">
        <v>2</v>
      </c>
      <c r="F837" s="12" t="s">
        <v>2387</v>
      </c>
      <c r="G837" s="12" t="s">
        <v>2310</v>
      </c>
      <c r="H837" s="13" t="n">
        <v>559431</v>
      </c>
      <c r="I837" s="17"/>
      <c r="J837" s="13" t="n">
        <v>536</v>
      </c>
      <c r="K837" s="12" t="n">
        <v>4.8</v>
      </c>
      <c r="L837" s="12" t="s">
        <v>92</v>
      </c>
      <c r="M837" s="12" t="s">
        <v>4616</v>
      </c>
    </row>
    <row r="838" customFormat="false" ht="15" hidden="false" customHeight="false" outlineLevel="0" collapsed="false">
      <c r="A838" s="12" t="s">
        <v>2306</v>
      </c>
      <c r="B838" s="12" t="s">
        <v>4617</v>
      </c>
      <c r="C838" s="12" t="s">
        <v>4618</v>
      </c>
      <c r="D838" s="12" t="s">
        <v>127</v>
      </c>
      <c r="E838" s="12" t="n">
        <v>2</v>
      </c>
      <c r="F838" s="12" t="s">
        <v>2387</v>
      </c>
      <c r="G838" s="12" t="s">
        <v>2310</v>
      </c>
      <c r="H838" s="13" t="n">
        <v>788442</v>
      </c>
      <c r="I838" s="17"/>
      <c r="J838" s="13" t="n">
        <v>299</v>
      </c>
      <c r="K838" s="12" t="n">
        <v>5.2</v>
      </c>
      <c r="L838" s="12" t="s">
        <v>92</v>
      </c>
      <c r="M838" s="12" t="s">
        <v>4619</v>
      </c>
    </row>
    <row r="839" customFormat="false" ht="15" hidden="false" customHeight="false" outlineLevel="0" collapsed="false">
      <c r="A839" s="12" t="s">
        <v>2306</v>
      </c>
      <c r="B839" s="12" t="s">
        <v>4620</v>
      </c>
      <c r="C839" s="12" t="s">
        <v>4621</v>
      </c>
      <c r="D839" s="12" t="s">
        <v>111</v>
      </c>
      <c r="E839" s="12" t="n">
        <v>2</v>
      </c>
      <c r="F839" s="12" t="s">
        <v>2387</v>
      </c>
      <c r="G839" s="12" t="s">
        <v>2310</v>
      </c>
      <c r="H839" s="13" t="n">
        <v>276658</v>
      </c>
      <c r="I839" s="17"/>
      <c r="J839" s="13" t="n">
        <v>1646</v>
      </c>
      <c r="K839" s="12" t="n">
        <v>6.2</v>
      </c>
      <c r="L839" s="12" t="s">
        <v>92</v>
      </c>
      <c r="M839" s="12" t="s">
        <v>4622</v>
      </c>
    </row>
    <row r="840" customFormat="false" ht="15" hidden="false" customHeight="false" outlineLevel="0" collapsed="false">
      <c r="A840" s="12" t="s">
        <v>2306</v>
      </c>
      <c r="B840" s="12" t="s">
        <v>4623</v>
      </c>
      <c r="C840" s="12" t="s">
        <v>4624</v>
      </c>
      <c r="D840" s="12" t="s">
        <v>207</v>
      </c>
      <c r="E840" s="12" t="n">
        <v>2</v>
      </c>
      <c r="F840" s="12" t="s">
        <v>2387</v>
      </c>
      <c r="G840" s="12" t="s">
        <v>2310</v>
      </c>
      <c r="H840" s="13" t="n">
        <v>206893</v>
      </c>
      <c r="I840" s="17"/>
      <c r="J840" s="13" t="n">
        <v>2478</v>
      </c>
      <c r="K840" s="12" t="n">
        <v>7.2</v>
      </c>
      <c r="L840" s="12" t="s">
        <v>92</v>
      </c>
      <c r="M840" s="12" t="s">
        <v>4625</v>
      </c>
    </row>
    <row r="841" customFormat="false" ht="15" hidden="false" customHeight="false" outlineLevel="0" collapsed="false">
      <c r="A841" s="12" t="s">
        <v>2306</v>
      </c>
      <c r="B841" s="12" t="s">
        <v>4626</v>
      </c>
      <c r="C841" s="12" t="s">
        <v>4627</v>
      </c>
      <c r="D841" s="12" t="s">
        <v>189</v>
      </c>
      <c r="E841" s="12" t="n">
        <v>2</v>
      </c>
      <c r="F841" s="12" t="s">
        <v>2387</v>
      </c>
      <c r="G841" s="12" t="s">
        <v>2310</v>
      </c>
      <c r="H841" s="13" t="n">
        <v>665999</v>
      </c>
      <c r="I841" s="17"/>
      <c r="J841" s="13" t="n">
        <v>340</v>
      </c>
      <c r="K841" s="12" t="n">
        <v>6.3</v>
      </c>
      <c r="L841" s="12" t="s">
        <v>92</v>
      </c>
      <c r="M841" s="12" t="s">
        <v>4628</v>
      </c>
    </row>
    <row r="842" customFormat="false" ht="15" hidden="false" customHeight="false" outlineLevel="0" collapsed="false">
      <c r="A842" s="12" t="s">
        <v>2306</v>
      </c>
      <c r="B842" s="12" t="s">
        <v>4629</v>
      </c>
      <c r="C842" s="12" t="s">
        <v>4630</v>
      </c>
      <c r="D842" s="12" t="s">
        <v>140</v>
      </c>
      <c r="E842" s="12" t="n">
        <v>2</v>
      </c>
      <c r="F842" s="12" t="s">
        <v>2387</v>
      </c>
      <c r="G842" s="12" t="s">
        <v>2310</v>
      </c>
      <c r="H842" s="13" t="n">
        <v>523577</v>
      </c>
      <c r="I842" s="17"/>
      <c r="J842" s="13" t="n">
        <v>509</v>
      </c>
      <c r="K842" s="12" t="n">
        <v>3.4</v>
      </c>
      <c r="L842" s="12" t="s">
        <v>92</v>
      </c>
      <c r="M842" s="12" t="s">
        <v>4631</v>
      </c>
    </row>
    <row r="843" customFormat="false" ht="15" hidden="false" customHeight="false" outlineLevel="0" collapsed="false">
      <c r="A843" s="12" t="s">
        <v>2306</v>
      </c>
      <c r="B843" s="12" t="s">
        <v>4632</v>
      </c>
      <c r="C843" s="12" t="s">
        <v>4633</v>
      </c>
      <c r="D843" s="12" t="s">
        <v>90</v>
      </c>
      <c r="E843" s="12" t="n">
        <v>2</v>
      </c>
      <c r="F843" s="12" t="s">
        <v>2387</v>
      </c>
      <c r="G843" s="12" t="s">
        <v>2310</v>
      </c>
      <c r="H843" s="13" t="n">
        <v>469143</v>
      </c>
      <c r="I843" s="17"/>
      <c r="J843" s="13" t="n">
        <v>605</v>
      </c>
      <c r="K843" s="12" t="n">
        <v>4.8</v>
      </c>
      <c r="L843" s="12" t="s">
        <v>92</v>
      </c>
      <c r="M843" s="12" t="s">
        <v>4634</v>
      </c>
    </row>
    <row r="844" customFormat="false" ht="15" hidden="false" customHeight="false" outlineLevel="0" collapsed="false">
      <c r="A844" s="12" t="s">
        <v>2306</v>
      </c>
      <c r="B844" s="12" t="s">
        <v>4635</v>
      </c>
      <c r="D844" s="12" t="s">
        <v>134</v>
      </c>
      <c r="E844" s="12" t="n">
        <v>2</v>
      </c>
      <c r="F844" s="12" t="s">
        <v>2387</v>
      </c>
      <c r="G844" s="12" t="s">
        <v>2310</v>
      </c>
      <c r="H844" s="13" t="n">
        <v>292471</v>
      </c>
      <c r="I844" s="17"/>
      <c r="J844" s="13" t="n">
        <v>1406</v>
      </c>
      <c r="K844" s="12" t="n">
        <v>6.3</v>
      </c>
      <c r="L844" s="12" t="s">
        <v>92</v>
      </c>
      <c r="M844" s="12" t="s">
        <v>4636</v>
      </c>
    </row>
    <row r="845" customFormat="false" ht="15" hidden="false" customHeight="false" outlineLevel="0" collapsed="false">
      <c r="A845" s="12" t="s">
        <v>2306</v>
      </c>
      <c r="B845" s="12" t="s">
        <v>4637</v>
      </c>
      <c r="C845" s="12" t="s">
        <v>4638</v>
      </c>
      <c r="D845" s="12" t="s">
        <v>251</v>
      </c>
      <c r="E845" s="12" t="n">
        <v>2</v>
      </c>
      <c r="F845" s="12" t="s">
        <v>2387</v>
      </c>
      <c r="G845" s="12" t="s">
        <v>2310</v>
      </c>
      <c r="H845" s="13" t="n">
        <v>361239</v>
      </c>
      <c r="I845" s="17"/>
      <c r="J845" s="13" t="n">
        <v>807</v>
      </c>
      <c r="K845" s="12" t="n">
        <v>4.3</v>
      </c>
      <c r="L845" s="12" t="s">
        <v>92</v>
      </c>
      <c r="M845" s="12" t="s">
        <v>4639</v>
      </c>
    </row>
    <row r="846" customFormat="false" ht="15" hidden="false" customHeight="false" outlineLevel="0" collapsed="false">
      <c r="A846" s="12" t="s">
        <v>2306</v>
      </c>
      <c r="B846" s="12" t="s">
        <v>4640</v>
      </c>
      <c r="C846" s="12" t="s">
        <v>4641</v>
      </c>
      <c r="D846" s="12" t="s">
        <v>111</v>
      </c>
      <c r="E846" s="12" t="n">
        <v>2</v>
      </c>
      <c r="F846" s="12" t="s">
        <v>2314</v>
      </c>
      <c r="G846" s="12" t="s">
        <v>2310</v>
      </c>
      <c r="H846" s="17"/>
      <c r="I846" s="17"/>
      <c r="J846" s="13" t="n">
        <v>969</v>
      </c>
      <c r="K846" s="12" t="n">
        <v>7.3</v>
      </c>
      <c r="L846" s="12" t="s">
        <v>169</v>
      </c>
      <c r="M846" s="12" t="s">
        <v>4642</v>
      </c>
    </row>
    <row r="847" customFormat="false" ht="15" hidden="false" customHeight="false" outlineLevel="0" collapsed="false">
      <c r="A847" s="12" t="s">
        <v>2306</v>
      </c>
      <c r="B847" s="12" t="s">
        <v>4643</v>
      </c>
      <c r="D847" s="12" t="s">
        <v>146</v>
      </c>
      <c r="E847" s="12" t="n">
        <v>1</v>
      </c>
      <c r="F847" s="12" t="s">
        <v>2404</v>
      </c>
      <c r="G847" s="12" t="s">
        <v>2405</v>
      </c>
      <c r="H847" s="13" t="n">
        <v>247292</v>
      </c>
      <c r="I847" s="17"/>
      <c r="J847" s="17"/>
      <c r="L847" s="12" t="s">
        <v>92</v>
      </c>
    </row>
    <row r="848" customFormat="false" ht="15" hidden="false" customHeight="false" outlineLevel="0" collapsed="false">
      <c r="A848" s="12" t="s">
        <v>2306</v>
      </c>
      <c r="B848" s="12" t="s">
        <v>4644</v>
      </c>
      <c r="C848" s="12" t="s">
        <v>4645</v>
      </c>
      <c r="D848" s="12" t="s">
        <v>90</v>
      </c>
      <c r="E848" s="12" t="n">
        <v>2</v>
      </c>
      <c r="F848" s="12" t="s">
        <v>2387</v>
      </c>
      <c r="G848" s="12" t="s">
        <v>2310</v>
      </c>
      <c r="H848" s="13" t="n">
        <v>430704</v>
      </c>
      <c r="I848" s="17"/>
      <c r="J848" s="13" t="n">
        <v>620</v>
      </c>
      <c r="K848" s="12" t="n">
        <v>8.2</v>
      </c>
      <c r="L848" s="12" t="s">
        <v>92</v>
      </c>
      <c r="M848" s="12" t="s">
        <v>4646</v>
      </c>
    </row>
    <row r="849" customFormat="false" ht="15" hidden="false" customHeight="false" outlineLevel="0" collapsed="false">
      <c r="A849" s="12" t="s">
        <v>2306</v>
      </c>
      <c r="B849" s="12" t="s">
        <v>4647</v>
      </c>
      <c r="C849" s="12" t="s">
        <v>4648</v>
      </c>
      <c r="D849" s="12" t="s">
        <v>500</v>
      </c>
      <c r="E849" s="12" t="n">
        <v>2</v>
      </c>
      <c r="F849" s="12" t="s">
        <v>2387</v>
      </c>
      <c r="G849" s="12" t="s">
        <v>2310</v>
      </c>
      <c r="H849" s="13" t="n">
        <v>509098</v>
      </c>
      <c r="I849" s="17"/>
      <c r="J849" s="13" t="n">
        <v>482</v>
      </c>
      <c r="K849" s="12" t="n">
        <v>5.9</v>
      </c>
      <c r="L849" s="12" t="s">
        <v>92</v>
      </c>
      <c r="M849" s="12" t="s">
        <v>4649</v>
      </c>
    </row>
    <row r="850" customFormat="false" ht="15" hidden="false" customHeight="false" outlineLevel="0" collapsed="false">
      <c r="A850" s="12" t="s">
        <v>2306</v>
      </c>
      <c r="B850" s="12" t="s">
        <v>4650</v>
      </c>
      <c r="D850" s="12" t="s">
        <v>207</v>
      </c>
      <c r="E850" s="12" t="n">
        <v>2</v>
      </c>
      <c r="F850" s="12" t="s">
        <v>2387</v>
      </c>
      <c r="G850" s="12" t="s">
        <v>2310</v>
      </c>
      <c r="H850" s="13" t="n">
        <v>559584</v>
      </c>
      <c r="I850" s="17"/>
      <c r="J850" s="13" t="n">
        <v>416</v>
      </c>
      <c r="K850" s="12" t="n">
        <v>5.3</v>
      </c>
      <c r="L850" s="12" t="s">
        <v>92</v>
      </c>
      <c r="M850" s="12" t="s">
        <v>4651</v>
      </c>
    </row>
    <row r="851" customFormat="false" ht="15" hidden="false" customHeight="false" outlineLevel="0" collapsed="false">
      <c r="A851" s="12" t="s">
        <v>2306</v>
      </c>
      <c r="C851" s="12" t="s">
        <v>4652</v>
      </c>
      <c r="D851" s="12" t="s">
        <v>251</v>
      </c>
      <c r="E851" s="12" t="n">
        <v>2</v>
      </c>
      <c r="F851" s="12" t="s">
        <v>2314</v>
      </c>
      <c r="G851" s="12" t="s">
        <v>2310</v>
      </c>
      <c r="H851" s="17"/>
      <c r="I851" s="17"/>
      <c r="J851" s="13" t="n">
        <v>851</v>
      </c>
      <c r="K851" s="12" t="n">
        <v>7.8</v>
      </c>
      <c r="L851" s="12" t="s">
        <v>169</v>
      </c>
      <c r="M851" s="12" t="s">
        <v>4653</v>
      </c>
    </row>
    <row r="852" customFormat="false" ht="15" hidden="false" customHeight="false" outlineLevel="0" collapsed="false">
      <c r="A852" s="12" t="s">
        <v>2306</v>
      </c>
      <c r="B852" s="12" t="s">
        <v>4654</v>
      </c>
      <c r="C852" s="12" t="s">
        <v>4655</v>
      </c>
      <c r="D852" s="12" t="s">
        <v>321</v>
      </c>
      <c r="E852" s="12" t="n">
        <v>2</v>
      </c>
      <c r="F852" s="12" t="s">
        <v>2387</v>
      </c>
      <c r="G852" s="12" t="s">
        <v>2310</v>
      </c>
      <c r="H852" s="13" t="n">
        <v>163666</v>
      </c>
      <c r="I852" s="17"/>
      <c r="J852" s="13" t="n">
        <v>3088</v>
      </c>
      <c r="K852" s="12" t="n">
        <v>7.1</v>
      </c>
      <c r="L852" s="12" t="s">
        <v>92</v>
      </c>
      <c r="M852" s="12" t="s">
        <v>4656</v>
      </c>
    </row>
    <row r="853" customFormat="false" ht="15" hidden="false" customHeight="false" outlineLevel="0" collapsed="false">
      <c r="A853" s="12" t="s">
        <v>2306</v>
      </c>
      <c r="B853" s="12" t="s">
        <v>4657</v>
      </c>
      <c r="C853" s="12" t="s">
        <v>4658</v>
      </c>
      <c r="D853" s="12" t="s">
        <v>358</v>
      </c>
      <c r="E853" s="12" t="n">
        <v>2</v>
      </c>
      <c r="F853" s="12" t="s">
        <v>2387</v>
      </c>
      <c r="G853" s="12" t="s">
        <v>2310</v>
      </c>
      <c r="H853" s="13" t="n">
        <v>48700</v>
      </c>
      <c r="I853" s="17"/>
      <c r="J853" s="13" t="n">
        <v>36156</v>
      </c>
      <c r="K853" s="12" t="n">
        <v>5.7</v>
      </c>
      <c r="L853" s="12" t="s">
        <v>92</v>
      </c>
      <c r="M853" s="12" t="s">
        <v>4659</v>
      </c>
    </row>
    <row r="854" customFormat="false" ht="15" hidden="false" customHeight="false" outlineLevel="0" collapsed="false">
      <c r="A854" s="12" t="s">
        <v>2306</v>
      </c>
      <c r="B854" s="12" t="s">
        <v>4660</v>
      </c>
      <c r="C854" s="12" t="s">
        <v>4661</v>
      </c>
      <c r="D854" s="12" t="s">
        <v>321</v>
      </c>
      <c r="E854" s="12" t="n">
        <v>2</v>
      </c>
      <c r="F854" s="12" t="s">
        <v>2387</v>
      </c>
      <c r="G854" s="12" t="s">
        <v>2310</v>
      </c>
      <c r="H854" s="13" t="n">
        <v>90498</v>
      </c>
      <c r="I854" s="17"/>
      <c r="J854" s="13" t="n">
        <v>10531</v>
      </c>
      <c r="K854" s="12" t="n">
        <v>7.8</v>
      </c>
      <c r="L854" s="12" t="s">
        <v>92</v>
      </c>
      <c r="M854" s="12" t="s">
        <v>4662</v>
      </c>
    </row>
    <row r="855" customFormat="false" ht="15" hidden="false" customHeight="false" outlineLevel="0" collapsed="false">
      <c r="A855" s="12" t="s">
        <v>2306</v>
      </c>
      <c r="B855" s="12" t="s">
        <v>4663</v>
      </c>
      <c r="C855" s="12" t="s">
        <v>4664</v>
      </c>
      <c r="D855" s="12" t="s">
        <v>146</v>
      </c>
      <c r="E855" s="12" t="n">
        <v>2</v>
      </c>
      <c r="F855" s="12" t="s">
        <v>2387</v>
      </c>
      <c r="G855" s="12" t="s">
        <v>2310</v>
      </c>
      <c r="H855" s="13" t="n">
        <v>173412</v>
      </c>
      <c r="I855" s="17"/>
      <c r="J855" s="13" t="n">
        <v>2313</v>
      </c>
      <c r="K855" s="12" t="n">
        <v>6.1</v>
      </c>
      <c r="L855" s="12" t="s">
        <v>92</v>
      </c>
      <c r="M855" s="12" t="s">
        <v>4665</v>
      </c>
    </row>
    <row r="856" customFormat="false" ht="15" hidden="false" customHeight="false" outlineLevel="0" collapsed="false">
      <c r="A856" s="12" t="s">
        <v>2306</v>
      </c>
      <c r="B856" s="12" t="s">
        <v>4666</v>
      </c>
      <c r="C856" s="12" t="s">
        <v>4667</v>
      </c>
      <c r="D856" s="12" t="s">
        <v>175</v>
      </c>
      <c r="E856" s="12" t="n">
        <v>2</v>
      </c>
      <c r="F856" s="12" t="s">
        <v>2387</v>
      </c>
      <c r="G856" s="12" t="s">
        <v>2310</v>
      </c>
      <c r="H856" s="13" t="n">
        <v>196858</v>
      </c>
      <c r="I856" s="17"/>
      <c r="J856" s="13" t="n">
        <v>1714</v>
      </c>
      <c r="K856" s="12" t="n">
        <v>7.2</v>
      </c>
      <c r="L856" s="12" t="s">
        <v>92</v>
      </c>
      <c r="M856" s="12" t="s">
        <v>4668</v>
      </c>
    </row>
    <row r="857" customFormat="false" ht="15" hidden="false" customHeight="false" outlineLevel="0" collapsed="false">
      <c r="A857" s="12" t="s">
        <v>2306</v>
      </c>
      <c r="B857" s="12" t="s">
        <v>4669</v>
      </c>
      <c r="C857" s="12" t="s">
        <v>4670</v>
      </c>
      <c r="D857" s="12" t="s">
        <v>152</v>
      </c>
      <c r="E857" s="12" t="n">
        <v>2</v>
      </c>
      <c r="F857" s="12" t="s">
        <v>2309</v>
      </c>
      <c r="G857" s="12" t="s">
        <v>2310</v>
      </c>
      <c r="H857" s="17"/>
      <c r="I857" s="17"/>
      <c r="J857" s="13" t="n">
        <v>815</v>
      </c>
      <c r="K857" s="12" t="n">
        <v>4.8</v>
      </c>
      <c r="L857" s="12" t="s">
        <v>128</v>
      </c>
      <c r="M857" s="12" t="s">
        <v>4671</v>
      </c>
    </row>
    <row r="858" customFormat="false" ht="15" hidden="false" customHeight="false" outlineLevel="0" collapsed="false">
      <c r="A858" s="12" t="s">
        <v>2306</v>
      </c>
      <c r="B858" s="12" t="s">
        <v>4672</v>
      </c>
      <c r="C858" s="12" t="s">
        <v>4673</v>
      </c>
      <c r="D858" s="12" t="s">
        <v>500</v>
      </c>
      <c r="E858" s="12" t="n">
        <v>2</v>
      </c>
      <c r="F858" s="12" t="s">
        <v>2387</v>
      </c>
      <c r="G858" s="12" t="s">
        <v>2310</v>
      </c>
      <c r="H858" s="13" t="n">
        <v>742340</v>
      </c>
      <c r="I858" s="17"/>
      <c r="J858" s="13" t="n">
        <v>206</v>
      </c>
      <c r="K858" s="12" t="n">
        <v>3.4</v>
      </c>
      <c r="L858" s="12" t="s">
        <v>92</v>
      </c>
      <c r="M858" s="12" t="s">
        <v>4674</v>
      </c>
    </row>
    <row r="859" customFormat="false" ht="15" hidden="false" customHeight="false" outlineLevel="0" collapsed="false">
      <c r="A859" s="12" t="s">
        <v>2306</v>
      </c>
      <c r="B859" s="12" t="s">
        <v>4675</v>
      </c>
      <c r="C859" s="12" t="s">
        <v>4676</v>
      </c>
      <c r="D859" s="12" t="s">
        <v>152</v>
      </c>
      <c r="E859" s="12" t="n">
        <v>2</v>
      </c>
      <c r="F859" s="12" t="s">
        <v>2387</v>
      </c>
      <c r="G859" s="12" t="s">
        <v>2310</v>
      </c>
      <c r="H859" s="13" t="n">
        <v>966021</v>
      </c>
      <c r="I859" s="17"/>
      <c r="J859" s="13" t="n">
        <v>79</v>
      </c>
      <c r="K859" s="12" t="n">
        <v>4.4</v>
      </c>
      <c r="L859" s="12" t="s">
        <v>92</v>
      </c>
      <c r="M859" s="12" t="s">
        <v>4677</v>
      </c>
    </row>
    <row r="860" customFormat="false" ht="15" hidden="false" customHeight="false" outlineLevel="0" collapsed="false">
      <c r="A860" s="12" t="s">
        <v>2306</v>
      </c>
      <c r="B860" s="12" t="s">
        <v>4678</v>
      </c>
      <c r="D860" s="12" t="s">
        <v>189</v>
      </c>
      <c r="E860" s="12" t="n">
        <v>2</v>
      </c>
      <c r="F860" s="12" t="s">
        <v>2387</v>
      </c>
      <c r="G860" s="12" t="s">
        <v>2310</v>
      </c>
      <c r="H860" s="13" t="n">
        <v>377670</v>
      </c>
      <c r="I860" s="17"/>
      <c r="J860" s="13" t="n">
        <v>628</v>
      </c>
      <c r="K860" s="12" t="n">
        <v>5.4</v>
      </c>
      <c r="L860" s="12" t="s">
        <v>92</v>
      </c>
      <c r="M860" s="12" t="s">
        <v>4679</v>
      </c>
    </row>
    <row r="861" customFormat="false" ht="15" hidden="false" customHeight="false" outlineLevel="0" collapsed="false">
      <c r="A861" s="12" t="s">
        <v>2306</v>
      </c>
      <c r="B861" s="12" t="s">
        <v>4680</v>
      </c>
      <c r="C861" s="12" t="s">
        <v>4681</v>
      </c>
      <c r="D861" s="12" t="s">
        <v>189</v>
      </c>
      <c r="E861" s="12" t="n">
        <v>2</v>
      </c>
      <c r="F861" s="12" t="s">
        <v>2387</v>
      </c>
      <c r="G861" s="12" t="s">
        <v>2310</v>
      </c>
      <c r="H861" s="13" t="n">
        <v>153995</v>
      </c>
      <c r="I861" s="17"/>
      <c r="J861" s="13" t="n">
        <v>2833</v>
      </c>
      <c r="K861" s="12" t="n">
        <v>7.6</v>
      </c>
      <c r="L861" s="12" t="s">
        <v>92</v>
      </c>
      <c r="M861" s="12" t="s">
        <v>4682</v>
      </c>
    </row>
    <row r="862" customFormat="false" ht="15" hidden="false" customHeight="false" outlineLevel="0" collapsed="false">
      <c r="A862" s="12" t="s">
        <v>2306</v>
      </c>
      <c r="B862" s="12" t="s">
        <v>4683</v>
      </c>
      <c r="C862" s="12" t="s">
        <v>4684</v>
      </c>
      <c r="D862" s="12" t="s">
        <v>175</v>
      </c>
      <c r="E862" s="12" t="n">
        <v>2</v>
      </c>
      <c r="F862" s="12" t="s">
        <v>2387</v>
      </c>
      <c r="G862" s="12" t="s">
        <v>2310</v>
      </c>
      <c r="H862" s="13" t="n">
        <v>212628</v>
      </c>
      <c r="I862" s="17"/>
      <c r="J862" s="13" t="n">
        <v>1286</v>
      </c>
      <c r="K862" s="12" t="n">
        <v>7.3</v>
      </c>
      <c r="L862" s="12" t="s">
        <v>92</v>
      </c>
      <c r="M862" s="12" t="s">
        <v>4685</v>
      </c>
    </row>
    <row r="863" customFormat="false" ht="15" hidden="false" customHeight="false" outlineLevel="0" collapsed="false">
      <c r="A863" s="12" t="s">
        <v>2306</v>
      </c>
      <c r="B863" s="12" t="s">
        <v>4686</v>
      </c>
      <c r="C863" s="12" t="s">
        <v>4687</v>
      </c>
      <c r="D863" s="12" t="s">
        <v>189</v>
      </c>
      <c r="E863" s="12" t="n">
        <v>2</v>
      </c>
      <c r="F863" s="12" t="s">
        <v>2387</v>
      </c>
      <c r="G863" s="12" t="s">
        <v>2310</v>
      </c>
      <c r="H863" s="13" t="n">
        <v>187015</v>
      </c>
      <c r="I863" s="17"/>
      <c r="J863" s="13" t="n">
        <v>1826</v>
      </c>
      <c r="K863" s="12" t="n">
        <v>6.7</v>
      </c>
      <c r="L863" s="12" t="s">
        <v>92</v>
      </c>
      <c r="M863" s="12" t="s">
        <v>4688</v>
      </c>
    </row>
    <row r="864" customFormat="false" ht="15" hidden="false" customHeight="false" outlineLevel="0" collapsed="false">
      <c r="A864" s="12" t="s">
        <v>2306</v>
      </c>
      <c r="B864" s="12" t="s">
        <v>4689</v>
      </c>
      <c r="D864" s="12" t="s">
        <v>183</v>
      </c>
      <c r="E864" s="12" t="n">
        <v>2</v>
      </c>
      <c r="F864" s="12" t="s">
        <v>2387</v>
      </c>
      <c r="G864" s="12" t="s">
        <v>2310</v>
      </c>
      <c r="H864" s="13" t="n">
        <v>545829</v>
      </c>
      <c r="I864" s="17"/>
      <c r="J864" s="13" t="n">
        <v>310</v>
      </c>
      <c r="K864" s="12" t="n">
        <v>5.2</v>
      </c>
      <c r="L864" s="12" t="s">
        <v>92</v>
      </c>
      <c r="M864" s="12" t="s">
        <v>4690</v>
      </c>
    </row>
    <row r="865" customFormat="false" ht="15" hidden="false" customHeight="false" outlineLevel="0" collapsed="false">
      <c r="A865" s="12" t="s">
        <v>2306</v>
      </c>
      <c r="B865" s="12" t="s">
        <v>4691</v>
      </c>
      <c r="D865" s="12" t="s">
        <v>207</v>
      </c>
      <c r="E865" s="12" t="n">
        <v>2</v>
      </c>
      <c r="F865" s="12" t="s">
        <v>2387</v>
      </c>
      <c r="G865" s="12" t="s">
        <v>2310</v>
      </c>
      <c r="H865" s="13" t="n">
        <v>487457</v>
      </c>
      <c r="I865" s="17"/>
      <c r="J865" s="13" t="n">
        <v>344</v>
      </c>
      <c r="K865" s="12" t="n">
        <v>5.8</v>
      </c>
      <c r="L865" s="12" t="s">
        <v>92</v>
      </c>
      <c r="M865" s="12" t="s">
        <v>4692</v>
      </c>
    </row>
    <row r="866" customFormat="false" ht="15" hidden="false" customHeight="false" outlineLevel="0" collapsed="false">
      <c r="A866" s="12" t="s">
        <v>2306</v>
      </c>
      <c r="B866" s="12" t="s">
        <v>4693</v>
      </c>
      <c r="C866" s="12" t="s">
        <v>4694</v>
      </c>
      <c r="D866" s="12" t="s">
        <v>321</v>
      </c>
      <c r="E866" s="12" t="n">
        <v>2</v>
      </c>
      <c r="F866" s="12" t="s">
        <v>2387</v>
      </c>
      <c r="G866" s="12" t="s">
        <v>2310</v>
      </c>
      <c r="H866" s="13" t="n">
        <v>647555</v>
      </c>
      <c r="I866" s="17"/>
      <c r="J866" s="13" t="n">
        <v>213</v>
      </c>
      <c r="K866" s="12" t="n">
        <v>2.6</v>
      </c>
      <c r="L866" s="12" t="s">
        <v>92</v>
      </c>
      <c r="M866" s="12" t="s">
        <v>4695</v>
      </c>
    </row>
    <row r="867" customFormat="false" ht="15" hidden="false" customHeight="false" outlineLevel="0" collapsed="false">
      <c r="A867" s="12" t="s">
        <v>2306</v>
      </c>
      <c r="B867" s="12" t="s">
        <v>4696</v>
      </c>
      <c r="D867" s="12" t="s">
        <v>321</v>
      </c>
      <c r="E867" s="12" t="n">
        <v>2</v>
      </c>
      <c r="F867" s="12" t="s">
        <v>2387</v>
      </c>
      <c r="G867" s="12" t="s">
        <v>2310</v>
      </c>
      <c r="H867" s="13" t="n">
        <v>295470</v>
      </c>
      <c r="I867" s="17"/>
      <c r="J867" s="13" t="n">
        <v>755</v>
      </c>
      <c r="K867" s="12" t="n">
        <v>7</v>
      </c>
      <c r="L867" s="12" t="s">
        <v>92</v>
      </c>
      <c r="M867" s="12" t="s">
        <v>4697</v>
      </c>
    </row>
    <row r="868" customFormat="false" ht="15" hidden="false" customHeight="false" outlineLevel="0" collapsed="false">
      <c r="A868" s="12" t="s">
        <v>2306</v>
      </c>
      <c r="B868" s="12" t="s">
        <v>4698</v>
      </c>
      <c r="C868" s="12" t="s">
        <v>4699</v>
      </c>
      <c r="D868" s="12" t="s">
        <v>500</v>
      </c>
      <c r="E868" s="12" t="n">
        <v>2</v>
      </c>
      <c r="F868" s="12" t="s">
        <v>2387</v>
      </c>
      <c r="G868" s="12" t="s">
        <v>2310</v>
      </c>
      <c r="H868" s="13" t="n">
        <v>596624</v>
      </c>
      <c r="I868" s="17"/>
      <c r="J868" s="13" t="n">
        <v>223</v>
      </c>
      <c r="K868" s="12" t="n">
        <v>4.3</v>
      </c>
      <c r="L868" s="12" t="s">
        <v>92</v>
      </c>
      <c r="M868" s="12" t="s">
        <v>4700</v>
      </c>
    </row>
    <row r="869" customFormat="false" ht="15" hidden="false" customHeight="false" outlineLevel="0" collapsed="false">
      <c r="A869" s="12" t="s">
        <v>2306</v>
      </c>
      <c r="B869" s="12" t="s">
        <v>4701</v>
      </c>
      <c r="C869" s="12" t="s">
        <v>4702</v>
      </c>
      <c r="D869" s="12" t="s">
        <v>134</v>
      </c>
      <c r="E869" s="12" t="n">
        <v>2</v>
      </c>
      <c r="F869" s="12" t="s">
        <v>2387</v>
      </c>
      <c r="G869" s="12" t="s">
        <v>2310</v>
      </c>
      <c r="H869" s="13" t="n">
        <v>69413</v>
      </c>
      <c r="I869" s="17"/>
      <c r="J869" s="13" t="n">
        <v>9161</v>
      </c>
      <c r="K869" s="12" t="n">
        <v>6.6</v>
      </c>
      <c r="L869" s="12" t="s">
        <v>92</v>
      </c>
      <c r="M869" s="12" t="s">
        <v>4703</v>
      </c>
    </row>
    <row r="870" customFormat="false" ht="15" hidden="false" customHeight="false" outlineLevel="0" collapsed="false">
      <c r="A870" s="12" t="s">
        <v>2306</v>
      </c>
      <c r="B870" s="12" t="s">
        <v>4704</v>
      </c>
      <c r="D870" s="12" t="s">
        <v>118</v>
      </c>
      <c r="E870" s="12" t="n">
        <v>2</v>
      </c>
      <c r="F870" s="12" t="s">
        <v>2387</v>
      </c>
      <c r="G870" s="12" t="s">
        <v>2310</v>
      </c>
      <c r="H870" s="13" t="n">
        <v>515843</v>
      </c>
      <c r="I870" s="17"/>
      <c r="J870" s="13" t="n">
        <v>258</v>
      </c>
      <c r="K870" s="12" t="n">
        <v>5.4</v>
      </c>
      <c r="L870" s="12" t="s">
        <v>92</v>
      </c>
      <c r="M870" s="12" t="s">
        <v>4705</v>
      </c>
    </row>
    <row r="871" customFormat="false" ht="15" hidden="false" customHeight="false" outlineLevel="0" collapsed="false">
      <c r="A871" s="12" t="s">
        <v>2306</v>
      </c>
      <c r="B871" s="12" t="s">
        <v>4706</v>
      </c>
      <c r="D871" s="12" t="s">
        <v>183</v>
      </c>
      <c r="E871" s="12" t="n">
        <v>2</v>
      </c>
      <c r="F871" s="12" t="s">
        <v>2387</v>
      </c>
      <c r="G871" s="12" t="s">
        <v>2310</v>
      </c>
      <c r="H871" s="13" t="n">
        <v>439410</v>
      </c>
      <c r="I871" s="17"/>
      <c r="J871" s="13" t="n">
        <v>338</v>
      </c>
      <c r="K871" s="12" t="n">
        <v>5.5</v>
      </c>
      <c r="L871" s="12" t="s">
        <v>92</v>
      </c>
      <c r="M871" s="12" t="s">
        <v>4707</v>
      </c>
    </row>
    <row r="872" customFormat="false" ht="15" hidden="false" customHeight="false" outlineLevel="0" collapsed="false">
      <c r="A872" s="12" t="s">
        <v>2306</v>
      </c>
      <c r="B872" s="12" t="s">
        <v>4708</v>
      </c>
      <c r="D872" s="12" t="s">
        <v>202</v>
      </c>
      <c r="E872" s="12" t="n">
        <v>2</v>
      </c>
      <c r="F872" s="12" t="s">
        <v>2387</v>
      </c>
      <c r="G872" s="12" t="s">
        <v>2310</v>
      </c>
      <c r="H872" s="13" t="n">
        <v>457523</v>
      </c>
      <c r="I872" s="17"/>
      <c r="J872" s="13" t="n">
        <v>313</v>
      </c>
      <c r="K872" s="12" t="n">
        <v>5.6</v>
      </c>
      <c r="L872" s="12" t="s">
        <v>92</v>
      </c>
      <c r="M872" s="12" t="s">
        <v>4709</v>
      </c>
    </row>
    <row r="873" customFormat="false" ht="15" hidden="false" customHeight="false" outlineLevel="0" collapsed="false">
      <c r="A873" s="12" t="s">
        <v>2306</v>
      </c>
      <c r="B873" s="12" t="s">
        <v>4710</v>
      </c>
      <c r="C873" s="12" t="s">
        <v>4711</v>
      </c>
      <c r="D873" s="12" t="s">
        <v>134</v>
      </c>
      <c r="E873" s="12" t="n">
        <v>2</v>
      </c>
      <c r="F873" s="12" t="s">
        <v>2387</v>
      </c>
      <c r="G873" s="12" t="s">
        <v>2310</v>
      </c>
      <c r="H873" s="13" t="n">
        <v>94588</v>
      </c>
      <c r="I873" s="17"/>
      <c r="J873" s="13" t="n">
        <v>3198</v>
      </c>
      <c r="K873" s="12" t="n">
        <v>6.6</v>
      </c>
      <c r="L873" s="12" t="s">
        <v>92</v>
      </c>
      <c r="M873" s="12" t="s">
        <v>4712</v>
      </c>
    </row>
    <row r="874" customFormat="false" ht="15" hidden="false" customHeight="false" outlineLevel="0" collapsed="false">
      <c r="A874" s="12" t="s">
        <v>2306</v>
      </c>
      <c r="B874" s="12" t="s">
        <v>4713</v>
      </c>
      <c r="C874" s="12" t="s">
        <v>4714</v>
      </c>
      <c r="D874" s="12" t="s">
        <v>134</v>
      </c>
      <c r="E874" s="12" t="n">
        <v>2</v>
      </c>
      <c r="F874" s="12" t="s">
        <v>2387</v>
      </c>
      <c r="G874" s="12" t="s">
        <v>2310</v>
      </c>
      <c r="H874" s="13" t="n">
        <v>316077</v>
      </c>
      <c r="I874" s="17"/>
      <c r="J874" s="13" t="n">
        <v>573</v>
      </c>
      <c r="K874" s="12" t="n">
        <v>6.3</v>
      </c>
      <c r="L874" s="12" t="s">
        <v>92</v>
      </c>
      <c r="M874" s="12" t="s">
        <v>4715</v>
      </c>
    </row>
    <row r="875" customFormat="false" ht="15" hidden="false" customHeight="false" outlineLevel="0" collapsed="false">
      <c r="A875" s="12" t="s">
        <v>2306</v>
      </c>
      <c r="B875" s="12" t="s">
        <v>4716</v>
      </c>
      <c r="C875" s="12" t="s">
        <v>4717</v>
      </c>
      <c r="D875" s="12" t="s">
        <v>321</v>
      </c>
      <c r="E875" s="12" t="n">
        <v>2</v>
      </c>
      <c r="F875" s="12" t="s">
        <v>2387</v>
      </c>
      <c r="G875" s="12" t="s">
        <v>2310</v>
      </c>
      <c r="H875" s="13" t="n">
        <v>443143</v>
      </c>
      <c r="I875" s="17"/>
      <c r="J875" s="13" t="n">
        <v>309</v>
      </c>
      <c r="K875" s="12" t="n">
        <v>5.5</v>
      </c>
      <c r="L875" s="12" t="s">
        <v>92</v>
      </c>
      <c r="M875" s="12" t="s">
        <v>4718</v>
      </c>
    </row>
    <row r="876" customFormat="false" ht="15" hidden="false" customHeight="false" outlineLevel="0" collapsed="false">
      <c r="A876" s="12" t="s">
        <v>2306</v>
      </c>
      <c r="B876" s="12" t="s">
        <v>4719</v>
      </c>
      <c r="D876" s="12" t="s">
        <v>111</v>
      </c>
      <c r="E876" s="12" t="n">
        <v>1</v>
      </c>
      <c r="F876" s="12" t="s">
        <v>2404</v>
      </c>
      <c r="G876" s="12" t="s">
        <v>2405</v>
      </c>
      <c r="H876" s="13" t="n">
        <v>181614</v>
      </c>
      <c r="I876" s="17"/>
      <c r="J876" s="17"/>
      <c r="L876" s="12" t="s">
        <v>92</v>
      </c>
    </row>
    <row r="877" customFormat="false" ht="15" hidden="false" customHeight="false" outlineLevel="0" collapsed="false">
      <c r="A877" s="12" t="s">
        <v>2306</v>
      </c>
      <c r="B877" s="12" t="s">
        <v>4720</v>
      </c>
      <c r="C877" s="12" t="s">
        <v>4721</v>
      </c>
      <c r="D877" s="12" t="s">
        <v>207</v>
      </c>
      <c r="E877" s="12" t="n">
        <v>2</v>
      </c>
      <c r="F877" s="12" t="s">
        <v>2387</v>
      </c>
      <c r="G877" s="12" t="s">
        <v>2310</v>
      </c>
      <c r="H877" s="13" t="n">
        <v>314242</v>
      </c>
      <c r="I877" s="17"/>
      <c r="J877" s="13" t="n">
        <v>541</v>
      </c>
      <c r="K877" s="12" t="n">
        <v>5.6</v>
      </c>
      <c r="L877" s="12" t="s">
        <v>92</v>
      </c>
      <c r="M877" s="12" t="s">
        <v>4722</v>
      </c>
    </row>
    <row r="878" customFormat="false" ht="15" hidden="false" customHeight="false" outlineLevel="0" collapsed="false">
      <c r="A878" s="12" t="s">
        <v>2306</v>
      </c>
      <c r="B878" s="12" t="s">
        <v>4723</v>
      </c>
      <c r="C878" s="12" t="s">
        <v>4724</v>
      </c>
      <c r="D878" s="12" t="s">
        <v>358</v>
      </c>
      <c r="E878" s="12" t="n">
        <v>2</v>
      </c>
      <c r="F878" s="12" t="s">
        <v>2387</v>
      </c>
      <c r="G878" s="12" t="s">
        <v>2310</v>
      </c>
      <c r="H878" s="13" t="n">
        <v>272862</v>
      </c>
      <c r="I878" s="17"/>
      <c r="J878" s="13" t="n">
        <v>618</v>
      </c>
      <c r="K878" s="12" t="n">
        <v>6.3</v>
      </c>
      <c r="L878" s="12" t="s">
        <v>92</v>
      </c>
      <c r="M878" s="12" t="s">
        <v>4725</v>
      </c>
    </row>
    <row r="879" customFormat="false" ht="15" hidden="false" customHeight="false" outlineLevel="0" collapsed="false">
      <c r="A879" s="12" t="s">
        <v>2306</v>
      </c>
      <c r="B879" s="12" t="s">
        <v>4726</v>
      </c>
      <c r="C879" s="12" t="s">
        <v>4727</v>
      </c>
      <c r="D879" s="12" t="s">
        <v>321</v>
      </c>
      <c r="E879" s="12" t="n">
        <v>2</v>
      </c>
      <c r="F879" s="12" t="s">
        <v>2387</v>
      </c>
      <c r="G879" s="12" t="s">
        <v>2310</v>
      </c>
      <c r="H879" s="13" t="n">
        <v>432195</v>
      </c>
      <c r="I879" s="17"/>
      <c r="J879" s="13" t="n">
        <v>282</v>
      </c>
      <c r="K879" s="12" t="n">
        <v>4.6</v>
      </c>
      <c r="L879" s="12" t="s">
        <v>92</v>
      </c>
      <c r="M879" s="12" t="s">
        <v>4728</v>
      </c>
    </row>
    <row r="880" customFormat="false" ht="15" hidden="false" customHeight="false" outlineLevel="0" collapsed="false">
      <c r="A880" s="12" t="s">
        <v>2306</v>
      </c>
      <c r="B880" s="12" t="s">
        <v>4729</v>
      </c>
      <c r="C880" s="12" t="s">
        <v>4730</v>
      </c>
      <c r="D880" s="12" t="s">
        <v>140</v>
      </c>
      <c r="E880" s="12" t="n">
        <v>2</v>
      </c>
      <c r="F880" s="12" t="s">
        <v>2387</v>
      </c>
      <c r="G880" s="12" t="s">
        <v>2310</v>
      </c>
      <c r="H880" s="13" t="n">
        <v>170471</v>
      </c>
      <c r="I880" s="17"/>
      <c r="J880" s="13" t="n">
        <v>974</v>
      </c>
      <c r="K880" s="12" t="n">
        <v>7.9</v>
      </c>
      <c r="L880" s="12" t="s">
        <v>92</v>
      </c>
      <c r="M880" s="12" t="s">
        <v>4731</v>
      </c>
    </row>
    <row r="881" customFormat="false" ht="15" hidden="false" customHeight="false" outlineLevel="0" collapsed="false">
      <c r="A881" s="12" t="s">
        <v>2306</v>
      </c>
      <c r="B881" s="12" t="s">
        <v>4732</v>
      </c>
      <c r="C881" s="12" t="s">
        <v>4733</v>
      </c>
      <c r="D881" s="12" t="s">
        <v>118</v>
      </c>
      <c r="E881" s="12" t="n">
        <v>2</v>
      </c>
      <c r="F881" s="12" t="s">
        <v>2387</v>
      </c>
      <c r="G881" s="12" t="s">
        <v>2310</v>
      </c>
      <c r="H881" s="13" t="n">
        <v>263868</v>
      </c>
      <c r="I881" s="17"/>
      <c r="J881" s="13" t="n">
        <v>599</v>
      </c>
      <c r="K881" s="12" t="n">
        <v>7.2</v>
      </c>
      <c r="L881" s="12" t="s">
        <v>92</v>
      </c>
      <c r="M881" s="12" t="s">
        <v>4734</v>
      </c>
    </row>
    <row r="882" customFormat="false" ht="15" hidden="false" customHeight="false" outlineLevel="0" collapsed="false">
      <c r="A882" s="12" t="s">
        <v>2306</v>
      </c>
      <c r="B882" s="12" t="s">
        <v>4735</v>
      </c>
      <c r="C882" s="12" t="s">
        <v>4736</v>
      </c>
      <c r="D882" s="12" t="s">
        <v>207</v>
      </c>
      <c r="E882" s="12" t="n">
        <v>2</v>
      </c>
      <c r="F882" s="12" t="s">
        <v>2387</v>
      </c>
      <c r="G882" s="12" t="s">
        <v>2310</v>
      </c>
      <c r="H882" s="13" t="n">
        <v>241184</v>
      </c>
      <c r="I882" s="17"/>
      <c r="J882" s="13" t="n">
        <v>617</v>
      </c>
      <c r="K882" s="12" t="n">
        <v>5.4</v>
      </c>
      <c r="L882" s="12" t="s">
        <v>92</v>
      </c>
      <c r="M882" s="12" t="s">
        <v>4737</v>
      </c>
    </row>
    <row r="883" customFormat="false" ht="15" hidden="false" customHeight="false" outlineLevel="0" collapsed="false">
      <c r="A883" s="12" t="s">
        <v>2306</v>
      </c>
      <c r="B883" s="12" t="s">
        <v>4738</v>
      </c>
      <c r="C883" s="12" t="s">
        <v>4739</v>
      </c>
      <c r="D883" s="12" t="s">
        <v>140</v>
      </c>
      <c r="E883" s="12" t="n">
        <v>2</v>
      </c>
      <c r="F883" s="12" t="s">
        <v>2387</v>
      </c>
      <c r="G883" s="12" t="s">
        <v>2310</v>
      </c>
      <c r="H883" s="13" t="n">
        <v>370624</v>
      </c>
      <c r="I883" s="17"/>
      <c r="J883" s="13" t="n">
        <v>302</v>
      </c>
      <c r="K883" s="12" t="n">
        <v>5.5</v>
      </c>
      <c r="L883" s="12" t="s">
        <v>92</v>
      </c>
      <c r="M883" s="12" t="s">
        <v>4740</v>
      </c>
    </row>
    <row r="884" customFormat="false" ht="15" hidden="false" customHeight="false" outlineLevel="0" collapsed="false">
      <c r="A884" s="12" t="s">
        <v>2306</v>
      </c>
      <c r="B884" s="12" t="s">
        <v>4741</v>
      </c>
      <c r="C884" s="12" t="s">
        <v>4742</v>
      </c>
      <c r="D884" s="12" t="s">
        <v>321</v>
      </c>
      <c r="E884" s="12" t="n">
        <v>2</v>
      </c>
      <c r="F884" s="12" t="s">
        <v>2387</v>
      </c>
      <c r="G884" s="12" t="s">
        <v>2310</v>
      </c>
      <c r="H884" s="13" t="n">
        <v>66770</v>
      </c>
      <c r="I884" s="17"/>
      <c r="J884" s="13" t="n">
        <v>3005</v>
      </c>
      <c r="K884" s="12" t="n">
        <v>7.2</v>
      </c>
      <c r="L884" s="12" t="s">
        <v>92</v>
      </c>
      <c r="M884" s="12" t="s">
        <v>4743</v>
      </c>
    </row>
    <row r="885" customFormat="false" ht="15" hidden="false" customHeight="false" outlineLevel="0" collapsed="false">
      <c r="A885" s="12" t="s">
        <v>2306</v>
      </c>
      <c r="B885" s="12" t="s">
        <v>4744</v>
      </c>
      <c r="D885" s="12" t="s">
        <v>175</v>
      </c>
      <c r="E885" s="12" t="n">
        <v>2</v>
      </c>
      <c r="F885" s="12" t="s">
        <v>2387</v>
      </c>
      <c r="G885" s="12" t="s">
        <v>2310</v>
      </c>
      <c r="H885" s="13" t="n">
        <v>161458</v>
      </c>
      <c r="I885" s="17"/>
      <c r="J885" s="13" t="n">
        <v>780</v>
      </c>
      <c r="K885" s="12" t="n">
        <v>3.8</v>
      </c>
      <c r="L885" s="12" t="s">
        <v>92</v>
      </c>
      <c r="M885" s="12" t="s">
        <v>4745</v>
      </c>
    </row>
    <row r="886" customFormat="false" ht="15" hidden="false" customHeight="false" outlineLevel="0" collapsed="false">
      <c r="A886" s="12" t="s">
        <v>2306</v>
      </c>
      <c r="B886" s="12" t="s">
        <v>4746</v>
      </c>
      <c r="C886" s="12" t="s">
        <v>4747</v>
      </c>
      <c r="D886" s="12" t="s">
        <v>158</v>
      </c>
      <c r="E886" s="12" t="n">
        <v>2</v>
      </c>
      <c r="F886" s="12" t="s">
        <v>2387</v>
      </c>
      <c r="G886" s="12" t="s">
        <v>2310</v>
      </c>
      <c r="H886" s="13" t="n">
        <v>144563</v>
      </c>
      <c r="I886" s="17"/>
      <c r="J886" s="13" t="n">
        <v>837</v>
      </c>
      <c r="K886" s="12" t="n">
        <v>6.7</v>
      </c>
      <c r="L886" s="12" t="s">
        <v>92</v>
      </c>
      <c r="M886" s="12" t="s">
        <v>4748</v>
      </c>
    </row>
    <row r="887" customFormat="false" ht="15" hidden="false" customHeight="false" outlineLevel="0" collapsed="false">
      <c r="A887" s="12" t="s">
        <v>2306</v>
      </c>
      <c r="B887" s="12" t="s">
        <v>4749</v>
      </c>
      <c r="C887" s="12" t="s">
        <v>4750</v>
      </c>
      <c r="D887" s="12" t="s">
        <v>175</v>
      </c>
      <c r="E887" s="12" t="n">
        <v>2</v>
      </c>
      <c r="F887" s="12" t="s">
        <v>2387</v>
      </c>
      <c r="G887" s="12" t="s">
        <v>2310</v>
      </c>
      <c r="H887" s="13" t="n">
        <v>153193</v>
      </c>
      <c r="I887" s="17"/>
      <c r="J887" s="13" t="n">
        <v>791</v>
      </c>
      <c r="K887" s="12" t="n">
        <v>6.3</v>
      </c>
      <c r="L887" s="12" t="s">
        <v>92</v>
      </c>
      <c r="M887" s="12" t="s">
        <v>4751</v>
      </c>
    </row>
    <row r="888" customFormat="false" ht="15" hidden="false" customHeight="false" outlineLevel="0" collapsed="false">
      <c r="A888" s="12" t="s">
        <v>2306</v>
      </c>
      <c r="B888" s="12" t="s">
        <v>4752</v>
      </c>
      <c r="C888" s="12" t="s">
        <v>4753</v>
      </c>
      <c r="D888" s="12" t="s">
        <v>321</v>
      </c>
      <c r="E888" s="12" t="n">
        <v>2</v>
      </c>
      <c r="F888" s="12" t="s">
        <v>2387</v>
      </c>
      <c r="G888" s="12" t="s">
        <v>2310</v>
      </c>
      <c r="H888" s="13" t="n">
        <v>205893</v>
      </c>
      <c r="I888" s="17"/>
      <c r="J888" s="13" t="n">
        <v>554</v>
      </c>
      <c r="K888" s="12" t="n">
        <v>7.2</v>
      </c>
      <c r="L888" s="12" t="s">
        <v>92</v>
      </c>
      <c r="M888" s="12" t="s">
        <v>4754</v>
      </c>
    </row>
    <row r="889" customFormat="false" ht="15" hidden="false" customHeight="false" outlineLevel="0" collapsed="false">
      <c r="A889" s="12" t="s">
        <v>2306</v>
      </c>
      <c r="B889" s="12" t="s">
        <v>4755</v>
      </c>
      <c r="D889" s="12" t="s">
        <v>140</v>
      </c>
      <c r="E889" s="12" t="n">
        <v>2</v>
      </c>
      <c r="F889" s="12" t="s">
        <v>2387</v>
      </c>
      <c r="G889" s="12" t="s">
        <v>2310</v>
      </c>
      <c r="H889" s="13" t="n">
        <v>91798</v>
      </c>
      <c r="I889" s="17"/>
      <c r="J889" s="13" t="n">
        <v>1540</v>
      </c>
      <c r="K889" s="12" t="n">
        <v>6.9</v>
      </c>
      <c r="L889" s="12" t="s">
        <v>92</v>
      </c>
      <c r="M889" s="12" t="s">
        <v>4756</v>
      </c>
    </row>
    <row r="890" customFormat="false" ht="15" hidden="false" customHeight="false" outlineLevel="0" collapsed="false">
      <c r="A890" s="12" t="s">
        <v>2306</v>
      </c>
      <c r="B890" s="12" t="s">
        <v>4757</v>
      </c>
      <c r="C890" s="12" t="s">
        <v>4758</v>
      </c>
      <c r="D890" s="12" t="s">
        <v>111</v>
      </c>
      <c r="E890" s="12" t="n">
        <v>2</v>
      </c>
      <c r="F890" s="12" t="s">
        <v>2387</v>
      </c>
      <c r="G890" s="12" t="s">
        <v>2310</v>
      </c>
      <c r="H890" s="13" t="n">
        <v>478114</v>
      </c>
      <c r="I890" s="17"/>
      <c r="J890" s="13" t="n">
        <v>137</v>
      </c>
      <c r="K890" s="12" t="n">
        <v>4</v>
      </c>
      <c r="L890" s="12" t="s">
        <v>92</v>
      </c>
      <c r="M890" s="12" t="s">
        <v>4759</v>
      </c>
    </row>
    <row r="891" customFormat="false" ht="15" hidden="false" customHeight="false" outlineLevel="0" collapsed="false">
      <c r="A891" s="12" t="s">
        <v>2306</v>
      </c>
      <c r="C891" s="12" t="s">
        <v>4760</v>
      </c>
      <c r="D891" s="12" t="s">
        <v>1103</v>
      </c>
      <c r="E891" s="12" t="n">
        <v>2</v>
      </c>
      <c r="F891" s="12" t="s">
        <v>2563</v>
      </c>
      <c r="G891" s="12" t="s">
        <v>2310</v>
      </c>
      <c r="H891" s="17"/>
      <c r="I891" s="13" t="n">
        <v>433241288</v>
      </c>
      <c r="J891" s="13" t="n">
        <v>1277</v>
      </c>
      <c r="K891" s="12" t="n">
        <v>6.4</v>
      </c>
      <c r="L891" s="12" t="s">
        <v>92</v>
      </c>
      <c r="M891" s="12" t="s">
        <v>4761</v>
      </c>
    </row>
    <row r="892" customFormat="false" ht="15" hidden="false" customHeight="false" outlineLevel="0" collapsed="false">
      <c r="A892" s="12" t="s">
        <v>2306</v>
      </c>
      <c r="B892" s="12" t="s">
        <v>4762</v>
      </c>
      <c r="D892" s="12" t="s">
        <v>251</v>
      </c>
      <c r="E892" s="12" t="n">
        <v>2</v>
      </c>
      <c r="F892" s="12" t="s">
        <v>2387</v>
      </c>
      <c r="G892" s="12" t="s">
        <v>2310</v>
      </c>
      <c r="H892" s="13" t="n">
        <v>51741</v>
      </c>
      <c r="I892" s="17"/>
      <c r="J892" s="13" t="n">
        <v>3042</v>
      </c>
      <c r="K892" s="12" t="n">
        <v>6.5</v>
      </c>
      <c r="L892" s="12" t="s">
        <v>92</v>
      </c>
      <c r="M892" s="12" t="s">
        <v>4763</v>
      </c>
    </row>
    <row r="893" customFormat="false" ht="15" hidden="false" customHeight="false" outlineLevel="0" collapsed="false">
      <c r="A893" s="12" t="s">
        <v>2306</v>
      </c>
      <c r="B893" s="12" t="s">
        <v>4764</v>
      </c>
      <c r="D893" s="12" t="s">
        <v>202</v>
      </c>
      <c r="E893" s="12" t="n">
        <v>2</v>
      </c>
      <c r="F893" s="12" t="s">
        <v>2387</v>
      </c>
      <c r="G893" s="12" t="s">
        <v>2310</v>
      </c>
      <c r="H893" s="13" t="n">
        <v>360808</v>
      </c>
      <c r="I893" s="17"/>
      <c r="J893" s="13" t="n">
        <v>232</v>
      </c>
      <c r="K893" s="12" t="n">
        <v>3.6</v>
      </c>
      <c r="L893" s="12" t="s">
        <v>92</v>
      </c>
      <c r="M893" s="12" t="s">
        <v>4765</v>
      </c>
    </row>
    <row r="894" customFormat="false" ht="15" hidden="false" customHeight="false" outlineLevel="0" collapsed="false">
      <c r="A894" s="12" t="s">
        <v>2306</v>
      </c>
      <c r="B894" s="12" t="s">
        <v>4766</v>
      </c>
      <c r="D894" s="12" t="s">
        <v>140</v>
      </c>
      <c r="E894" s="12" t="n">
        <v>2</v>
      </c>
      <c r="F894" s="12" t="s">
        <v>2387</v>
      </c>
      <c r="G894" s="12" t="s">
        <v>2310</v>
      </c>
      <c r="H894" s="13" t="n">
        <v>257664</v>
      </c>
      <c r="I894" s="17"/>
      <c r="J894" s="13" t="n">
        <v>366</v>
      </c>
      <c r="K894" s="12" t="n">
        <v>3.6</v>
      </c>
      <c r="L894" s="12" t="s">
        <v>92</v>
      </c>
      <c r="M894" s="12" t="s">
        <v>4767</v>
      </c>
    </row>
    <row r="895" customFormat="false" ht="15" hidden="false" customHeight="false" outlineLevel="0" collapsed="false">
      <c r="A895" s="12" t="s">
        <v>2306</v>
      </c>
      <c r="B895" s="12" t="s">
        <v>4768</v>
      </c>
      <c r="C895" s="12" t="s">
        <v>4769</v>
      </c>
      <c r="D895" s="12" t="s">
        <v>321</v>
      </c>
      <c r="E895" s="12" t="n">
        <v>2</v>
      </c>
      <c r="F895" s="12" t="s">
        <v>2387</v>
      </c>
      <c r="G895" s="12" t="s">
        <v>2310</v>
      </c>
      <c r="H895" s="13" t="n">
        <v>345964</v>
      </c>
      <c r="I895" s="17"/>
      <c r="J895" s="13" t="n">
        <v>247</v>
      </c>
      <c r="K895" s="12" t="n">
        <v>4.4</v>
      </c>
      <c r="L895" s="12" t="s">
        <v>92</v>
      </c>
      <c r="M895" s="12" t="s">
        <v>4770</v>
      </c>
    </row>
    <row r="896" customFormat="false" ht="15" hidden="false" customHeight="false" outlineLevel="0" collapsed="false">
      <c r="A896" s="12" t="s">
        <v>2306</v>
      </c>
      <c r="B896" s="12" t="s">
        <v>4771</v>
      </c>
      <c r="C896" s="12" t="s">
        <v>4772</v>
      </c>
      <c r="D896" s="12" t="s">
        <v>158</v>
      </c>
      <c r="E896" s="12" t="n">
        <v>2</v>
      </c>
      <c r="F896" s="12" t="s">
        <v>2387</v>
      </c>
      <c r="G896" s="12" t="s">
        <v>2310</v>
      </c>
      <c r="H896" s="13" t="n">
        <v>319650</v>
      </c>
      <c r="I896" s="17"/>
      <c r="J896" s="13" t="n">
        <v>279</v>
      </c>
      <c r="K896" s="12" t="n">
        <v>4.8</v>
      </c>
      <c r="L896" s="12" t="s">
        <v>92</v>
      </c>
      <c r="M896" s="12" t="s">
        <v>4773</v>
      </c>
    </row>
    <row r="897" customFormat="false" ht="15" hidden="false" customHeight="false" outlineLevel="0" collapsed="false">
      <c r="A897" s="12" t="s">
        <v>2306</v>
      </c>
      <c r="B897" s="12" t="s">
        <v>4774</v>
      </c>
      <c r="C897" s="12" t="s">
        <v>4775</v>
      </c>
      <c r="D897" s="12" t="s">
        <v>134</v>
      </c>
      <c r="E897" s="12" t="n">
        <v>2</v>
      </c>
      <c r="F897" s="12" t="s">
        <v>2387</v>
      </c>
      <c r="G897" s="12" t="s">
        <v>2310</v>
      </c>
      <c r="H897" s="13" t="n">
        <v>151731</v>
      </c>
      <c r="I897" s="17"/>
      <c r="J897" s="13" t="n">
        <v>698</v>
      </c>
      <c r="K897" s="12" t="n">
        <v>7.5</v>
      </c>
      <c r="L897" s="12" t="s">
        <v>92</v>
      </c>
      <c r="M897" s="12" t="s">
        <v>4776</v>
      </c>
    </row>
    <row r="898" customFormat="false" ht="15" hidden="false" customHeight="false" outlineLevel="0" collapsed="false">
      <c r="A898" s="12" t="s">
        <v>2306</v>
      </c>
      <c r="B898" s="12" t="s">
        <v>4777</v>
      </c>
      <c r="C898" s="12" t="s">
        <v>4778</v>
      </c>
      <c r="D898" s="12" t="s">
        <v>207</v>
      </c>
      <c r="E898" s="12" t="n">
        <v>2</v>
      </c>
      <c r="F898" s="12" t="s">
        <v>2387</v>
      </c>
      <c r="G898" s="12" t="s">
        <v>2310</v>
      </c>
      <c r="H898" s="13" t="n">
        <v>401960</v>
      </c>
      <c r="I898" s="17"/>
      <c r="J898" s="13" t="n">
        <v>189</v>
      </c>
      <c r="K898" s="12" t="n">
        <v>4.5</v>
      </c>
      <c r="L898" s="12" t="s">
        <v>92</v>
      </c>
      <c r="M898" s="12" t="s">
        <v>4779</v>
      </c>
    </row>
    <row r="899" customFormat="false" ht="15" hidden="false" customHeight="false" outlineLevel="0" collapsed="false">
      <c r="A899" s="12" t="s">
        <v>2306</v>
      </c>
      <c r="B899" s="12" t="s">
        <v>4780</v>
      </c>
      <c r="C899" s="12" t="s">
        <v>4781</v>
      </c>
      <c r="D899" s="12" t="s">
        <v>146</v>
      </c>
      <c r="E899" s="12" t="n">
        <v>2</v>
      </c>
      <c r="F899" s="12" t="s">
        <v>2387</v>
      </c>
      <c r="G899" s="12" t="s">
        <v>2310</v>
      </c>
      <c r="H899" s="13" t="n">
        <v>119973</v>
      </c>
      <c r="I899" s="17"/>
      <c r="J899" s="13" t="n">
        <v>824</v>
      </c>
      <c r="K899" s="12" t="n">
        <v>6.9</v>
      </c>
      <c r="L899" s="12" t="s">
        <v>92</v>
      </c>
      <c r="M899" s="12" t="s">
        <v>4782</v>
      </c>
    </row>
    <row r="900" customFormat="false" ht="15" hidden="false" customHeight="false" outlineLevel="0" collapsed="false">
      <c r="A900" s="12" t="s">
        <v>2306</v>
      </c>
      <c r="B900" s="12" t="s">
        <v>4783</v>
      </c>
      <c r="C900" s="12" t="s">
        <v>4784</v>
      </c>
      <c r="D900" s="12" t="s">
        <v>321</v>
      </c>
      <c r="E900" s="12" t="n">
        <v>2</v>
      </c>
      <c r="F900" s="12" t="s">
        <v>2387</v>
      </c>
      <c r="G900" s="12" t="s">
        <v>2310</v>
      </c>
      <c r="H900" s="13" t="n">
        <v>194043</v>
      </c>
      <c r="I900" s="17"/>
      <c r="J900" s="13" t="n">
        <v>480</v>
      </c>
      <c r="K900" s="12" t="n">
        <v>6.1</v>
      </c>
      <c r="L900" s="12" t="s">
        <v>92</v>
      </c>
      <c r="M900" s="12" t="s">
        <v>4785</v>
      </c>
    </row>
    <row r="901" customFormat="false" ht="15" hidden="false" customHeight="false" outlineLevel="0" collapsed="false">
      <c r="A901" s="12" t="s">
        <v>2306</v>
      </c>
      <c r="B901" s="12" t="s">
        <v>4786</v>
      </c>
      <c r="C901" s="12" t="s">
        <v>4787</v>
      </c>
      <c r="D901" s="12" t="s">
        <v>175</v>
      </c>
      <c r="E901" s="12" t="n">
        <v>2</v>
      </c>
      <c r="F901" s="12" t="s">
        <v>2387</v>
      </c>
      <c r="G901" s="12" t="s">
        <v>2310</v>
      </c>
      <c r="H901" s="13" t="n">
        <v>50171</v>
      </c>
      <c r="I901" s="17"/>
      <c r="J901" s="13" t="n">
        <v>2789</v>
      </c>
      <c r="K901" s="12" t="n">
        <v>7.6</v>
      </c>
      <c r="L901" s="12" t="s">
        <v>92</v>
      </c>
      <c r="M901" s="12" t="s">
        <v>4788</v>
      </c>
    </row>
    <row r="902" customFormat="false" ht="15" hidden="false" customHeight="false" outlineLevel="0" collapsed="false">
      <c r="A902" s="12" t="s">
        <v>2306</v>
      </c>
      <c r="B902" s="12" t="s">
        <v>4789</v>
      </c>
      <c r="C902" s="12" t="s">
        <v>4790</v>
      </c>
      <c r="D902" s="12" t="s">
        <v>358</v>
      </c>
      <c r="E902" s="12" t="n">
        <v>2</v>
      </c>
      <c r="F902" s="12" t="s">
        <v>2387</v>
      </c>
      <c r="G902" s="12" t="s">
        <v>2310</v>
      </c>
      <c r="H902" s="13" t="n">
        <v>217972</v>
      </c>
      <c r="I902" s="17"/>
      <c r="J902" s="13" t="n">
        <v>352</v>
      </c>
      <c r="K902" s="12" t="n">
        <v>5.2</v>
      </c>
      <c r="L902" s="12" t="s">
        <v>92</v>
      </c>
      <c r="M902" s="12" t="s">
        <v>4791</v>
      </c>
    </row>
    <row r="903" customFormat="false" ht="15" hidden="false" customHeight="false" outlineLevel="0" collapsed="false">
      <c r="A903" s="12" t="s">
        <v>2306</v>
      </c>
      <c r="B903" s="12" t="s">
        <v>4792</v>
      </c>
      <c r="D903" s="12" t="s">
        <v>158</v>
      </c>
      <c r="E903" s="12" t="n">
        <v>2</v>
      </c>
      <c r="F903" s="12" t="s">
        <v>2387</v>
      </c>
      <c r="G903" s="12" t="s">
        <v>2310</v>
      </c>
      <c r="H903" s="13" t="n">
        <v>381782</v>
      </c>
      <c r="I903" s="17"/>
      <c r="J903" s="13" t="n">
        <v>151</v>
      </c>
      <c r="K903" s="12" t="n">
        <v>5</v>
      </c>
      <c r="L903" s="12" t="s">
        <v>92</v>
      </c>
      <c r="M903" s="12" t="s">
        <v>4793</v>
      </c>
    </row>
    <row r="904" customFormat="false" ht="15" hidden="false" customHeight="false" outlineLevel="0" collapsed="false">
      <c r="A904" s="12" t="s">
        <v>2306</v>
      </c>
      <c r="B904" s="12" t="s">
        <v>4794</v>
      </c>
      <c r="C904" s="12" t="s">
        <v>4795</v>
      </c>
      <c r="D904" s="12" t="s">
        <v>358</v>
      </c>
      <c r="E904" s="12" t="n">
        <v>2</v>
      </c>
      <c r="F904" s="12" t="s">
        <v>2387</v>
      </c>
      <c r="G904" s="12" t="s">
        <v>2310</v>
      </c>
      <c r="H904" s="13" t="n">
        <v>127416</v>
      </c>
      <c r="I904" s="17"/>
      <c r="J904" s="13" t="n">
        <v>665</v>
      </c>
      <c r="K904" s="12" t="n">
        <v>5.3</v>
      </c>
      <c r="L904" s="12" t="s">
        <v>92</v>
      </c>
      <c r="M904" s="12" t="s">
        <v>4796</v>
      </c>
    </row>
    <row r="905" customFormat="false" ht="15" hidden="false" customHeight="false" outlineLevel="0" collapsed="false">
      <c r="A905" s="12" t="s">
        <v>2306</v>
      </c>
      <c r="B905" s="12" t="s">
        <v>4797</v>
      </c>
      <c r="C905" s="12" t="s">
        <v>4798</v>
      </c>
      <c r="D905" s="12" t="s">
        <v>175</v>
      </c>
      <c r="E905" s="12" t="n">
        <v>2</v>
      </c>
      <c r="F905" s="12" t="s">
        <v>2387</v>
      </c>
      <c r="G905" s="12" t="s">
        <v>2310</v>
      </c>
      <c r="H905" s="13" t="n">
        <v>418678</v>
      </c>
      <c r="I905" s="17"/>
      <c r="J905" s="13" t="n">
        <v>92</v>
      </c>
      <c r="K905" s="12" t="n">
        <v>4.7</v>
      </c>
      <c r="L905" s="12" t="s">
        <v>92</v>
      </c>
      <c r="M905" s="12" t="s">
        <v>4799</v>
      </c>
    </row>
    <row r="906" customFormat="false" ht="15" hidden="false" customHeight="false" outlineLevel="0" collapsed="false">
      <c r="A906" s="12" t="s">
        <v>2306</v>
      </c>
      <c r="B906" s="12" t="s">
        <v>4800</v>
      </c>
      <c r="C906" s="12" t="s">
        <v>4801</v>
      </c>
      <c r="D906" s="12" t="s">
        <v>111</v>
      </c>
      <c r="E906" s="12" t="n">
        <v>2</v>
      </c>
      <c r="F906" s="12" t="s">
        <v>2387</v>
      </c>
      <c r="G906" s="12" t="s">
        <v>2310</v>
      </c>
      <c r="H906" s="13" t="n">
        <v>65918</v>
      </c>
      <c r="I906" s="17"/>
      <c r="J906" s="13" t="n">
        <v>1515</v>
      </c>
      <c r="K906" s="12" t="n">
        <v>7.3</v>
      </c>
      <c r="L906" s="12" t="s">
        <v>92</v>
      </c>
      <c r="M906" s="12" t="s">
        <v>4802</v>
      </c>
    </row>
    <row r="907" customFormat="false" ht="15" hidden="false" customHeight="false" outlineLevel="0" collapsed="false">
      <c r="A907" s="12" t="s">
        <v>2306</v>
      </c>
      <c r="B907" s="12" t="s">
        <v>4803</v>
      </c>
      <c r="D907" s="12" t="s">
        <v>90</v>
      </c>
      <c r="E907" s="12" t="n">
        <v>2</v>
      </c>
      <c r="F907" s="12" t="s">
        <v>2387</v>
      </c>
      <c r="G907" s="12" t="s">
        <v>2310</v>
      </c>
      <c r="H907" s="13" t="n">
        <v>126718</v>
      </c>
      <c r="I907" s="17"/>
      <c r="J907" s="13" t="n">
        <v>630</v>
      </c>
      <c r="K907" s="12" t="n">
        <v>3.3</v>
      </c>
      <c r="L907" s="12" t="s">
        <v>92</v>
      </c>
      <c r="M907" s="12" t="s">
        <v>4804</v>
      </c>
    </row>
    <row r="908" customFormat="false" ht="15" hidden="false" customHeight="false" outlineLevel="0" collapsed="false">
      <c r="A908" s="12" t="s">
        <v>2306</v>
      </c>
      <c r="B908" s="12" t="s">
        <v>4805</v>
      </c>
      <c r="C908" s="12" t="s">
        <v>4806</v>
      </c>
      <c r="D908" s="12" t="s">
        <v>90</v>
      </c>
      <c r="E908" s="12" t="n">
        <v>2</v>
      </c>
      <c r="F908" s="12" t="s">
        <v>2387</v>
      </c>
      <c r="G908" s="12" t="s">
        <v>2310</v>
      </c>
      <c r="H908" s="13" t="n">
        <v>117058</v>
      </c>
      <c r="I908" s="17"/>
      <c r="J908" s="13" t="n">
        <v>670</v>
      </c>
      <c r="K908" s="12" t="n">
        <v>6.5</v>
      </c>
      <c r="L908" s="12" t="s">
        <v>92</v>
      </c>
      <c r="M908" s="12" t="s">
        <v>4807</v>
      </c>
    </row>
    <row r="909" customFormat="false" ht="15" hidden="false" customHeight="false" outlineLevel="0" collapsed="false">
      <c r="A909" s="12" t="s">
        <v>2306</v>
      </c>
      <c r="B909" s="12" t="s">
        <v>4808</v>
      </c>
      <c r="C909" s="12" t="s">
        <v>4809</v>
      </c>
      <c r="D909" s="12" t="s">
        <v>90</v>
      </c>
      <c r="E909" s="12" t="n">
        <v>2</v>
      </c>
      <c r="F909" s="12" t="s">
        <v>2387</v>
      </c>
      <c r="G909" s="12" t="s">
        <v>2310</v>
      </c>
      <c r="H909" s="13" t="n">
        <v>244984</v>
      </c>
      <c r="I909" s="17"/>
      <c r="J909" s="13" t="n">
        <v>278</v>
      </c>
      <c r="K909" s="12" t="n">
        <v>5</v>
      </c>
      <c r="L909" s="12" t="s">
        <v>92</v>
      </c>
      <c r="M909" s="12" t="s">
        <v>4810</v>
      </c>
    </row>
    <row r="910" customFormat="false" ht="15" hidden="false" customHeight="false" outlineLevel="0" collapsed="false">
      <c r="A910" s="12" t="s">
        <v>2306</v>
      </c>
      <c r="B910" s="12" t="s">
        <v>4811</v>
      </c>
      <c r="C910" s="12" t="s">
        <v>4812</v>
      </c>
      <c r="D910" s="12" t="s">
        <v>158</v>
      </c>
      <c r="E910" s="12" t="n">
        <v>2</v>
      </c>
      <c r="F910" s="12" t="s">
        <v>2387</v>
      </c>
      <c r="G910" s="12" t="s">
        <v>2310</v>
      </c>
      <c r="H910" s="13" t="n">
        <v>200739</v>
      </c>
      <c r="I910" s="17"/>
      <c r="J910" s="13" t="n">
        <v>328</v>
      </c>
      <c r="K910" s="12" t="n">
        <v>7.1</v>
      </c>
      <c r="L910" s="12" t="s">
        <v>92</v>
      </c>
      <c r="M910" s="12" t="s">
        <v>4813</v>
      </c>
    </row>
    <row r="911" customFormat="false" ht="15" hidden="false" customHeight="false" outlineLevel="0" collapsed="false">
      <c r="A911" s="12" t="s">
        <v>2306</v>
      </c>
      <c r="B911" s="12" t="s">
        <v>4814</v>
      </c>
      <c r="D911" s="12" t="s">
        <v>90</v>
      </c>
      <c r="E911" s="12" t="n">
        <v>2</v>
      </c>
      <c r="F911" s="12" t="s">
        <v>2387</v>
      </c>
      <c r="G911" s="12" t="s">
        <v>2310</v>
      </c>
      <c r="H911" s="13" t="n">
        <v>110857</v>
      </c>
      <c r="I911" s="17"/>
      <c r="J911" s="13" t="n">
        <v>651</v>
      </c>
      <c r="K911" s="12" t="n">
        <v>6.5</v>
      </c>
      <c r="L911" s="12" t="s">
        <v>92</v>
      </c>
      <c r="M911" s="12" t="s">
        <v>4815</v>
      </c>
    </row>
    <row r="912" customFormat="false" ht="15" hidden="false" customHeight="false" outlineLevel="0" collapsed="false">
      <c r="A912" s="12" t="s">
        <v>2306</v>
      </c>
      <c r="B912" s="12" t="s">
        <v>4816</v>
      </c>
      <c r="D912" s="12" t="s">
        <v>158</v>
      </c>
      <c r="E912" s="12" t="n">
        <v>2</v>
      </c>
      <c r="F912" s="12" t="s">
        <v>2387</v>
      </c>
      <c r="G912" s="12" t="s">
        <v>2310</v>
      </c>
      <c r="H912" s="13" t="n">
        <v>253762</v>
      </c>
      <c r="I912" s="17"/>
      <c r="J912" s="13" t="n">
        <v>234</v>
      </c>
      <c r="K912" s="12" t="n">
        <v>6.1</v>
      </c>
      <c r="L912" s="12" t="s">
        <v>92</v>
      </c>
      <c r="M912" s="12" t="s">
        <v>4817</v>
      </c>
    </row>
    <row r="913" customFormat="false" ht="15" hidden="false" customHeight="false" outlineLevel="0" collapsed="false">
      <c r="A913" s="12" t="s">
        <v>2306</v>
      </c>
      <c r="B913" s="12" t="s">
        <v>4818</v>
      </c>
      <c r="C913" s="12" t="s">
        <v>4819</v>
      </c>
      <c r="D913" s="12" t="s">
        <v>134</v>
      </c>
      <c r="E913" s="12" t="n">
        <v>2</v>
      </c>
      <c r="F913" s="12" t="s">
        <v>2387</v>
      </c>
      <c r="G913" s="12" t="s">
        <v>2310</v>
      </c>
      <c r="H913" s="13" t="n">
        <v>361030</v>
      </c>
      <c r="I913" s="17"/>
      <c r="J913" s="13" t="n">
        <v>125</v>
      </c>
      <c r="K913" s="12" t="n">
        <v>5.6</v>
      </c>
      <c r="L913" s="12" t="s">
        <v>92</v>
      </c>
      <c r="M913" s="12" t="s">
        <v>4820</v>
      </c>
    </row>
    <row r="914" customFormat="false" ht="15" hidden="false" customHeight="false" outlineLevel="0" collapsed="false">
      <c r="A914" s="12" t="s">
        <v>2306</v>
      </c>
      <c r="B914" s="12" t="s">
        <v>4821</v>
      </c>
      <c r="C914" s="12" t="s">
        <v>4822</v>
      </c>
      <c r="D914" s="12" t="s">
        <v>111</v>
      </c>
      <c r="E914" s="12" t="n">
        <v>2</v>
      </c>
      <c r="F914" s="12" t="s">
        <v>2387</v>
      </c>
      <c r="G914" s="12" t="s">
        <v>2310</v>
      </c>
      <c r="H914" s="13" t="n">
        <v>292740</v>
      </c>
      <c r="I914" s="17"/>
      <c r="J914" s="13" t="n">
        <v>200</v>
      </c>
      <c r="K914" s="12" t="n">
        <v>4.9</v>
      </c>
      <c r="L914" s="12" t="s">
        <v>92</v>
      </c>
      <c r="M914" s="12" t="s">
        <v>4823</v>
      </c>
    </row>
    <row r="915" customFormat="false" ht="15" hidden="false" customHeight="false" outlineLevel="0" collapsed="false">
      <c r="A915" s="12" t="s">
        <v>2306</v>
      </c>
      <c r="B915" s="12" t="s">
        <v>4824</v>
      </c>
      <c r="D915" s="12" t="s">
        <v>251</v>
      </c>
      <c r="E915" s="12" t="n">
        <v>2</v>
      </c>
      <c r="F915" s="12" t="s">
        <v>2387</v>
      </c>
      <c r="G915" s="12" t="s">
        <v>2310</v>
      </c>
      <c r="H915" s="13" t="n">
        <v>99039</v>
      </c>
      <c r="I915" s="17"/>
      <c r="J915" s="13" t="n">
        <v>655</v>
      </c>
      <c r="K915" s="12" t="n">
        <v>3.1</v>
      </c>
      <c r="L915" s="12" t="s">
        <v>92</v>
      </c>
      <c r="M915" s="12" t="s">
        <v>4825</v>
      </c>
    </row>
    <row r="916" customFormat="false" ht="15" hidden="false" customHeight="false" outlineLevel="0" collapsed="false">
      <c r="A916" s="12" t="s">
        <v>2306</v>
      </c>
      <c r="B916" s="12" t="s">
        <v>4826</v>
      </c>
      <c r="C916" s="12" t="s">
        <v>4827</v>
      </c>
      <c r="D916" s="12" t="s">
        <v>321</v>
      </c>
      <c r="E916" s="12" t="n">
        <v>2</v>
      </c>
      <c r="F916" s="12" t="s">
        <v>2387</v>
      </c>
      <c r="G916" s="12" t="s">
        <v>2310</v>
      </c>
      <c r="H916" s="13" t="n">
        <v>132414</v>
      </c>
      <c r="I916" s="17"/>
      <c r="J916" s="13" t="n">
        <v>534</v>
      </c>
      <c r="K916" s="12" t="n">
        <v>5.2</v>
      </c>
      <c r="L916" s="12" t="s">
        <v>92</v>
      </c>
      <c r="M916" s="12" t="s">
        <v>4828</v>
      </c>
    </row>
    <row r="917" customFormat="false" ht="15" hidden="false" customHeight="false" outlineLevel="0" collapsed="false">
      <c r="A917" s="12" t="s">
        <v>2306</v>
      </c>
      <c r="B917" s="12" t="s">
        <v>4829</v>
      </c>
      <c r="C917" s="12" t="s">
        <v>4830</v>
      </c>
      <c r="D917" s="12" t="s">
        <v>358</v>
      </c>
      <c r="E917" s="12" t="n">
        <v>2</v>
      </c>
      <c r="F917" s="12" t="s">
        <v>2387</v>
      </c>
      <c r="G917" s="12" t="s">
        <v>2310</v>
      </c>
      <c r="H917" s="13" t="n">
        <v>299023</v>
      </c>
      <c r="I917" s="17"/>
      <c r="J917" s="13" t="n">
        <v>173</v>
      </c>
      <c r="K917" s="12" t="n">
        <v>3.1</v>
      </c>
      <c r="L917" s="12" t="s">
        <v>92</v>
      </c>
      <c r="M917" s="12" t="s">
        <v>4831</v>
      </c>
    </row>
    <row r="918" customFormat="false" ht="15" hidden="false" customHeight="false" outlineLevel="0" collapsed="false">
      <c r="A918" s="12" t="s">
        <v>2306</v>
      </c>
      <c r="B918" s="12" t="s">
        <v>4832</v>
      </c>
      <c r="C918" s="12" t="s">
        <v>4833</v>
      </c>
      <c r="D918" s="12" t="s">
        <v>251</v>
      </c>
      <c r="E918" s="12" t="n">
        <v>2</v>
      </c>
      <c r="F918" s="12" t="s">
        <v>2387</v>
      </c>
      <c r="G918" s="12" t="s">
        <v>2310</v>
      </c>
      <c r="H918" s="13" t="n">
        <v>202363</v>
      </c>
      <c r="I918" s="17"/>
      <c r="J918" s="13" t="n">
        <v>289</v>
      </c>
      <c r="K918" s="12" t="n">
        <v>2.9</v>
      </c>
      <c r="L918" s="12" t="s">
        <v>92</v>
      </c>
      <c r="M918" s="12" t="s">
        <v>4834</v>
      </c>
    </row>
    <row r="919" customFormat="false" ht="15" hidden="false" customHeight="false" outlineLevel="0" collapsed="false">
      <c r="A919" s="12" t="s">
        <v>2306</v>
      </c>
      <c r="B919" s="12" t="s">
        <v>4835</v>
      </c>
      <c r="D919" s="12" t="s">
        <v>189</v>
      </c>
      <c r="E919" s="12" t="n">
        <v>2</v>
      </c>
      <c r="F919" s="12" t="s">
        <v>2387</v>
      </c>
      <c r="G919" s="12" t="s">
        <v>2310</v>
      </c>
      <c r="H919" s="13" t="n">
        <v>226978</v>
      </c>
      <c r="I919" s="17"/>
      <c r="J919" s="13" t="n">
        <v>243</v>
      </c>
      <c r="K919" s="12" t="n">
        <v>6.1</v>
      </c>
      <c r="L919" s="12" t="s">
        <v>92</v>
      </c>
      <c r="M919" s="12" t="s">
        <v>4836</v>
      </c>
    </row>
    <row r="920" customFormat="false" ht="15" hidden="false" customHeight="false" outlineLevel="0" collapsed="false">
      <c r="A920" s="12" t="s">
        <v>2306</v>
      </c>
      <c r="B920" s="12" t="s">
        <v>4837</v>
      </c>
      <c r="C920" s="12" t="s">
        <v>4838</v>
      </c>
      <c r="D920" s="12" t="s">
        <v>134</v>
      </c>
      <c r="E920" s="12" t="n">
        <v>2</v>
      </c>
      <c r="F920" s="12" t="s">
        <v>2387</v>
      </c>
      <c r="G920" s="12" t="s">
        <v>2310</v>
      </c>
      <c r="H920" s="13" t="n">
        <v>91732</v>
      </c>
      <c r="I920" s="17"/>
      <c r="J920" s="13" t="n">
        <v>671</v>
      </c>
      <c r="K920" s="12" t="n">
        <v>6.9</v>
      </c>
      <c r="L920" s="12" t="s">
        <v>92</v>
      </c>
      <c r="M920" s="12" t="s">
        <v>4839</v>
      </c>
    </row>
    <row r="921" customFormat="false" ht="15" hidden="false" customHeight="false" outlineLevel="0" collapsed="false">
      <c r="A921" s="12" t="s">
        <v>2306</v>
      </c>
      <c r="B921" s="12" t="s">
        <v>4840</v>
      </c>
      <c r="D921" s="12" t="s">
        <v>207</v>
      </c>
      <c r="E921" s="12" t="n">
        <v>2</v>
      </c>
      <c r="F921" s="12" t="s">
        <v>2387</v>
      </c>
      <c r="G921" s="12" t="s">
        <v>2310</v>
      </c>
      <c r="H921" s="13" t="n">
        <v>292504</v>
      </c>
      <c r="I921" s="17"/>
      <c r="J921" s="13" t="n">
        <v>168</v>
      </c>
      <c r="K921" s="12" t="n">
        <v>4.4</v>
      </c>
      <c r="L921" s="12" t="s">
        <v>92</v>
      </c>
      <c r="M921" s="12" t="s">
        <v>4841</v>
      </c>
    </row>
    <row r="922" customFormat="false" ht="15" hidden="false" customHeight="false" outlineLevel="0" collapsed="false">
      <c r="A922" s="12" t="s">
        <v>2306</v>
      </c>
      <c r="B922" s="12" t="s">
        <v>4842</v>
      </c>
      <c r="C922" s="12" t="s">
        <v>4843</v>
      </c>
      <c r="D922" s="12" t="s">
        <v>140</v>
      </c>
      <c r="E922" s="12" t="n">
        <v>2</v>
      </c>
      <c r="F922" s="12" t="s">
        <v>2387</v>
      </c>
      <c r="G922" s="12" t="s">
        <v>2310</v>
      </c>
      <c r="H922" s="13" t="n">
        <v>159109</v>
      </c>
      <c r="I922" s="17"/>
      <c r="J922" s="13" t="n">
        <v>344</v>
      </c>
      <c r="K922" s="12" t="n">
        <v>6.9</v>
      </c>
      <c r="L922" s="12" t="s">
        <v>92</v>
      </c>
      <c r="M922" s="12" t="s">
        <v>4844</v>
      </c>
    </row>
    <row r="923" customFormat="false" ht="15" hidden="false" customHeight="false" outlineLevel="0" collapsed="false">
      <c r="A923" s="12" t="s">
        <v>2306</v>
      </c>
      <c r="B923" s="12" t="s">
        <v>4845</v>
      </c>
      <c r="C923" s="12" t="s">
        <v>4846</v>
      </c>
      <c r="D923" s="12" t="s">
        <v>146</v>
      </c>
      <c r="E923" s="12" t="n">
        <v>2</v>
      </c>
      <c r="F923" s="12" t="s">
        <v>2387</v>
      </c>
      <c r="G923" s="12" t="s">
        <v>2310</v>
      </c>
      <c r="H923" s="13" t="n">
        <v>146572</v>
      </c>
      <c r="I923" s="17"/>
      <c r="J923" s="13" t="n">
        <v>396</v>
      </c>
      <c r="K923" s="12" t="n">
        <v>4.7</v>
      </c>
      <c r="L923" s="12" t="s">
        <v>92</v>
      </c>
      <c r="M923" s="12" t="s">
        <v>4847</v>
      </c>
    </row>
    <row r="924" customFormat="false" ht="15" hidden="false" customHeight="false" outlineLevel="0" collapsed="false">
      <c r="A924" s="12" t="s">
        <v>2306</v>
      </c>
      <c r="B924" s="12" t="s">
        <v>4848</v>
      </c>
      <c r="C924" s="12" t="s">
        <v>4849</v>
      </c>
      <c r="D924" s="12" t="s">
        <v>140</v>
      </c>
      <c r="E924" s="12" t="n">
        <v>2</v>
      </c>
      <c r="F924" s="12" t="s">
        <v>2387</v>
      </c>
      <c r="G924" s="12" t="s">
        <v>2310</v>
      </c>
      <c r="H924" s="13" t="n">
        <v>206318</v>
      </c>
      <c r="I924" s="17"/>
      <c r="J924" s="13" t="n">
        <v>218</v>
      </c>
      <c r="K924" s="12" t="n">
        <v>4.6</v>
      </c>
      <c r="L924" s="12" t="s">
        <v>92</v>
      </c>
      <c r="M924" s="12" t="s">
        <v>4850</v>
      </c>
    </row>
    <row r="925" customFormat="false" ht="15" hidden="false" customHeight="false" outlineLevel="0" collapsed="false">
      <c r="A925" s="12" t="s">
        <v>2306</v>
      </c>
      <c r="B925" s="12" t="s">
        <v>4851</v>
      </c>
      <c r="D925" s="12" t="s">
        <v>111</v>
      </c>
      <c r="E925" s="12" t="n">
        <v>2</v>
      </c>
      <c r="F925" s="12" t="s">
        <v>2387</v>
      </c>
      <c r="G925" s="12" t="s">
        <v>2310</v>
      </c>
      <c r="H925" s="13" t="n">
        <v>72919</v>
      </c>
      <c r="I925" s="17"/>
      <c r="J925" s="13" t="n">
        <v>725</v>
      </c>
      <c r="K925" s="12" t="n">
        <v>6.3</v>
      </c>
      <c r="L925" s="12" t="s">
        <v>92</v>
      </c>
      <c r="M925" s="12" t="s">
        <v>4852</v>
      </c>
    </row>
    <row r="926" customFormat="false" ht="15" hidden="false" customHeight="false" outlineLevel="0" collapsed="false">
      <c r="A926" s="12" t="s">
        <v>2306</v>
      </c>
      <c r="B926" s="12" t="s">
        <v>4853</v>
      </c>
      <c r="C926" s="12" t="s">
        <v>4854</v>
      </c>
      <c r="D926" s="12" t="s">
        <v>134</v>
      </c>
      <c r="E926" s="12" t="n">
        <v>2</v>
      </c>
      <c r="F926" s="12" t="s">
        <v>2387</v>
      </c>
      <c r="G926" s="12" t="s">
        <v>2310</v>
      </c>
      <c r="H926" s="13" t="n">
        <v>97542</v>
      </c>
      <c r="I926" s="17"/>
      <c r="J926" s="13" t="n">
        <v>580</v>
      </c>
      <c r="K926" s="12" t="n">
        <v>5.9</v>
      </c>
      <c r="L926" s="12" t="s">
        <v>92</v>
      </c>
      <c r="M926" s="12" t="s">
        <v>4855</v>
      </c>
    </row>
    <row r="927" customFormat="false" ht="15" hidden="false" customHeight="false" outlineLevel="0" collapsed="false">
      <c r="A927" s="12" t="s">
        <v>2306</v>
      </c>
      <c r="B927" s="12" t="s">
        <v>4856</v>
      </c>
      <c r="C927" s="12" t="s">
        <v>4857</v>
      </c>
      <c r="D927" s="12" t="s">
        <v>134</v>
      </c>
      <c r="E927" s="12" t="n">
        <v>2</v>
      </c>
      <c r="F927" s="12" t="s">
        <v>2387</v>
      </c>
      <c r="G927" s="12" t="s">
        <v>2310</v>
      </c>
      <c r="H927" s="13" t="n">
        <v>103905</v>
      </c>
      <c r="I927" s="17"/>
      <c r="J927" s="13" t="n">
        <v>529</v>
      </c>
      <c r="K927" s="12" t="n">
        <v>6.6</v>
      </c>
      <c r="L927" s="12" t="s">
        <v>92</v>
      </c>
      <c r="M927" s="12" t="s">
        <v>4858</v>
      </c>
    </row>
    <row r="928" customFormat="false" ht="15" hidden="false" customHeight="false" outlineLevel="0" collapsed="false">
      <c r="A928" s="12" t="s">
        <v>2306</v>
      </c>
      <c r="B928" s="12" t="s">
        <v>4859</v>
      </c>
      <c r="C928" s="12" t="s">
        <v>4860</v>
      </c>
      <c r="D928" s="12" t="s">
        <v>207</v>
      </c>
      <c r="E928" s="12" t="n">
        <v>2</v>
      </c>
      <c r="F928" s="12" t="s">
        <v>2387</v>
      </c>
      <c r="G928" s="12" t="s">
        <v>2310</v>
      </c>
      <c r="H928" s="13" t="n">
        <v>195992</v>
      </c>
      <c r="I928" s="17"/>
      <c r="J928" s="13" t="n">
        <v>230</v>
      </c>
      <c r="K928" s="12" t="n">
        <v>4.4</v>
      </c>
      <c r="L928" s="12" t="s">
        <v>92</v>
      </c>
      <c r="M928" s="12" t="s">
        <v>4861</v>
      </c>
    </row>
    <row r="929" customFormat="false" ht="15" hidden="false" customHeight="false" outlineLevel="0" collapsed="false">
      <c r="A929" s="12" t="s">
        <v>2306</v>
      </c>
      <c r="B929" s="12" t="s">
        <v>4862</v>
      </c>
      <c r="C929" s="12" t="s">
        <v>4863</v>
      </c>
      <c r="D929" s="12" t="s">
        <v>90</v>
      </c>
      <c r="E929" s="12" t="n">
        <v>2</v>
      </c>
      <c r="F929" s="12" t="s">
        <v>2387</v>
      </c>
      <c r="G929" s="12" t="s">
        <v>2310</v>
      </c>
      <c r="H929" s="13" t="n">
        <v>169970</v>
      </c>
      <c r="I929" s="17"/>
      <c r="J929" s="13" t="n">
        <v>287</v>
      </c>
      <c r="K929" s="12" t="n">
        <v>6.1</v>
      </c>
      <c r="L929" s="12" t="s">
        <v>92</v>
      </c>
      <c r="M929" s="12" t="s">
        <v>4864</v>
      </c>
    </row>
    <row r="930" customFormat="false" ht="15" hidden="false" customHeight="false" outlineLevel="0" collapsed="false">
      <c r="A930" s="12" t="s">
        <v>2306</v>
      </c>
      <c r="C930" s="12" t="s">
        <v>4865</v>
      </c>
      <c r="D930" s="12" t="s">
        <v>1103</v>
      </c>
      <c r="E930" s="12" t="n">
        <v>2</v>
      </c>
      <c r="F930" s="12" t="s">
        <v>2563</v>
      </c>
      <c r="G930" s="12" t="s">
        <v>2310</v>
      </c>
      <c r="H930" s="17"/>
      <c r="I930" s="13" t="n">
        <v>243883429</v>
      </c>
      <c r="J930" s="13" t="n">
        <v>3018</v>
      </c>
      <c r="K930" s="12" t="n">
        <v>6.6</v>
      </c>
      <c r="L930" s="12" t="s">
        <v>92</v>
      </c>
      <c r="M930" s="12" t="s">
        <v>4866</v>
      </c>
    </row>
    <row r="931" customFormat="false" ht="15" hidden="false" customHeight="false" outlineLevel="0" collapsed="false">
      <c r="A931" s="12" t="s">
        <v>2306</v>
      </c>
      <c r="B931" s="12" t="s">
        <v>4867</v>
      </c>
      <c r="D931" s="12" t="s">
        <v>358</v>
      </c>
      <c r="E931" s="12" t="n">
        <v>2</v>
      </c>
      <c r="F931" s="12" t="s">
        <v>2387</v>
      </c>
      <c r="G931" s="12" t="s">
        <v>2310</v>
      </c>
      <c r="H931" s="13" t="n">
        <v>113420</v>
      </c>
      <c r="I931" s="17"/>
      <c r="J931" s="13" t="n">
        <v>476</v>
      </c>
      <c r="K931" s="12" t="n">
        <v>3.3</v>
      </c>
      <c r="L931" s="12" t="s">
        <v>92</v>
      </c>
      <c r="M931" s="12" t="s">
        <v>4868</v>
      </c>
    </row>
    <row r="932" customFormat="false" ht="15" hidden="false" customHeight="false" outlineLevel="0" collapsed="false">
      <c r="A932" s="12" t="s">
        <v>2306</v>
      </c>
      <c r="B932" s="12" t="s">
        <v>4869</v>
      </c>
      <c r="C932" s="12" t="s">
        <v>4870</v>
      </c>
      <c r="D932" s="12" t="s">
        <v>146</v>
      </c>
      <c r="E932" s="12" t="n">
        <v>2</v>
      </c>
      <c r="F932" s="12" t="s">
        <v>2387</v>
      </c>
      <c r="G932" s="12" t="s">
        <v>2310</v>
      </c>
      <c r="H932" s="13" t="n">
        <v>56535</v>
      </c>
      <c r="I932" s="17"/>
      <c r="J932" s="13" t="n">
        <v>818</v>
      </c>
      <c r="K932" s="12" t="n">
        <v>7.1</v>
      </c>
      <c r="L932" s="12" t="s">
        <v>92</v>
      </c>
      <c r="M932" s="12" t="s">
        <v>4871</v>
      </c>
    </row>
    <row r="933" customFormat="false" ht="15" hidden="false" customHeight="false" outlineLevel="0" collapsed="false">
      <c r="A933" s="12" t="s">
        <v>2306</v>
      </c>
      <c r="B933" s="12" t="s">
        <v>4872</v>
      </c>
      <c r="D933" s="12" t="s">
        <v>140</v>
      </c>
      <c r="E933" s="12" t="n">
        <v>2</v>
      </c>
      <c r="F933" s="12" t="s">
        <v>2387</v>
      </c>
      <c r="G933" s="12" t="s">
        <v>2310</v>
      </c>
      <c r="H933" s="13" t="n">
        <v>70775</v>
      </c>
      <c r="I933" s="17"/>
      <c r="J933" s="13" t="n">
        <v>676</v>
      </c>
      <c r="K933" s="12" t="n">
        <v>7.3</v>
      </c>
      <c r="L933" s="12" t="s">
        <v>92</v>
      </c>
      <c r="M933" s="12" t="s">
        <v>4873</v>
      </c>
    </row>
    <row r="934" customFormat="false" ht="15" hidden="false" customHeight="false" outlineLevel="0" collapsed="false">
      <c r="A934" s="12" t="s">
        <v>2306</v>
      </c>
      <c r="B934" s="12" t="s">
        <v>4874</v>
      </c>
      <c r="C934" s="12" t="s">
        <v>4875</v>
      </c>
      <c r="D934" s="12" t="s">
        <v>358</v>
      </c>
      <c r="E934" s="12" t="n">
        <v>2</v>
      </c>
      <c r="F934" s="12" t="s">
        <v>2387</v>
      </c>
      <c r="G934" s="12" t="s">
        <v>2310</v>
      </c>
      <c r="H934" s="13" t="n">
        <v>155651</v>
      </c>
      <c r="I934" s="17"/>
      <c r="J934" s="13" t="n">
        <v>304</v>
      </c>
      <c r="K934" s="12" t="n">
        <v>6.6</v>
      </c>
      <c r="L934" s="12" t="s">
        <v>92</v>
      </c>
      <c r="M934" s="12" t="s">
        <v>4876</v>
      </c>
    </row>
    <row r="935" customFormat="false" ht="15" hidden="false" customHeight="false" outlineLevel="0" collapsed="false">
      <c r="A935" s="12" t="s">
        <v>2306</v>
      </c>
      <c r="C935" s="12" t="s">
        <v>4877</v>
      </c>
      <c r="D935" s="12" t="s">
        <v>90</v>
      </c>
      <c r="E935" s="12" t="n">
        <v>2</v>
      </c>
      <c r="F935" s="12" t="s">
        <v>2314</v>
      </c>
      <c r="G935" s="12" t="s">
        <v>2310</v>
      </c>
      <c r="H935" s="17"/>
      <c r="I935" s="17"/>
      <c r="J935" s="13" t="n">
        <v>336</v>
      </c>
      <c r="K935" s="12" t="n">
        <v>6.8</v>
      </c>
      <c r="L935" s="12" t="s">
        <v>169</v>
      </c>
      <c r="M935" s="12" t="s">
        <v>4878</v>
      </c>
    </row>
    <row r="936" customFormat="false" ht="15" hidden="false" customHeight="false" outlineLevel="0" collapsed="false">
      <c r="A936" s="12" t="s">
        <v>2306</v>
      </c>
      <c r="B936" s="12" t="s">
        <v>4879</v>
      </c>
      <c r="C936" s="12" t="s">
        <v>4880</v>
      </c>
      <c r="D936" s="12" t="s">
        <v>207</v>
      </c>
      <c r="E936" s="12" t="n">
        <v>2</v>
      </c>
      <c r="F936" s="12" t="s">
        <v>2387</v>
      </c>
      <c r="G936" s="12" t="s">
        <v>2310</v>
      </c>
      <c r="H936" s="13" t="n">
        <v>169485</v>
      </c>
      <c r="I936" s="17"/>
      <c r="J936" s="13" t="n">
        <v>274</v>
      </c>
      <c r="K936" s="12" t="n">
        <v>5</v>
      </c>
      <c r="L936" s="12" t="s">
        <v>92</v>
      </c>
      <c r="M936" s="12" t="s">
        <v>4881</v>
      </c>
    </row>
    <row r="937" customFormat="false" ht="15" hidden="false" customHeight="false" outlineLevel="0" collapsed="false">
      <c r="A937" s="12" t="s">
        <v>2306</v>
      </c>
      <c r="B937" s="12" t="s">
        <v>4882</v>
      </c>
      <c r="D937" s="12" t="s">
        <v>118</v>
      </c>
      <c r="E937" s="12" t="n">
        <v>2</v>
      </c>
      <c r="F937" s="12" t="s">
        <v>2387</v>
      </c>
      <c r="G937" s="12" t="s">
        <v>2310</v>
      </c>
      <c r="H937" s="13" t="n">
        <v>246506</v>
      </c>
      <c r="I937" s="17"/>
      <c r="J937" s="13" t="n">
        <v>160</v>
      </c>
      <c r="K937" s="12" t="n">
        <v>5.4</v>
      </c>
      <c r="L937" s="12" t="s">
        <v>92</v>
      </c>
      <c r="M937" s="12" t="s">
        <v>4883</v>
      </c>
    </row>
    <row r="938" customFormat="false" ht="15" hidden="false" customHeight="false" outlineLevel="0" collapsed="false">
      <c r="A938" s="12" t="s">
        <v>2306</v>
      </c>
      <c r="B938" s="12" t="s">
        <v>4884</v>
      </c>
      <c r="C938" s="12" t="s">
        <v>4885</v>
      </c>
      <c r="D938" s="12" t="s">
        <v>101</v>
      </c>
      <c r="E938" s="12" t="n">
        <v>2</v>
      </c>
      <c r="F938" s="12" t="s">
        <v>2387</v>
      </c>
      <c r="G938" s="12" t="s">
        <v>2310</v>
      </c>
      <c r="H938" s="13" t="n">
        <v>6361</v>
      </c>
      <c r="I938" s="17"/>
      <c r="J938" s="13" t="n">
        <v>2230</v>
      </c>
      <c r="K938" s="12" t="n">
        <v>7</v>
      </c>
      <c r="L938" s="12" t="s">
        <v>92</v>
      </c>
      <c r="M938" s="12" t="s">
        <v>4886</v>
      </c>
    </row>
    <row r="939" customFormat="false" ht="15" hidden="false" customHeight="false" outlineLevel="0" collapsed="false">
      <c r="A939" s="12" t="s">
        <v>2306</v>
      </c>
      <c r="B939" s="12" t="s">
        <v>4887</v>
      </c>
      <c r="D939" s="12" t="s">
        <v>146</v>
      </c>
      <c r="E939" s="12" t="n">
        <v>1</v>
      </c>
      <c r="F939" s="12" t="s">
        <v>2404</v>
      </c>
      <c r="G939" s="12" t="s">
        <v>2405</v>
      </c>
      <c r="H939" s="13" t="n">
        <v>94136</v>
      </c>
      <c r="I939" s="17"/>
      <c r="J939" s="17"/>
      <c r="L939" s="12" t="s">
        <v>92</v>
      </c>
    </row>
    <row r="940" customFormat="false" ht="15" hidden="false" customHeight="false" outlineLevel="0" collapsed="false">
      <c r="A940" s="12" t="s">
        <v>2306</v>
      </c>
      <c r="B940" s="12" t="s">
        <v>4888</v>
      </c>
      <c r="C940" s="12" t="s">
        <v>4889</v>
      </c>
      <c r="D940" s="12" t="s">
        <v>183</v>
      </c>
      <c r="E940" s="12" t="n">
        <v>2</v>
      </c>
      <c r="F940" s="12" t="s">
        <v>2387</v>
      </c>
      <c r="G940" s="12" t="s">
        <v>2310</v>
      </c>
      <c r="H940" s="13" t="n">
        <v>97697</v>
      </c>
      <c r="I940" s="17"/>
      <c r="J940" s="13" t="n">
        <v>465</v>
      </c>
      <c r="K940" s="12" t="n">
        <v>7.8</v>
      </c>
      <c r="L940" s="12" t="s">
        <v>92</v>
      </c>
      <c r="M940" s="12" t="s">
        <v>4890</v>
      </c>
    </row>
    <row r="941" customFormat="false" ht="15" hidden="false" customHeight="false" outlineLevel="0" collapsed="false">
      <c r="A941" s="12" t="s">
        <v>2306</v>
      </c>
      <c r="B941" s="12" t="s">
        <v>4891</v>
      </c>
      <c r="D941" s="12" t="s">
        <v>146</v>
      </c>
      <c r="E941" s="12" t="n">
        <v>2</v>
      </c>
      <c r="F941" s="12" t="s">
        <v>2387</v>
      </c>
      <c r="G941" s="12" t="s">
        <v>2310</v>
      </c>
      <c r="H941" s="13" t="n">
        <v>48174</v>
      </c>
      <c r="I941" s="17"/>
      <c r="J941" s="13" t="n">
        <v>816</v>
      </c>
      <c r="K941" s="12" t="n">
        <v>7.9</v>
      </c>
      <c r="L941" s="12" t="s">
        <v>92</v>
      </c>
      <c r="M941" s="12" t="s">
        <v>4892</v>
      </c>
    </row>
    <row r="942" customFormat="false" ht="15" hidden="false" customHeight="false" outlineLevel="0" collapsed="false">
      <c r="A942" s="12" t="s">
        <v>2306</v>
      </c>
      <c r="B942" s="12" t="s">
        <v>4893</v>
      </c>
      <c r="C942" s="12" t="s">
        <v>4894</v>
      </c>
      <c r="D942" s="12" t="s">
        <v>90</v>
      </c>
      <c r="E942" s="12" t="n">
        <v>2</v>
      </c>
      <c r="F942" s="12" t="s">
        <v>2387</v>
      </c>
      <c r="G942" s="12" t="s">
        <v>2310</v>
      </c>
      <c r="H942" s="13" t="n">
        <v>193356</v>
      </c>
      <c r="I942" s="17"/>
      <c r="J942" s="13" t="n">
        <v>192</v>
      </c>
      <c r="K942" s="12" t="n">
        <v>6</v>
      </c>
      <c r="L942" s="12" t="s">
        <v>92</v>
      </c>
      <c r="M942" s="12" t="s">
        <v>4895</v>
      </c>
    </row>
    <row r="943" customFormat="false" ht="15" hidden="false" customHeight="false" outlineLevel="0" collapsed="false">
      <c r="A943" s="12" t="s">
        <v>2306</v>
      </c>
      <c r="B943" s="12" t="s">
        <v>4896</v>
      </c>
      <c r="D943" s="12" t="s">
        <v>358</v>
      </c>
      <c r="E943" s="12" t="n">
        <v>2</v>
      </c>
      <c r="F943" s="12" t="s">
        <v>2387</v>
      </c>
      <c r="G943" s="12" t="s">
        <v>2310</v>
      </c>
      <c r="H943" s="13" t="n">
        <v>82258</v>
      </c>
      <c r="I943" s="17"/>
      <c r="J943" s="13" t="n">
        <v>516</v>
      </c>
      <c r="K943" s="12" t="n">
        <v>7.7</v>
      </c>
      <c r="L943" s="12" t="s">
        <v>92</v>
      </c>
      <c r="M943" s="12" t="s">
        <v>4897</v>
      </c>
    </row>
    <row r="944" customFormat="false" ht="15" hidden="false" customHeight="false" outlineLevel="0" collapsed="false">
      <c r="A944" s="12" t="s">
        <v>2306</v>
      </c>
      <c r="B944" s="12" t="s">
        <v>4898</v>
      </c>
      <c r="D944" s="12" t="s">
        <v>175</v>
      </c>
      <c r="E944" s="12" t="n">
        <v>2</v>
      </c>
      <c r="F944" s="12" t="s">
        <v>2387</v>
      </c>
      <c r="G944" s="12" t="s">
        <v>2310</v>
      </c>
      <c r="H944" s="13" t="n">
        <v>91907</v>
      </c>
      <c r="I944" s="17"/>
      <c r="J944" s="13" t="n">
        <v>459</v>
      </c>
      <c r="K944" s="12" t="n">
        <v>6.2</v>
      </c>
      <c r="L944" s="12" t="s">
        <v>92</v>
      </c>
      <c r="M944" s="12" t="s">
        <v>4899</v>
      </c>
    </row>
    <row r="945" customFormat="false" ht="15" hidden="false" customHeight="false" outlineLevel="0" collapsed="false">
      <c r="A945" s="12" t="s">
        <v>2306</v>
      </c>
      <c r="B945" s="12" t="s">
        <v>4900</v>
      </c>
      <c r="C945" s="12" t="s">
        <v>4901</v>
      </c>
      <c r="D945" s="12" t="s">
        <v>140</v>
      </c>
      <c r="E945" s="12" t="n">
        <v>2</v>
      </c>
      <c r="F945" s="12" t="s">
        <v>2387</v>
      </c>
      <c r="G945" s="12" t="s">
        <v>2310</v>
      </c>
      <c r="H945" s="13" t="n">
        <v>128396</v>
      </c>
      <c r="I945" s="17"/>
      <c r="J945" s="13" t="n">
        <v>306</v>
      </c>
      <c r="K945" s="12" t="n">
        <v>5.1</v>
      </c>
      <c r="L945" s="12" t="s">
        <v>92</v>
      </c>
      <c r="M945" s="12" t="s">
        <v>4902</v>
      </c>
    </row>
    <row r="946" customFormat="false" ht="15" hidden="false" customHeight="false" outlineLevel="0" collapsed="false">
      <c r="A946" s="12" t="s">
        <v>2306</v>
      </c>
      <c r="B946" s="12" t="s">
        <v>4903</v>
      </c>
      <c r="D946" s="12" t="s">
        <v>158</v>
      </c>
      <c r="E946" s="12" t="n">
        <v>2</v>
      </c>
      <c r="F946" s="12" t="s">
        <v>2387</v>
      </c>
      <c r="G946" s="12" t="s">
        <v>2310</v>
      </c>
      <c r="H946" s="13" t="n">
        <v>179745</v>
      </c>
      <c r="I946" s="17"/>
      <c r="J946" s="13" t="n">
        <v>201</v>
      </c>
      <c r="K946" s="12" t="n">
        <v>5.4</v>
      </c>
      <c r="L946" s="12" t="s">
        <v>92</v>
      </c>
      <c r="M946" s="12" t="s">
        <v>4904</v>
      </c>
    </row>
    <row r="947" customFormat="false" ht="15" hidden="false" customHeight="false" outlineLevel="0" collapsed="false">
      <c r="A947" s="12" t="s">
        <v>2306</v>
      </c>
      <c r="B947" s="12" t="s">
        <v>4905</v>
      </c>
      <c r="C947" s="12" t="s">
        <v>4906</v>
      </c>
      <c r="D947" s="12" t="s">
        <v>111</v>
      </c>
      <c r="E947" s="12" t="n">
        <v>2</v>
      </c>
      <c r="F947" s="12" t="s">
        <v>2387</v>
      </c>
      <c r="G947" s="12" t="s">
        <v>2310</v>
      </c>
      <c r="H947" s="13" t="n">
        <v>51120</v>
      </c>
      <c r="I947" s="17"/>
      <c r="J947" s="13" t="n">
        <v>702</v>
      </c>
      <c r="K947" s="12" t="n">
        <v>5.2</v>
      </c>
      <c r="L947" s="12" t="s">
        <v>92</v>
      </c>
      <c r="M947" s="12" t="s">
        <v>4907</v>
      </c>
    </row>
    <row r="948" customFormat="false" ht="15" hidden="false" customHeight="false" outlineLevel="0" collapsed="false">
      <c r="A948" s="12" t="s">
        <v>2306</v>
      </c>
      <c r="B948" s="12" t="s">
        <v>4908</v>
      </c>
      <c r="C948" s="12" t="s">
        <v>4909</v>
      </c>
      <c r="D948" s="12" t="s">
        <v>111</v>
      </c>
      <c r="E948" s="12" t="n">
        <v>2</v>
      </c>
      <c r="F948" s="12" t="s">
        <v>2387</v>
      </c>
      <c r="G948" s="12" t="s">
        <v>2310</v>
      </c>
      <c r="H948" s="13" t="n">
        <v>45766</v>
      </c>
      <c r="I948" s="17"/>
      <c r="J948" s="13" t="n">
        <v>796</v>
      </c>
      <c r="K948" s="12" t="n">
        <v>6.5</v>
      </c>
      <c r="L948" s="12" t="s">
        <v>92</v>
      </c>
      <c r="M948" s="12" t="s">
        <v>4910</v>
      </c>
    </row>
    <row r="949" customFormat="false" ht="15" hidden="false" customHeight="false" outlineLevel="0" collapsed="false">
      <c r="A949" s="12" t="s">
        <v>2306</v>
      </c>
      <c r="B949" s="12" t="s">
        <v>4911</v>
      </c>
      <c r="D949" s="12" t="s">
        <v>118</v>
      </c>
      <c r="E949" s="12" t="n">
        <v>2</v>
      </c>
      <c r="F949" s="12" t="s">
        <v>2387</v>
      </c>
      <c r="G949" s="12" t="s">
        <v>2310</v>
      </c>
      <c r="H949" s="13" t="n">
        <v>69788</v>
      </c>
      <c r="I949" s="17"/>
      <c r="J949" s="13" t="n">
        <v>561</v>
      </c>
      <c r="K949" s="12" t="n">
        <v>6.3</v>
      </c>
      <c r="L949" s="12" t="s">
        <v>92</v>
      </c>
      <c r="M949" s="12" t="s">
        <v>4912</v>
      </c>
    </row>
    <row r="950" customFormat="false" ht="15" hidden="false" customHeight="false" outlineLevel="0" collapsed="false">
      <c r="A950" s="12" t="s">
        <v>2306</v>
      </c>
      <c r="B950" s="12" t="s">
        <v>4913</v>
      </c>
      <c r="D950" s="12" t="s">
        <v>183</v>
      </c>
      <c r="E950" s="12" t="n">
        <v>2</v>
      </c>
      <c r="F950" s="12" t="s">
        <v>2387</v>
      </c>
      <c r="G950" s="12" t="s">
        <v>2310</v>
      </c>
      <c r="H950" s="13" t="n">
        <v>80335</v>
      </c>
      <c r="I950" s="17"/>
      <c r="J950" s="13" t="n">
        <v>475</v>
      </c>
      <c r="K950" s="12" t="n">
        <v>5.8</v>
      </c>
      <c r="L950" s="12" t="s">
        <v>92</v>
      </c>
      <c r="M950" s="12" t="s">
        <v>4914</v>
      </c>
    </row>
    <row r="951" customFormat="false" ht="15" hidden="false" customHeight="false" outlineLevel="0" collapsed="false">
      <c r="A951" s="12" t="s">
        <v>2306</v>
      </c>
      <c r="B951" s="12" t="s">
        <v>4915</v>
      </c>
      <c r="C951" s="12" t="s">
        <v>4916</v>
      </c>
      <c r="D951" s="12" t="s">
        <v>118</v>
      </c>
      <c r="E951" s="12" t="n">
        <v>2</v>
      </c>
      <c r="F951" s="12" t="s">
        <v>2387</v>
      </c>
      <c r="G951" s="12" t="s">
        <v>2310</v>
      </c>
      <c r="H951" s="13" t="n">
        <v>126566</v>
      </c>
      <c r="I951" s="17"/>
      <c r="J951" s="13" t="n">
        <v>286</v>
      </c>
      <c r="K951" s="12" t="n">
        <v>5.8</v>
      </c>
      <c r="L951" s="12" t="s">
        <v>92</v>
      </c>
      <c r="M951" s="12" t="s">
        <v>4917</v>
      </c>
    </row>
    <row r="952" customFormat="false" ht="15" hidden="false" customHeight="false" outlineLevel="0" collapsed="false">
      <c r="A952" s="12" t="s">
        <v>2306</v>
      </c>
      <c r="B952" s="12" t="s">
        <v>4918</v>
      </c>
      <c r="C952" s="12" t="s">
        <v>4919</v>
      </c>
      <c r="D952" s="12" t="s">
        <v>175</v>
      </c>
      <c r="E952" s="12" t="n">
        <v>2</v>
      </c>
      <c r="F952" s="12" t="s">
        <v>2387</v>
      </c>
      <c r="G952" s="12" t="s">
        <v>2310</v>
      </c>
      <c r="H952" s="13" t="n">
        <v>150546</v>
      </c>
      <c r="I952" s="17"/>
      <c r="J952" s="13" t="n">
        <v>224</v>
      </c>
      <c r="K952" s="12" t="n">
        <v>4.9</v>
      </c>
      <c r="L952" s="12" t="s">
        <v>92</v>
      </c>
      <c r="M952" s="12" t="s">
        <v>4920</v>
      </c>
    </row>
    <row r="953" customFormat="false" ht="15" hidden="false" customHeight="false" outlineLevel="0" collapsed="false">
      <c r="A953" s="12" t="s">
        <v>2306</v>
      </c>
      <c r="B953" s="12" t="s">
        <v>4921</v>
      </c>
      <c r="C953" s="12" t="s">
        <v>4922</v>
      </c>
      <c r="D953" s="12" t="s">
        <v>251</v>
      </c>
      <c r="E953" s="12" t="n">
        <v>2</v>
      </c>
      <c r="F953" s="12" t="s">
        <v>2387</v>
      </c>
      <c r="G953" s="12" t="s">
        <v>2310</v>
      </c>
      <c r="H953" s="13" t="n">
        <v>194814</v>
      </c>
      <c r="I953" s="17"/>
      <c r="J953" s="13" t="n">
        <v>139</v>
      </c>
      <c r="K953" s="12" t="n">
        <v>4.6</v>
      </c>
      <c r="L953" s="12" t="s">
        <v>92</v>
      </c>
      <c r="M953" s="12" t="s">
        <v>4923</v>
      </c>
    </row>
    <row r="954" customFormat="false" ht="15" hidden="false" customHeight="false" outlineLevel="0" collapsed="false">
      <c r="A954" s="12" t="s">
        <v>2306</v>
      </c>
      <c r="B954" s="12" t="s">
        <v>4924</v>
      </c>
      <c r="C954" s="12" t="s">
        <v>4925</v>
      </c>
      <c r="D954" s="12" t="s">
        <v>146</v>
      </c>
      <c r="E954" s="12" t="n">
        <v>2</v>
      </c>
      <c r="F954" s="12" t="s">
        <v>2387</v>
      </c>
      <c r="G954" s="12" t="s">
        <v>2310</v>
      </c>
      <c r="H954" s="13" t="n">
        <v>79428</v>
      </c>
      <c r="I954" s="17"/>
      <c r="J954" s="13" t="n">
        <v>447</v>
      </c>
      <c r="K954" s="12" t="n">
        <v>6.4</v>
      </c>
      <c r="L954" s="12" t="s">
        <v>92</v>
      </c>
      <c r="M954" s="12" t="s">
        <v>4926</v>
      </c>
    </row>
    <row r="955" customFormat="false" ht="15" hidden="false" customHeight="false" outlineLevel="0" collapsed="false">
      <c r="A955" s="12" t="s">
        <v>2306</v>
      </c>
      <c r="B955" s="12" t="s">
        <v>4927</v>
      </c>
      <c r="C955" s="12" t="s">
        <v>4928</v>
      </c>
      <c r="D955" s="12" t="s">
        <v>175</v>
      </c>
      <c r="E955" s="12" t="n">
        <v>2</v>
      </c>
      <c r="F955" s="12" t="s">
        <v>2387</v>
      </c>
      <c r="G955" s="12" t="s">
        <v>2310</v>
      </c>
      <c r="H955" s="13" t="n">
        <v>68176</v>
      </c>
      <c r="I955" s="17"/>
      <c r="J955" s="13" t="n">
        <v>528</v>
      </c>
      <c r="K955" s="12" t="n">
        <v>7.7</v>
      </c>
      <c r="L955" s="12" t="s">
        <v>92</v>
      </c>
      <c r="M955" s="12" t="s">
        <v>4929</v>
      </c>
    </row>
    <row r="956" customFormat="false" ht="15" hidden="false" customHeight="false" outlineLevel="0" collapsed="false">
      <c r="A956" s="12" t="s">
        <v>2306</v>
      </c>
      <c r="B956" s="12" t="s">
        <v>4930</v>
      </c>
      <c r="D956" s="12" t="s">
        <v>202</v>
      </c>
      <c r="E956" s="12" t="n">
        <v>2</v>
      </c>
      <c r="F956" s="12" t="s">
        <v>2387</v>
      </c>
      <c r="G956" s="12" t="s">
        <v>2310</v>
      </c>
      <c r="H956" s="13" t="n">
        <v>188436</v>
      </c>
      <c r="I956" s="17"/>
      <c r="J956" s="13" t="n">
        <v>146</v>
      </c>
      <c r="K956" s="12" t="n">
        <v>5.2</v>
      </c>
      <c r="L956" s="12" t="s">
        <v>92</v>
      </c>
      <c r="M956" s="12" t="s">
        <v>4931</v>
      </c>
    </row>
    <row r="957" customFormat="false" ht="15" hidden="false" customHeight="false" outlineLevel="0" collapsed="false">
      <c r="A957" s="12" t="s">
        <v>2306</v>
      </c>
      <c r="B957" s="12" t="s">
        <v>4932</v>
      </c>
      <c r="C957" s="12" t="s">
        <v>4933</v>
      </c>
      <c r="D957" s="12" t="s">
        <v>175</v>
      </c>
      <c r="E957" s="12" t="n">
        <v>2</v>
      </c>
      <c r="F957" s="12" t="s">
        <v>2387</v>
      </c>
      <c r="G957" s="12" t="s">
        <v>2310</v>
      </c>
      <c r="H957" s="13" t="n">
        <v>139189</v>
      </c>
      <c r="I957" s="17"/>
      <c r="J957" s="13" t="n">
        <v>220</v>
      </c>
      <c r="K957" s="12" t="n">
        <v>5</v>
      </c>
      <c r="L957" s="12" t="s">
        <v>92</v>
      </c>
      <c r="M957" s="12" t="s">
        <v>4934</v>
      </c>
    </row>
    <row r="958" customFormat="false" ht="15" hidden="false" customHeight="false" outlineLevel="0" collapsed="false">
      <c r="A958" s="12" t="s">
        <v>2306</v>
      </c>
      <c r="B958" s="12" t="s">
        <v>4935</v>
      </c>
      <c r="D958" s="12" t="s">
        <v>251</v>
      </c>
      <c r="E958" s="12" t="n">
        <v>2</v>
      </c>
      <c r="F958" s="12" t="s">
        <v>2387</v>
      </c>
      <c r="G958" s="12" t="s">
        <v>2310</v>
      </c>
      <c r="H958" s="13" t="n">
        <v>39702</v>
      </c>
      <c r="I958" s="17"/>
      <c r="J958" s="13" t="n">
        <v>739</v>
      </c>
      <c r="K958" s="12" t="n">
        <v>6.5</v>
      </c>
      <c r="L958" s="12" t="s">
        <v>92</v>
      </c>
      <c r="M958" s="12" t="s">
        <v>4936</v>
      </c>
    </row>
    <row r="959" customFormat="false" ht="15" hidden="false" customHeight="false" outlineLevel="0" collapsed="false">
      <c r="A959" s="12" t="s">
        <v>2306</v>
      </c>
      <c r="B959" s="12" t="s">
        <v>4937</v>
      </c>
      <c r="C959" s="12" t="s">
        <v>4938</v>
      </c>
      <c r="D959" s="12" t="s">
        <v>189</v>
      </c>
      <c r="E959" s="12" t="n">
        <v>2</v>
      </c>
      <c r="F959" s="12" t="s">
        <v>2387</v>
      </c>
      <c r="G959" s="12" t="s">
        <v>2310</v>
      </c>
      <c r="H959" s="13" t="n">
        <v>153234</v>
      </c>
      <c r="I959" s="17"/>
      <c r="J959" s="13" t="n">
        <v>193</v>
      </c>
      <c r="K959" s="12" t="n">
        <v>4.9</v>
      </c>
      <c r="L959" s="12" t="s">
        <v>92</v>
      </c>
      <c r="M959" s="12" t="s">
        <v>4939</v>
      </c>
    </row>
    <row r="960" customFormat="false" ht="15" hidden="false" customHeight="false" outlineLevel="0" collapsed="false">
      <c r="A960" s="12" t="s">
        <v>2306</v>
      </c>
      <c r="B960" s="12" t="s">
        <v>4940</v>
      </c>
      <c r="C960" s="12" t="s">
        <v>4941</v>
      </c>
      <c r="D960" s="12" t="s">
        <v>134</v>
      </c>
      <c r="E960" s="12" t="n">
        <v>2</v>
      </c>
      <c r="F960" s="12" t="s">
        <v>2387</v>
      </c>
      <c r="G960" s="12" t="s">
        <v>2310</v>
      </c>
      <c r="H960" s="13" t="n">
        <v>71462</v>
      </c>
      <c r="I960" s="17"/>
      <c r="J960" s="13" t="n">
        <v>454</v>
      </c>
      <c r="K960" s="12" t="n">
        <v>8.1</v>
      </c>
      <c r="L960" s="12" t="s">
        <v>92</v>
      </c>
      <c r="M960" s="12" t="s">
        <v>4942</v>
      </c>
    </row>
    <row r="961" customFormat="false" ht="15" hidden="false" customHeight="false" outlineLevel="0" collapsed="false">
      <c r="A961" s="12" t="s">
        <v>2306</v>
      </c>
      <c r="B961" s="12" t="s">
        <v>4943</v>
      </c>
      <c r="D961" s="12" t="s">
        <v>183</v>
      </c>
      <c r="E961" s="12" t="n">
        <v>2</v>
      </c>
      <c r="F961" s="12" t="s">
        <v>2387</v>
      </c>
      <c r="G961" s="12" t="s">
        <v>2310</v>
      </c>
      <c r="H961" s="13" t="n">
        <v>75133</v>
      </c>
      <c r="I961" s="17"/>
      <c r="J961" s="13" t="n">
        <v>389</v>
      </c>
      <c r="K961" s="12" t="n">
        <v>8.3</v>
      </c>
      <c r="L961" s="12" t="s">
        <v>92</v>
      </c>
      <c r="M961" s="12" t="s">
        <v>4944</v>
      </c>
    </row>
    <row r="962" customFormat="false" ht="15" hidden="false" customHeight="false" outlineLevel="0" collapsed="false">
      <c r="A962" s="12" t="s">
        <v>2306</v>
      </c>
      <c r="B962" s="12" t="s">
        <v>4945</v>
      </c>
      <c r="D962" s="12" t="s">
        <v>251</v>
      </c>
      <c r="E962" s="12" t="n">
        <v>2</v>
      </c>
      <c r="F962" s="12" t="s">
        <v>2387</v>
      </c>
      <c r="G962" s="12" t="s">
        <v>2310</v>
      </c>
      <c r="H962" s="13" t="n">
        <v>207382</v>
      </c>
      <c r="I962" s="17"/>
      <c r="J962" s="13" t="n">
        <v>37</v>
      </c>
      <c r="K962" s="12" t="n">
        <v>4.2</v>
      </c>
      <c r="L962" s="12" t="s">
        <v>92</v>
      </c>
      <c r="M962" s="12" t="s">
        <v>4946</v>
      </c>
    </row>
    <row r="963" customFormat="false" ht="15" hidden="false" customHeight="false" outlineLevel="0" collapsed="false">
      <c r="A963" s="12" t="s">
        <v>2306</v>
      </c>
      <c r="C963" s="12" t="s">
        <v>4947</v>
      </c>
      <c r="D963" s="12" t="s">
        <v>1103</v>
      </c>
      <c r="E963" s="12" t="n">
        <v>2</v>
      </c>
      <c r="F963" s="12" t="s">
        <v>2563</v>
      </c>
      <c r="G963" s="12" t="s">
        <v>2310</v>
      </c>
      <c r="H963" s="17"/>
      <c r="I963" s="13" t="n">
        <v>238600000</v>
      </c>
      <c r="J963" s="13" t="n">
        <v>1274</v>
      </c>
      <c r="K963" s="12" t="n">
        <v>6.7</v>
      </c>
      <c r="L963" s="12" t="s">
        <v>92</v>
      </c>
      <c r="M963" s="12" t="s">
        <v>4948</v>
      </c>
    </row>
    <row r="964" customFormat="false" ht="15" hidden="false" customHeight="false" outlineLevel="0" collapsed="false">
      <c r="A964" s="12" t="s">
        <v>2306</v>
      </c>
      <c r="B964" s="12" t="s">
        <v>4949</v>
      </c>
      <c r="C964" s="12" t="s">
        <v>4950</v>
      </c>
      <c r="D964" s="12" t="s">
        <v>118</v>
      </c>
      <c r="E964" s="12" t="n">
        <v>2</v>
      </c>
      <c r="F964" s="12" t="s">
        <v>2387</v>
      </c>
      <c r="G964" s="12" t="s">
        <v>2310</v>
      </c>
      <c r="H964" s="13" t="n">
        <v>144994</v>
      </c>
      <c r="I964" s="17"/>
      <c r="J964" s="13" t="n">
        <v>178</v>
      </c>
      <c r="K964" s="12" t="n">
        <v>6</v>
      </c>
      <c r="L964" s="12" t="s">
        <v>92</v>
      </c>
      <c r="M964" s="12" t="s">
        <v>4951</v>
      </c>
    </row>
    <row r="965" customFormat="false" ht="15" hidden="false" customHeight="false" outlineLevel="0" collapsed="false">
      <c r="A965" s="12" t="s">
        <v>2306</v>
      </c>
      <c r="B965" s="12" t="s">
        <v>4952</v>
      </c>
      <c r="C965" s="12" t="s">
        <v>4953</v>
      </c>
      <c r="D965" s="12" t="s">
        <v>1103</v>
      </c>
      <c r="E965" s="12" t="n">
        <v>2</v>
      </c>
      <c r="F965" s="12" t="s">
        <v>2387</v>
      </c>
      <c r="G965" s="12" t="s">
        <v>2310</v>
      </c>
      <c r="H965" s="13" t="n">
        <v>7472</v>
      </c>
      <c r="I965" s="17"/>
      <c r="J965" s="13" t="n">
        <v>825</v>
      </c>
      <c r="K965" s="12" t="n">
        <v>6.2</v>
      </c>
      <c r="L965" s="12" t="s">
        <v>92</v>
      </c>
      <c r="M965" s="12" t="s">
        <v>4954</v>
      </c>
    </row>
    <row r="966" customFormat="false" ht="15" hidden="false" customHeight="false" outlineLevel="0" collapsed="false">
      <c r="A966" s="12" t="s">
        <v>2306</v>
      </c>
      <c r="B966" s="12" t="s">
        <v>4955</v>
      </c>
      <c r="D966" s="12" t="s">
        <v>251</v>
      </c>
      <c r="E966" s="12" t="n">
        <v>2</v>
      </c>
      <c r="F966" s="12" t="s">
        <v>2387</v>
      </c>
      <c r="G966" s="12" t="s">
        <v>2310</v>
      </c>
      <c r="H966" s="13" t="n">
        <v>122322</v>
      </c>
      <c r="I966" s="17"/>
      <c r="J966" s="13" t="n">
        <v>207</v>
      </c>
      <c r="K966" s="12" t="n">
        <v>5.5</v>
      </c>
      <c r="L966" s="12" t="s">
        <v>92</v>
      </c>
      <c r="M966" s="12" t="s">
        <v>4956</v>
      </c>
    </row>
    <row r="967" customFormat="false" ht="15" hidden="false" customHeight="false" outlineLevel="0" collapsed="false">
      <c r="A967" s="12" t="s">
        <v>2306</v>
      </c>
      <c r="B967" s="12" t="s">
        <v>4957</v>
      </c>
      <c r="C967" s="12" t="s">
        <v>4958</v>
      </c>
      <c r="D967" s="12" t="s">
        <v>183</v>
      </c>
      <c r="E967" s="12" t="n">
        <v>2</v>
      </c>
      <c r="F967" s="12" t="s">
        <v>2387</v>
      </c>
      <c r="G967" s="12" t="s">
        <v>2310</v>
      </c>
      <c r="H967" s="13" t="n">
        <v>164589</v>
      </c>
      <c r="I967" s="17"/>
      <c r="J967" s="13" t="n">
        <v>128</v>
      </c>
      <c r="K967" s="12" t="n">
        <v>5.1</v>
      </c>
      <c r="L967" s="12" t="s">
        <v>92</v>
      </c>
      <c r="M967" s="12" t="s">
        <v>4959</v>
      </c>
    </row>
    <row r="968" customFormat="false" ht="15" hidden="false" customHeight="false" outlineLevel="0" collapsed="false">
      <c r="A968" s="12" t="s">
        <v>2306</v>
      </c>
      <c r="B968" s="12" t="s">
        <v>4960</v>
      </c>
      <c r="C968" s="12" t="s">
        <v>4490</v>
      </c>
      <c r="D968" s="12" t="s">
        <v>321</v>
      </c>
      <c r="E968" s="12" t="n">
        <v>2</v>
      </c>
      <c r="F968" s="12" t="s">
        <v>2387</v>
      </c>
      <c r="G968" s="12" t="s">
        <v>2310</v>
      </c>
      <c r="H968" s="13" t="n">
        <v>141218</v>
      </c>
      <c r="I968" s="17"/>
      <c r="J968" s="13" t="n">
        <v>170</v>
      </c>
      <c r="K968" s="12" t="n">
        <v>4.9</v>
      </c>
      <c r="L968" s="12" t="s">
        <v>92</v>
      </c>
      <c r="M968" s="12" t="s">
        <v>4961</v>
      </c>
    </row>
    <row r="969" customFormat="false" ht="15" hidden="false" customHeight="false" outlineLevel="0" collapsed="false">
      <c r="A969" s="12" t="s">
        <v>2306</v>
      </c>
      <c r="B969" s="12" t="s">
        <v>4962</v>
      </c>
      <c r="C969" s="12" t="s">
        <v>4963</v>
      </c>
      <c r="D969" s="12" t="s">
        <v>358</v>
      </c>
      <c r="E969" s="12" t="n">
        <v>2</v>
      </c>
      <c r="F969" s="12" t="s">
        <v>2387</v>
      </c>
      <c r="G969" s="12" t="s">
        <v>2310</v>
      </c>
      <c r="H969" s="13" t="n">
        <v>172374</v>
      </c>
      <c r="I969" s="17"/>
      <c r="J969" s="13" t="n">
        <v>88</v>
      </c>
      <c r="K969" s="12" t="n">
        <v>5.8</v>
      </c>
      <c r="L969" s="12" t="s">
        <v>92</v>
      </c>
      <c r="M969" s="12" t="s">
        <v>4964</v>
      </c>
    </row>
    <row r="970" customFormat="false" ht="15" hidden="false" customHeight="false" outlineLevel="0" collapsed="false">
      <c r="A970" s="12" t="s">
        <v>2306</v>
      </c>
      <c r="B970" s="12" t="s">
        <v>4965</v>
      </c>
      <c r="C970" s="12" t="s">
        <v>4966</v>
      </c>
      <c r="D970" s="12" t="s">
        <v>101</v>
      </c>
      <c r="E970" s="12" t="n">
        <v>2</v>
      </c>
      <c r="F970" s="12" t="s">
        <v>2387</v>
      </c>
      <c r="G970" s="12" t="s">
        <v>2310</v>
      </c>
      <c r="H970" s="13" t="n">
        <v>12675</v>
      </c>
      <c r="I970" s="17"/>
      <c r="J970" s="13" t="n">
        <v>710</v>
      </c>
      <c r="K970" s="12" t="n">
        <v>5.5</v>
      </c>
      <c r="L970" s="12" t="s">
        <v>92</v>
      </c>
      <c r="M970" s="12" t="s">
        <v>4967</v>
      </c>
    </row>
    <row r="971" customFormat="false" ht="15" hidden="false" customHeight="false" outlineLevel="0" collapsed="false">
      <c r="A971" s="12" t="s">
        <v>2306</v>
      </c>
      <c r="B971" s="12" t="s">
        <v>4968</v>
      </c>
      <c r="C971" s="12" t="s">
        <v>4969</v>
      </c>
      <c r="D971" s="12" t="s">
        <v>358</v>
      </c>
      <c r="E971" s="12" t="n">
        <v>2</v>
      </c>
      <c r="F971" s="12" t="s">
        <v>2387</v>
      </c>
      <c r="G971" s="12" t="s">
        <v>2310</v>
      </c>
      <c r="H971" s="13" t="n">
        <v>98006</v>
      </c>
      <c r="I971" s="17"/>
      <c r="J971" s="13" t="n">
        <v>217</v>
      </c>
      <c r="K971" s="12" t="n">
        <v>6</v>
      </c>
      <c r="L971" s="12" t="s">
        <v>92</v>
      </c>
      <c r="M971" s="12" t="s">
        <v>4970</v>
      </c>
    </row>
    <row r="972" customFormat="false" ht="15" hidden="false" customHeight="false" outlineLevel="0" collapsed="false">
      <c r="A972" s="12" t="s">
        <v>2306</v>
      </c>
      <c r="B972" s="12" t="s">
        <v>4971</v>
      </c>
      <c r="D972" s="12" t="s">
        <v>251</v>
      </c>
      <c r="E972" s="12" t="n">
        <v>2</v>
      </c>
      <c r="F972" s="12" t="s">
        <v>2387</v>
      </c>
      <c r="G972" s="12" t="s">
        <v>2310</v>
      </c>
      <c r="H972" s="13" t="n">
        <v>154179</v>
      </c>
      <c r="I972" s="17"/>
      <c r="J972" s="13" t="n">
        <v>86</v>
      </c>
      <c r="K972" s="12" t="n">
        <v>5.2</v>
      </c>
      <c r="L972" s="12" t="s">
        <v>92</v>
      </c>
      <c r="M972" s="12" t="s">
        <v>4972</v>
      </c>
    </row>
    <row r="973" customFormat="false" ht="15" hidden="false" customHeight="false" outlineLevel="0" collapsed="false">
      <c r="A973" s="12" t="s">
        <v>2306</v>
      </c>
      <c r="B973" s="12" t="s">
        <v>4973</v>
      </c>
      <c r="C973" s="12" t="s">
        <v>4974</v>
      </c>
      <c r="D973" s="12" t="s">
        <v>321</v>
      </c>
      <c r="E973" s="12" t="n">
        <v>2</v>
      </c>
      <c r="F973" s="12" t="s">
        <v>2387</v>
      </c>
      <c r="G973" s="12" t="s">
        <v>2310</v>
      </c>
      <c r="H973" s="13" t="n">
        <v>108277</v>
      </c>
      <c r="I973" s="17"/>
      <c r="J973" s="13" t="n">
        <v>193</v>
      </c>
      <c r="K973" s="12" t="n">
        <v>5.4</v>
      </c>
      <c r="L973" s="12" t="s">
        <v>92</v>
      </c>
      <c r="M973" s="12" t="s">
        <v>4975</v>
      </c>
    </row>
    <row r="974" customFormat="false" ht="15" hidden="false" customHeight="false" outlineLevel="0" collapsed="false">
      <c r="A974" s="12" t="s">
        <v>2306</v>
      </c>
      <c r="B974" s="12" t="s">
        <v>4976</v>
      </c>
      <c r="D974" s="12" t="s">
        <v>134</v>
      </c>
      <c r="E974" s="12" t="n">
        <v>1</v>
      </c>
      <c r="F974" s="12" t="s">
        <v>2404</v>
      </c>
      <c r="G974" s="12" t="s">
        <v>2405</v>
      </c>
      <c r="H974" s="13" t="n">
        <v>64017</v>
      </c>
      <c r="I974" s="17"/>
      <c r="J974" s="17"/>
      <c r="L974" s="12" t="s">
        <v>92</v>
      </c>
    </row>
    <row r="975" customFormat="false" ht="15" hidden="false" customHeight="false" outlineLevel="0" collapsed="false">
      <c r="A975" s="12" t="s">
        <v>2306</v>
      </c>
      <c r="B975" s="12" t="s">
        <v>4977</v>
      </c>
      <c r="C975" s="12" t="s">
        <v>4978</v>
      </c>
      <c r="D975" s="12" t="s">
        <v>140</v>
      </c>
      <c r="E975" s="12" t="n">
        <v>2</v>
      </c>
      <c r="F975" s="12" t="s">
        <v>2387</v>
      </c>
      <c r="G975" s="12" t="s">
        <v>2310</v>
      </c>
      <c r="H975" s="13" t="n">
        <v>74901</v>
      </c>
      <c r="I975" s="17"/>
      <c r="J975" s="13" t="n">
        <v>246</v>
      </c>
      <c r="K975" s="12" t="n">
        <v>7.7</v>
      </c>
      <c r="L975" s="12" t="s">
        <v>92</v>
      </c>
      <c r="M975" s="12" t="s">
        <v>4979</v>
      </c>
    </row>
    <row r="976" customFormat="false" ht="15" hidden="false" customHeight="false" outlineLevel="0" collapsed="false">
      <c r="A976" s="12" t="s">
        <v>2306</v>
      </c>
      <c r="B976" s="12" t="s">
        <v>4980</v>
      </c>
      <c r="D976" s="12" t="s">
        <v>111</v>
      </c>
      <c r="E976" s="12" t="n">
        <v>2</v>
      </c>
      <c r="F976" s="12" t="s">
        <v>2387</v>
      </c>
      <c r="G976" s="12" t="s">
        <v>2310</v>
      </c>
      <c r="H976" s="13" t="n">
        <v>92607</v>
      </c>
      <c r="I976" s="17"/>
      <c r="J976" s="13" t="n">
        <v>203</v>
      </c>
      <c r="K976" s="12" t="n">
        <v>5.3</v>
      </c>
      <c r="L976" s="12" t="s">
        <v>92</v>
      </c>
      <c r="M976" s="12" t="s">
        <v>4981</v>
      </c>
    </row>
    <row r="977" customFormat="false" ht="15" hidden="false" customHeight="false" outlineLevel="0" collapsed="false">
      <c r="A977" s="12" t="s">
        <v>2306</v>
      </c>
      <c r="B977" s="12" t="s">
        <v>4982</v>
      </c>
      <c r="C977" s="12" t="s">
        <v>4983</v>
      </c>
      <c r="D977" s="12" t="s">
        <v>183</v>
      </c>
      <c r="E977" s="12" t="n">
        <v>2</v>
      </c>
      <c r="F977" s="12" t="s">
        <v>2387</v>
      </c>
      <c r="G977" s="12" t="s">
        <v>2310</v>
      </c>
      <c r="H977" s="13" t="n">
        <v>131220</v>
      </c>
      <c r="I977" s="17"/>
      <c r="J977" s="13" t="n">
        <v>124</v>
      </c>
      <c r="K977" s="12" t="n">
        <v>5</v>
      </c>
      <c r="L977" s="12" t="s">
        <v>92</v>
      </c>
      <c r="M977" s="12" t="s">
        <v>4984</v>
      </c>
    </row>
    <row r="978" customFormat="false" ht="15" hidden="false" customHeight="false" outlineLevel="0" collapsed="false">
      <c r="A978" s="12" t="s">
        <v>2306</v>
      </c>
      <c r="B978" s="12" t="s">
        <v>4985</v>
      </c>
      <c r="C978" s="12" t="s">
        <v>4986</v>
      </c>
      <c r="D978" s="12" t="s">
        <v>321</v>
      </c>
      <c r="E978" s="12" t="n">
        <v>2</v>
      </c>
      <c r="F978" s="12" t="s">
        <v>2387</v>
      </c>
      <c r="G978" s="12" t="s">
        <v>2310</v>
      </c>
      <c r="H978" s="13" t="n">
        <v>58631</v>
      </c>
      <c r="I978" s="17"/>
      <c r="J978" s="13" t="n">
        <v>313</v>
      </c>
      <c r="K978" s="12" t="n">
        <v>6.1</v>
      </c>
      <c r="L978" s="12" t="s">
        <v>92</v>
      </c>
      <c r="M978" s="12" t="s">
        <v>4987</v>
      </c>
    </row>
    <row r="979" customFormat="false" ht="15" hidden="false" customHeight="false" outlineLevel="0" collapsed="false">
      <c r="A979" s="12" t="s">
        <v>2306</v>
      </c>
      <c r="B979" s="12" t="s">
        <v>4988</v>
      </c>
      <c r="C979" s="12" t="s">
        <v>4989</v>
      </c>
      <c r="D979" s="12" t="s">
        <v>118</v>
      </c>
      <c r="E979" s="12" t="n">
        <v>2</v>
      </c>
      <c r="F979" s="12" t="s">
        <v>2387</v>
      </c>
      <c r="G979" s="12" t="s">
        <v>2310</v>
      </c>
      <c r="H979" s="13" t="n">
        <v>122128</v>
      </c>
      <c r="I979" s="17"/>
      <c r="J979" s="13" t="n">
        <v>131</v>
      </c>
      <c r="K979" s="12" t="n">
        <v>5.1</v>
      </c>
      <c r="L979" s="12" t="s">
        <v>92</v>
      </c>
      <c r="M979" s="12" t="s">
        <v>4990</v>
      </c>
    </row>
    <row r="980" customFormat="false" ht="15" hidden="false" customHeight="false" outlineLevel="0" collapsed="false">
      <c r="A980" s="12" t="s">
        <v>2306</v>
      </c>
      <c r="B980" s="12" t="s">
        <v>4991</v>
      </c>
      <c r="C980" s="12" t="s">
        <v>4992</v>
      </c>
      <c r="D980" s="12" t="s">
        <v>183</v>
      </c>
      <c r="E980" s="12" t="n">
        <v>2</v>
      </c>
      <c r="F980" s="12" t="s">
        <v>2387</v>
      </c>
      <c r="G980" s="12" t="s">
        <v>2310</v>
      </c>
      <c r="H980" s="13" t="n">
        <v>107590</v>
      </c>
      <c r="I980" s="17"/>
      <c r="J980" s="13" t="n">
        <v>149</v>
      </c>
      <c r="K980" s="12" t="n">
        <v>4.8</v>
      </c>
      <c r="L980" s="12" t="s">
        <v>92</v>
      </c>
      <c r="M980" s="12" t="s">
        <v>4993</v>
      </c>
    </row>
    <row r="981" customFormat="false" ht="15" hidden="false" customHeight="false" outlineLevel="0" collapsed="false">
      <c r="A981" s="12" t="s">
        <v>2306</v>
      </c>
      <c r="B981" s="12" t="s">
        <v>4994</v>
      </c>
      <c r="D981" s="12" t="s">
        <v>175</v>
      </c>
      <c r="E981" s="12" t="n">
        <v>2</v>
      </c>
      <c r="F981" s="12" t="s">
        <v>2387</v>
      </c>
      <c r="G981" s="12" t="s">
        <v>2310</v>
      </c>
      <c r="H981" s="13" t="n">
        <v>63634</v>
      </c>
      <c r="I981" s="17"/>
      <c r="J981" s="13" t="n">
        <v>271</v>
      </c>
      <c r="K981" s="12" t="n">
        <v>2.9</v>
      </c>
      <c r="L981" s="12" t="s">
        <v>92</v>
      </c>
      <c r="M981" s="12" t="s">
        <v>4995</v>
      </c>
    </row>
    <row r="982" customFormat="false" ht="15" hidden="false" customHeight="false" outlineLevel="0" collapsed="false">
      <c r="A982" s="12" t="s">
        <v>2306</v>
      </c>
      <c r="B982" s="12" t="s">
        <v>4996</v>
      </c>
      <c r="C982" s="12" t="s">
        <v>4997</v>
      </c>
      <c r="D982" s="12" t="s">
        <v>111</v>
      </c>
      <c r="E982" s="12" t="n">
        <v>2</v>
      </c>
      <c r="F982" s="12" t="s">
        <v>2387</v>
      </c>
      <c r="G982" s="12" t="s">
        <v>2310</v>
      </c>
      <c r="H982" s="13" t="n">
        <v>40793</v>
      </c>
      <c r="I982" s="17"/>
      <c r="J982" s="13" t="n">
        <v>345</v>
      </c>
      <c r="K982" s="12" t="n">
        <v>6.6</v>
      </c>
      <c r="L982" s="12" t="s">
        <v>92</v>
      </c>
      <c r="M982" s="12" t="s">
        <v>4998</v>
      </c>
    </row>
    <row r="983" customFormat="false" ht="15" hidden="false" customHeight="false" outlineLevel="0" collapsed="false">
      <c r="A983" s="12" t="s">
        <v>2306</v>
      </c>
      <c r="B983" s="12" t="s">
        <v>4999</v>
      </c>
      <c r="D983" s="12" t="s">
        <v>90</v>
      </c>
      <c r="E983" s="12" t="n">
        <v>2</v>
      </c>
      <c r="F983" s="12" t="s">
        <v>2387</v>
      </c>
      <c r="G983" s="12" t="s">
        <v>2310</v>
      </c>
      <c r="H983" s="13" t="n">
        <v>2871</v>
      </c>
      <c r="I983" s="17"/>
      <c r="J983" s="13" t="n">
        <v>629</v>
      </c>
      <c r="K983" s="12" t="n">
        <v>7.2</v>
      </c>
      <c r="L983" s="12" t="s">
        <v>92</v>
      </c>
      <c r="M983" s="12" t="s">
        <v>5000</v>
      </c>
    </row>
    <row r="984" customFormat="false" ht="15" hidden="false" customHeight="false" outlineLevel="0" collapsed="false">
      <c r="A984" s="12" t="s">
        <v>2306</v>
      </c>
      <c r="B984" s="12" t="s">
        <v>5001</v>
      </c>
      <c r="C984" s="12" t="s">
        <v>5002</v>
      </c>
      <c r="D984" s="12" t="s">
        <v>146</v>
      </c>
      <c r="E984" s="12" t="n">
        <v>2</v>
      </c>
      <c r="F984" s="12" t="s">
        <v>2387</v>
      </c>
      <c r="G984" s="12" t="s">
        <v>2310</v>
      </c>
      <c r="H984" s="13" t="n">
        <v>63924</v>
      </c>
      <c r="I984" s="17"/>
      <c r="J984" s="13" t="n">
        <v>231</v>
      </c>
      <c r="K984" s="12" t="n">
        <v>7.2</v>
      </c>
      <c r="L984" s="12" t="s">
        <v>92</v>
      </c>
      <c r="M984" s="12" t="s">
        <v>5003</v>
      </c>
    </row>
    <row r="985" customFormat="false" ht="15" hidden="false" customHeight="false" outlineLevel="0" collapsed="false">
      <c r="A985" s="12" t="s">
        <v>2306</v>
      </c>
      <c r="B985" s="12" t="s">
        <v>5004</v>
      </c>
      <c r="C985" s="12" t="s">
        <v>5005</v>
      </c>
      <c r="D985" s="12" t="s">
        <v>146</v>
      </c>
      <c r="E985" s="12" t="n">
        <v>2</v>
      </c>
      <c r="F985" s="12" t="s">
        <v>2387</v>
      </c>
      <c r="G985" s="12" t="s">
        <v>2310</v>
      </c>
      <c r="H985" s="13" t="n">
        <v>53109</v>
      </c>
      <c r="I985" s="17"/>
      <c r="J985" s="13" t="n">
        <v>254</v>
      </c>
      <c r="K985" s="12" t="n">
        <v>7.4</v>
      </c>
      <c r="L985" s="12" t="s">
        <v>92</v>
      </c>
      <c r="M985" s="12" t="s">
        <v>5006</v>
      </c>
    </row>
    <row r="986" customFormat="false" ht="15" hidden="false" customHeight="false" outlineLevel="0" collapsed="false">
      <c r="A986" s="12" t="s">
        <v>2306</v>
      </c>
      <c r="B986" s="12" t="s">
        <v>5007</v>
      </c>
      <c r="D986" s="12" t="s">
        <v>101</v>
      </c>
      <c r="E986" s="12" t="n">
        <v>2</v>
      </c>
      <c r="F986" s="12" t="s">
        <v>2387</v>
      </c>
      <c r="G986" s="12" t="s">
        <v>2310</v>
      </c>
      <c r="H986" s="13" t="n">
        <v>66136</v>
      </c>
      <c r="I986" s="17"/>
      <c r="J986" s="13" t="n">
        <v>208</v>
      </c>
      <c r="K986" s="12" t="n">
        <v>6</v>
      </c>
      <c r="L986" s="12" t="s">
        <v>92</v>
      </c>
      <c r="M986" s="12" t="s">
        <v>5008</v>
      </c>
    </row>
    <row r="987" customFormat="false" ht="15" hidden="false" customHeight="false" outlineLevel="0" collapsed="false">
      <c r="A987" s="12" t="s">
        <v>2306</v>
      </c>
      <c r="B987" s="12" t="s">
        <v>5009</v>
      </c>
      <c r="D987" s="12" t="s">
        <v>358</v>
      </c>
      <c r="E987" s="12" t="n">
        <v>2</v>
      </c>
      <c r="F987" s="12" t="s">
        <v>2387</v>
      </c>
      <c r="G987" s="12" t="s">
        <v>2310</v>
      </c>
      <c r="H987" s="13" t="n">
        <v>37410</v>
      </c>
      <c r="I987" s="17"/>
      <c r="J987" s="13" t="n">
        <v>343</v>
      </c>
      <c r="K987" s="12" t="n">
        <v>3.5</v>
      </c>
      <c r="L987" s="12" t="s">
        <v>92</v>
      </c>
      <c r="M987" s="12" t="s">
        <v>5010</v>
      </c>
    </row>
    <row r="988" customFormat="false" ht="15" hidden="false" customHeight="false" outlineLevel="0" collapsed="false">
      <c r="A988" s="12" t="s">
        <v>2306</v>
      </c>
      <c r="B988" s="12" t="s">
        <v>5011</v>
      </c>
      <c r="C988" s="12" t="s">
        <v>5012</v>
      </c>
      <c r="D988" s="12" t="s">
        <v>175</v>
      </c>
      <c r="E988" s="12" t="n">
        <v>2</v>
      </c>
      <c r="F988" s="12" t="s">
        <v>2387</v>
      </c>
      <c r="G988" s="12" t="s">
        <v>2310</v>
      </c>
      <c r="H988" s="13" t="n">
        <v>102123</v>
      </c>
      <c r="I988" s="17"/>
      <c r="J988" s="13" t="n">
        <v>52</v>
      </c>
      <c r="K988" s="12" t="n">
        <v>7.3</v>
      </c>
      <c r="L988" s="12" t="s">
        <v>92</v>
      </c>
      <c r="M988" s="12" t="s">
        <v>5013</v>
      </c>
    </row>
    <row r="989" customFormat="false" ht="15" hidden="false" customHeight="false" outlineLevel="0" collapsed="false">
      <c r="A989" s="12" t="s">
        <v>2306</v>
      </c>
      <c r="B989" s="12" t="s">
        <v>5014</v>
      </c>
      <c r="D989" s="12" t="s">
        <v>111</v>
      </c>
      <c r="E989" s="12" t="n">
        <v>2</v>
      </c>
      <c r="F989" s="12" t="s">
        <v>2387</v>
      </c>
      <c r="G989" s="12" t="s">
        <v>2310</v>
      </c>
      <c r="H989" s="13" t="n">
        <v>49147</v>
      </c>
      <c r="I989" s="17"/>
      <c r="J989" s="13" t="n">
        <v>255</v>
      </c>
      <c r="K989" s="12" t="n">
        <v>6.9</v>
      </c>
      <c r="L989" s="12" t="s">
        <v>92</v>
      </c>
      <c r="M989" s="12" t="s">
        <v>5015</v>
      </c>
    </row>
    <row r="990" customFormat="false" ht="15" hidden="false" customHeight="false" outlineLevel="0" collapsed="false">
      <c r="A990" s="12" t="s">
        <v>2306</v>
      </c>
      <c r="B990" s="12" t="s">
        <v>5016</v>
      </c>
      <c r="D990" s="12" t="s">
        <v>101</v>
      </c>
      <c r="E990" s="12" t="n">
        <v>2</v>
      </c>
      <c r="F990" s="12" t="s">
        <v>2387</v>
      </c>
      <c r="G990" s="12" t="s">
        <v>2310</v>
      </c>
      <c r="H990" s="13" t="n">
        <v>73216</v>
      </c>
      <c r="I990" s="17"/>
      <c r="J990" s="13" t="n">
        <v>148</v>
      </c>
      <c r="K990" s="12" t="n">
        <v>5.9</v>
      </c>
      <c r="L990" s="12" t="s">
        <v>92</v>
      </c>
      <c r="M990" s="12" t="s">
        <v>5017</v>
      </c>
    </row>
    <row r="991" customFormat="false" ht="15" hidden="false" customHeight="false" outlineLevel="0" collapsed="false">
      <c r="A991" s="12" t="s">
        <v>2306</v>
      </c>
      <c r="B991" s="12" t="s">
        <v>5018</v>
      </c>
      <c r="D991" s="12" t="s">
        <v>1103</v>
      </c>
      <c r="E991" s="12" t="n">
        <v>2</v>
      </c>
      <c r="F991" s="12" t="s">
        <v>2387</v>
      </c>
      <c r="G991" s="12" t="s">
        <v>2310</v>
      </c>
      <c r="H991" s="13" t="n">
        <v>3944</v>
      </c>
      <c r="I991" s="17"/>
      <c r="J991" s="13" t="n">
        <v>507</v>
      </c>
      <c r="K991" s="12" t="n">
        <v>7.2</v>
      </c>
      <c r="L991" s="12" t="s">
        <v>92</v>
      </c>
      <c r="M991" s="12" t="s">
        <v>5019</v>
      </c>
    </row>
    <row r="992" customFormat="false" ht="15" hidden="false" customHeight="false" outlineLevel="0" collapsed="false">
      <c r="A992" s="12" t="s">
        <v>2306</v>
      </c>
      <c r="B992" s="12" t="s">
        <v>5020</v>
      </c>
      <c r="D992" s="12" t="s">
        <v>251</v>
      </c>
      <c r="E992" s="12" t="n">
        <v>1</v>
      </c>
      <c r="F992" s="12" t="s">
        <v>2404</v>
      </c>
      <c r="G992" s="12" t="s">
        <v>2405</v>
      </c>
      <c r="H992" s="13" t="n">
        <v>47642</v>
      </c>
      <c r="I992" s="17"/>
      <c r="J992" s="17"/>
      <c r="L992" s="12" t="s">
        <v>92</v>
      </c>
    </row>
    <row r="993" customFormat="false" ht="15" hidden="false" customHeight="false" outlineLevel="0" collapsed="false">
      <c r="A993" s="12" t="s">
        <v>2306</v>
      </c>
      <c r="B993" s="12" t="s">
        <v>5021</v>
      </c>
      <c r="C993" s="12" t="s">
        <v>5022</v>
      </c>
      <c r="D993" s="12" t="s">
        <v>118</v>
      </c>
      <c r="E993" s="12" t="n">
        <v>2</v>
      </c>
      <c r="F993" s="12" t="s">
        <v>2387</v>
      </c>
      <c r="G993" s="12" t="s">
        <v>2310</v>
      </c>
      <c r="H993" s="13" t="n">
        <v>83853</v>
      </c>
      <c r="I993" s="17"/>
      <c r="J993" s="13" t="n">
        <v>62</v>
      </c>
      <c r="K993" s="12" t="n">
        <v>5.8</v>
      </c>
      <c r="L993" s="12" t="s">
        <v>92</v>
      </c>
      <c r="M993" s="12" t="s">
        <v>5023</v>
      </c>
    </row>
    <row r="994" customFormat="false" ht="15" hidden="false" customHeight="false" outlineLevel="0" collapsed="false">
      <c r="A994" s="12" t="s">
        <v>2306</v>
      </c>
      <c r="B994" s="12" t="s">
        <v>5024</v>
      </c>
      <c r="C994" s="12" t="s">
        <v>5025</v>
      </c>
      <c r="D994" s="12" t="s">
        <v>251</v>
      </c>
      <c r="E994" s="12" t="n">
        <v>2</v>
      </c>
      <c r="F994" s="12" t="s">
        <v>2387</v>
      </c>
      <c r="G994" s="12" t="s">
        <v>2310</v>
      </c>
      <c r="H994" s="13" t="n">
        <v>73119</v>
      </c>
      <c r="I994" s="17"/>
      <c r="J994" s="13" t="n">
        <v>124</v>
      </c>
      <c r="K994" s="12" t="n">
        <v>5.4</v>
      </c>
      <c r="L994" s="12" t="s">
        <v>92</v>
      </c>
      <c r="M994" s="12" t="s">
        <v>5026</v>
      </c>
    </row>
    <row r="995" customFormat="false" ht="15" hidden="false" customHeight="false" outlineLevel="0" collapsed="false">
      <c r="A995" s="12" t="s">
        <v>2306</v>
      </c>
      <c r="B995" s="12" t="s">
        <v>5027</v>
      </c>
      <c r="C995" s="12" t="s">
        <v>5028</v>
      </c>
      <c r="D995" s="12" t="s">
        <v>118</v>
      </c>
      <c r="E995" s="12" t="n">
        <v>2</v>
      </c>
      <c r="F995" s="12" t="s">
        <v>2387</v>
      </c>
      <c r="G995" s="12" t="s">
        <v>2310</v>
      </c>
      <c r="H995" s="13" t="n">
        <v>50810</v>
      </c>
      <c r="I995" s="17"/>
      <c r="J995" s="13" t="n">
        <v>200</v>
      </c>
      <c r="K995" s="12" t="n">
        <v>6.3</v>
      </c>
      <c r="L995" s="12" t="s">
        <v>92</v>
      </c>
      <c r="M995" s="12" t="s">
        <v>5029</v>
      </c>
    </row>
    <row r="996" customFormat="false" ht="15" hidden="false" customHeight="false" outlineLevel="0" collapsed="false">
      <c r="A996" s="12" t="s">
        <v>2306</v>
      </c>
      <c r="B996" s="12" t="s">
        <v>5030</v>
      </c>
      <c r="C996" s="12" t="s">
        <v>5031</v>
      </c>
      <c r="D996" s="12" t="s">
        <v>175</v>
      </c>
      <c r="E996" s="12" t="n">
        <v>2</v>
      </c>
      <c r="F996" s="12" t="s">
        <v>2387</v>
      </c>
      <c r="G996" s="12" t="s">
        <v>2310</v>
      </c>
      <c r="H996" s="13" t="n">
        <v>51238</v>
      </c>
      <c r="I996" s="17"/>
      <c r="J996" s="13" t="n">
        <v>182</v>
      </c>
      <c r="K996" s="12" t="n">
        <v>6.2</v>
      </c>
      <c r="L996" s="12" t="s">
        <v>92</v>
      </c>
      <c r="M996" s="12" t="s">
        <v>5032</v>
      </c>
    </row>
    <row r="997" customFormat="false" ht="15" hidden="false" customHeight="false" outlineLevel="0" collapsed="false">
      <c r="A997" s="12" t="s">
        <v>2306</v>
      </c>
      <c r="B997" s="12" t="s">
        <v>5033</v>
      </c>
      <c r="C997" s="12" t="s">
        <v>5034</v>
      </c>
      <c r="D997" s="12" t="s">
        <v>101</v>
      </c>
      <c r="E997" s="12" t="n">
        <v>2</v>
      </c>
      <c r="F997" s="12" t="s">
        <v>2387</v>
      </c>
      <c r="G997" s="12" t="s">
        <v>2310</v>
      </c>
      <c r="H997" s="13" t="n">
        <v>5508</v>
      </c>
      <c r="I997" s="17"/>
      <c r="J997" s="13" t="n">
        <v>362</v>
      </c>
      <c r="K997" s="12" t="n">
        <v>7.2</v>
      </c>
      <c r="L997" s="12" t="s">
        <v>92</v>
      </c>
      <c r="M997" s="12" t="s">
        <v>5035</v>
      </c>
    </row>
    <row r="998" customFormat="false" ht="15" hidden="false" customHeight="false" outlineLevel="0" collapsed="false">
      <c r="A998" s="12" t="s">
        <v>2306</v>
      </c>
      <c r="B998" s="12" t="s">
        <v>5036</v>
      </c>
      <c r="D998" s="12" t="s">
        <v>175</v>
      </c>
      <c r="E998" s="12" t="n">
        <v>2</v>
      </c>
      <c r="F998" s="12" t="s">
        <v>2387</v>
      </c>
      <c r="G998" s="12" t="s">
        <v>2310</v>
      </c>
      <c r="H998" s="13" t="n">
        <v>36194</v>
      </c>
      <c r="I998" s="17"/>
      <c r="J998" s="13" t="n">
        <v>238</v>
      </c>
      <c r="K998" s="12" t="n">
        <v>5.5</v>
      </c>
      <c r="L998" s="12" t="s">
        <v>92</v>
      </c>
      <c r="M998" s="12" t="s">
        <v>5037</v>
      </c>
    </row>
    <row r="999" customFormat="false" ht="15" hidden="false" customHeight="false" outlineLevel="0" collapsed="false">
      <c r="A999" s="12" t="s">
        <v>2306</v>
      </c>
      <c r="B999" s="12" t="s">
        <v>5038</v>
      </c>
      <c r="D999" s="12" t="s">
        <v>175</v>
      </c>
      <c r="E999" s="12" t="n">
        <v>2</v>
      </c>
      <c r="F999" s="12" t="s">
        <v>2387</v>
      </c>
      <c r="G999" s="12" t="s">
        <v>2310</v>
      </c>
      <c r="H999" s="13" t="n">
        <v>55258</v>
      </c>
      <c r="I999" s="17"/>
      <c r="J999" s="13" t="n">
        <v>156</v>
      </c>
      <c r="K999" s="12" t="n">
        <v>5.1</v>
      </c>
      <c r="L999" s="12" t="s">
        <v>92</v>
      </c>
      <c r="M999" s="12" t="s">
        <v>5039</v>
      </c>
    </row>
    <row r="1000" customFormat="false" ht="15" hidden="false" customHeight="false" outlineLevel="0" collapsed="false">
      <c r="A1000" s="12" t="s">
        <v>2306</v>
      </c>
      <c r="B1000" s="12" t="s">
        <v>5040</v>
      </c>
      <c r="C1000" s="12" t="s">
        <v>5041</v>
      </c>
      <c r="D1000" s="12" t="s">
        <v>118</v>
      </c>
      <c r="E1000" s="12" t="n">
        <v>2</v>
      </c>
      <c r="F1000" s="12" t="s">
        <v>2387</v>
      </c>
      <c r="G1000" s="12" t="s">
        <v>2310</v>
      </c>
      <c r="H1000" s="13" t="n">
        <v>74492</v>
      </c>
      <c r="I1000" s="17"/>
      <c r="J1000" s="13" t="n">
        <v>54</v>
      </c>
      <c r="K1000" s="12" t="n">
        <v>3.3</v>
      </c>
      <c r="L1000" s="12" t="s">
        <v>92</v>
      </c>
      <c r="M1000" s="12" t="s">
        <v>5042</v>
      </c>
    </row>
    <row r="1001" customFormat="false" ht="15" hidden="false" customHeight="false" outlineLevel="0" collapsed="false">
      <c r="A1001" s="12" t="s">
        <v>2306</v>
      </c>
      <c r="B1001" s="12" t="s">
        <v>5043</v>
      </c>
      <c r="D1001" s="12" t="s">
        <v>146</v>
      </c>
      <c r="E1001" s="12" t="n">
        <v>2</v>
      </c>
      <c r="F1001" s="12" t="s">
        <v>2387</v>
      </c>
      <c r="G1001" s="12" t="s">
        <v>2310</v>
      </c>
      <c r="H1001" s="13" t="n">
        <v>59397</v>
      </c>
      <c r="I1001" s="17"/>
      <c r="J1001" s="13" t="n">
        <v>143</v>
      </c>
      <c r="K1001" s="12" t="n">
        <v>4.8</v>
      </c>
      <c r="L1001" s="12" t="s">
        <v>92</v>
      </c>
      <c r="M1001" s="12" t="s">
        <v>5044</v>
      </c>
    </row>
    <row r="1002" customFormat="false" ht="15" hidden="false" customHeight="false" outlineLevel="0" collapsed="false">
      <c r="A1002" s="12" t="s">
        <v>2306</v>
      </c>
      <c r="B1002" s="12" t="s">
        <v>5045</v>
      </c>
      <c r="C1002" s="12" t="s">
        <v>5046</v>
      </c>
      <c r="D1002" s="12" t="s">
        <v>251</v>
      </c>
      <c r="E1002" s="12" t="n">
        <v>2</v>
      </c>
      <c r="F1002" s="12" t="s">
        <v>2387</v>
      </c>
      <c r="G1002" s="12" t="s">
        <v>2310</v>
      </c>
      <c r="H1002" s="13" t="n">
        <v>77525</v>
      </c>
      <c r="I1002" s="17"/>
      <c r="J1002" s="13" t="n">
        <v>30</v>
      </c>
      <c r="K1002" s="12" t="n">
        <v>3.4</v>
      </c>
      <c r="L1002" s="12" t="s">
        <v>92</v>
      </c>
      <c r="M1002" s="12" t="s">
        <v>5047</v>
      </c>
    </row>
    <row r="1003" customFormat="false" ht="15" hidden="false" customHeight="false" outlineLevel="0" collapsed="false">
      <c r="A1003" s="12" t="s">
        <v>2306</v>
      </c>
      <c r="B1003" s="12" t="s">
        <v>5048</v>
      </c>
      <c r="C1003" s="12" t="s">
        <v>5049</v>
      </c>
      <c r="D1003" s="12" t="s">
        <v>251</v>
      </c>
      <c r="E1003" s="12" t="n">
        <v>2</v>
      </c>
      <c r="F1003" s="12" t="s">
        <v>2387</v>
      </c>
      <c r="G1003" s="12" t="s">
        <v>2310</v>
      </c>
      <c r="H1003" s="13" t="n">
        <v>40263</v>
      </c>
      <c r="I1003" s="17"/>
      <c r="J1003" s="13" t="n">
        <v>204</v>
      </c>
      <c r="K1003" s="12" t="n">
        <v>5.9</v>
      </c>
      <c r="L1003" s="12" t="s">
        <v>92</v>
      </c>
      <c r="M1003" s="12" t="s">
        <v>5050</v>
      </c>
    </row>
    <row r="1004" customFormat="false" ht="15" hidden="false" customHeight="false" outlineLevel="0" collapsed="false">
      <c r="A1004" s="12" t="s">
        <v>2306</v>
      </c>
      <c r="B1004" s="12" t="s">
        <v>5051</v>
      </c>
      <c r="C1004" s="12" t="s">
        <v>5052</v>
      </c>
      <c r="D1004" s="12" t="s">
        <v>321</v>
      </c>
      <c r="E1004" s="12" t="n">
        <v>2</v>
      </c>
      <c r="F1004" s="12" t="s">
        <v>2387</v>
      </c>
      <c r="G1004" s="12" t="s">
        <v>2310</v>
      </c>
      <c r="H1004" s="13" t="n">
        <v>63277</v>
      </c>
      <c r="I1004" s="17"/>
      <c r="J1004" s="13" t="n">
        <v>105</v>
      </c>
      <c r="K1004" s="12" t="n">
        <v>6.2</v>
      </c>
      <c r="L1004" s="12" t="s">
        <v>92</v>
      </c>
      <c r="M1004" s="12" t="s">
        <v>5053</v>
      </c>
    </row>
    <row r="1005" customFormat="false" ht="15" hidden="false" customHeight="false" outlineLevel="0" collapsed="false">
      <c r="A1005" s="12" t="s">
        <v>2306</v>
      </c>
      <c r="B1005" s="12" t="s">
        <v>5054</v>
      </c>
      <c r="D1005" s="12" t="s">
        <v>175</v>
      </c>
      <c r="E1005" s="12" t="n">
        <v>2</v>
      </c>
      <c r="F1005" s="12" t="s">
        <v>2387</v>
      </c>
      <c r="G1005" s="12" t="s">
        <v>2310</v>
      </c>
      <c r="H1005" s="13" t="n">
        <v>46251</v>
      </c>
      <c r="I1005" s="17"/>
      <c r="J1005" s="13" t="n">
        <v>177</v>
      </c>
      <c r="K1005" s="12" t="n">
        <v>5.4</v>
      </c>
      <c r="L1005" s="12" t="s">
        <v>92</v>
      </c>
      <c r="M1005" s="12" t="s">
        <v>5055</v>
      </c>
    </row>
    <row r="1006" customFormat="false" ht="15" hidden="false" customHeight="false" outlineLevel="0" collapsed="false">
      <c r="A1006" s="12" t="s">
        <v>2306</v>
      </c>
      <c r="B1006" s="12" t="s">
        <v>5056</v>
      </c>
      <c r="D1006" s="12" t="s">
        <v>118</v>
      </c>
      <c r="E1006" s="12" t="n">
        <v>2</v>
      </c>
      <c r="F1006" s="12" t="s">
        <v>2387</v>
      </c>
      <c r="G1006" s="12" t="s">
        <v>2310</v>
      </c>
      <c r="H1006" s="13" t="n">
        <v>40518</v>
      </c>
      <c r="I1006" s="17"/>
      <c r="J1006" s="13" t="n">
        <v>184</v>
      </c>
      <c r="K1006" s="12" t="n">
        <v>6</v>
      </c>
      <c r="L1006" s="12" t="s">
        <v>92</v>
      </c>
      <c r="M1006" s="12" t="s">
        <v>5057</v>
      </c>
    </row>
    <row r="1007" customFormat="false" ht="15" hidden="false" customHeight="false" outlineLevel="0" collapsed="false">
      <c r="A1007" s="12" t="s">
        <v>2306</v>
      </c>
      <c r="B1007" s="12" t="s">
        <v>5058</v>
      </c>
      <c r="C1007" s="12" t="s">
        <v>5059</v>
      </c>
      <c r="D1007" s="12" t="s">
        <v>1103</v>
      </c>
      <c r="E1007" s="12" t="n">
        <v>2</v>
      </c>
      <c r="F1007" s="12" t="s">
        <v>2387</v>
      </c>
      <c r="G1007" s="12" t="s">
        <v>2310</v>
      </c>
      <c r="H1007" s="13" t="n">
        <v>31306</v>
      </c>
      <c r="I1007" s="17"/>
      <c r="J1007" s="13" t="n">
        <v>210</v>
      </c>
      <c r="K1007" s="12" t="n">
        <v>5.6</v>
      </c>
      <c r="L1007" s="12" t="s">
        <v>92</v>
      </c>
      <c r="M1007" s="12" t="s">
        <v>5060</v>
      </c>
    </row>
    <row r="1008" customFormat="false" ht="15" hidden="false" customHeight="false" outlineLevel="0" collapsed="false">
      <c r="A1008" s="12" t="s">
        <v>2306</v>
      </c>
      <c r="B1008" s="12" t="s">
        <v>5061</v>
      </c>
      <c r="C1008" s="12" t="s">
        <v>5062</v>
      </c>
      <c r="D1008" s="12" t="s">
        <v>358</v>
      </c>
      <c r="E1008" s="12" t="n">
        <v>2</v>
      </c>
      <c r="F1008" s="12" t="s">
        <v>2387</v>
      </c>
      <c r="G1008" s="12" t="s">
        <v>2310</v>
      </c>
      <c r="H1008" s="13" t="n">
        <v>44421</v>
      </c>
      <c r="I1008" s="17"/>
      <c r="J1008" s="13" t="n">
        <v>167</v>
      </c>
      <c r="K1008" s="12" t="n">
        <v>6.4</v>
      </c>
      <c r="L1008" s="12" t="s">
        <v>92</v>
      </c>
      <c r="M1008" s="12" t="s">
        <v>5063</v>
      </c>
    </row>
    <row r="1009" customFormat="false" ht="15" hidden="false" customHeight="false" outlineLevel="0" collapsed="false">
      <c r="A1009" s="12" t="s">
        <v>2306</v>
      </c>
      <c r="B1009" s="12" t="s">
        <v>5064</v>
      </c>
      <c r="C1009" s="12" t="s">
        <v>5065</v>
      </c>
      <c r="D1009" s="12" t="s">
        <v>1103</v>
      </c>
      <c r="E1009" s="12" t="n">
        <v>2</v>
      </c>
      <c r="F1009" s="12" t="s">
        <v>2387</v>
      </c>
      <c r="G1009" s="12" t="s">
        <v>2310</v>
      </c>
      <c r="H1009" s="13" t="n">
        <v>5582</v>
      </c>
      <c r="I1009" s="17"/>
      <c r="J1009" s="13" t="n">
        <v>259</v>
      </c>
      <c r="K1009" s="12" t="n">
        <v>6.6</v>
      </c>
      <c r="L1009" s="12" t="s">
        <v>92</v>
      </c>
      <c r="M1009" s="12" t="s">
        <v>5066</v>
      </c>
    </row>
    <row r="1010" customFormat="false" ht="15" hidden="false" customHeight="false" outlineLevel="0" collapsed="false">
      <c r="A1010" s="12" t="s">
        <v>2306</v>
      </c>
      <c r="B1010" s="12" t="s">
        <v>5067</v>
      </c>
      <c r="D1010" s="12" t="s">
        <v>118</v>
      </c>
      <c r="E1010" s="12" t="n">
        <v>2</v>
      </c>
      <c r="F1010" s="12" t="s">
        <v>2387</v>
      </c>
      <c r="G1010" s="12" t="s">
        <v>2310</v>
      </c>
      <c r="H1010" s="13" t="n">
        <v>35834</v>
      </c>
      <c r="I1010" s="17"/>
      <c r="J1010" s="13" t="n">
        <v>155</v>
      </c>
      <c r="K1010" s="12" t="n">
        <v>4.2</v>
      </c>
      <c r="L1010" s="12" t="s">
        <v>92</v>
      </c>
      <c r="M1010" s="12" t="s">
        <v>5068</v>
      </c>
    </row>
    <row r="1011" customFormat="false" ht="15" hidden="false" customHeight="false" outlineLevel="0" collapsed="false">
      <c r="A1011" s="12" t="s">
        <v>2306</v>
      </c>
      <c r="B1011" s="12" t="s">
        <v>5069</v>
      </c>
      <c r="C1011" s="12" t="s">
        <v>5070</v>
      </c>
      <c r="D1011" s="12" t="s">
        <v>134</v>
      </c>
      <c r="E1011" s="12" t="n">
        <v>2</v>
      </c>
      <c r="F1011" s="12" t="s">
        <v>2387</v>
      </c>
      <c r="G1011" s="12" t="s">
        <v>2310</v>
      </c>
      <c r="H1011" s="13" t="n">
        <v>53929</v>
      </c>
      <c r="I1011" s="17"/>
      <c r="J1011" s="13" t="n">
        <v>19</v>
      </c>
      <c r="K1011" s="12" t="n">
        <v>8</v>
      </c>
      <c r="L1011" s="12" t="s">
        <v>92</v>
      </c>
      <c r="M1011" s="12" t="s">
        <v>5071</v>
      </c>
    </row>
    <row r="1012" customFormat="false" ht="15" hidden="false" customHeight="false" outlineLevel="0" collapsed="false">
      <c r="A1012" s="12" t="s">
        <v>2306</v>
      </c>
      <c r="B1012" s="12" t="s">
        <v>5072</v>
      </c>
      <c r="D1012" s="12" t="s">
        <v>118</v>
      </c>
      <c r="E1012" s="12" t="n">
        <v>2</v>
      </c>
      <c r="F1012" s="12" t="s">
        <v>2387</v>
      </c>
      <c r="G1012" s="12" t="s">
        <v>2310</v>
      </c>
      <c r="H1012" s="13" t="n">
        <v>27087</v>
      </c>
      <c r="I1012" s="17"/>
      <c r="J1012" s="13" t="n">
        <v>160</v>
      </c>
      <c r="K1012" s="12" t="n">
        <v>6.9</v>
      </c>
      <c r="L1012" s="12" t="s">
        <v>92</v>
      </c>
      <c r="M1012" s="12" t="s">
        <v>5073</v>
      </c>
    </row>
    <row r="1013" customFormat="false" ht="15" hidden="false" customHeight="false" outlineLevel="0" collapsed="false">
      <c r="A1013" s="12" t="s">
        <v>2306</v>
      </c>
      <c r="B1013" s="12" t="s">
        <v>5074</v>
      </c>
      <c r="D1013" s="12" t="s">
        <v>251</v>
      </c>
      <c r="E1013" s="12" t="n">
        <v>2</v>
      </c>
      <c r="F1013" s="12" t="s">
        <v>2387</v>
      </c>
      <c r="G1013" s="12" t="s">
        <v>2310</v>
      </c>
      <c r="H1013" s="13" t="n">
        <v>50610</v>
      </c>
      <c r="I1013" s="17"/>
      <c r="J1013" s="13" t="n">
        <v>35</v>
      </c>
      <c r="K1013" s="12" t="n">
        <v>5.4</v>
      </c>
      <c r="L1013" s="12" t="s">
        <v>92</v>
      </c>
      <c r="M1013" s="12" t="s">
        <v>5075</v>
      </c>
    </row>
    <row r="1014" customFormat="false" ht="15" hidden="false" customHeight="false" outlineLevel="0" collapsed="false">
      <c r="A1014" s="12" t="s">
        <v>2306</v>
      </c>
      <c r="B1014" s="12" t="s">
        <v>5076</v>
      </c>
      <c r="D1014" s="12" t="s">
        <v>101</v>
      </c>
      <c r="E1014" s="12" t="n">
        <v>2</v>
      </c>
      <c r="F1014" s="12" t="s">
        <v>2387</v>
      </c>
      <c r="G1014" s="12" t="s">
        <v>2310</v>
      </c>
      <c r="H1014" s="13" t="n">
        <v>24588</v>
      </c>
      <c r="I1014" s="17"/>
      <c r="J1014" s="13" t="n">
        <v>160</v>
      </c>
      <c r="K1014" s="12" t="n">
        <v>6.5</v>
      </c>
      <c r="L1014" s="12" t="s">
        <v>92</v>
      </c>
      <c r="M1014" s="12" t="s">
        <v>5077</v>
      </c>
    </row>
    <row r="1015" customFormat="false" ht="15" hidden="false" customHeight="false" outlineLevel="0" collapsed="false">
      <c r="A1015" s="12" t="s">
        <v>2306</v>
      </c>
      <c r="B1015" s="12" t="s">
        <v>5078</v>
      </c>
      <c r="C1015" s="12" t="s">
        <v>5079</v>
      </c>
      <c r="D1015" s="12" t="s">
        <v>101</v>
      </c>
      <c r="E1015" s="12" t="n">
        <v>2</v>
      </c>
      <c r="F1015" s="12" t="s">
        <v>2387</v>
      </c>
      <c r="G1015" s="12" t="s">
        <v>2310</v>
      </c>
      <c r="H1015" s="13" t="n">
        <v>14485</v>
      </c>
      <c r="I1015" s="17"/>
      <c r="J1015" s="13" t="n">
        <v>162</v>
      </c>
      <c r="K1015" s="12" t="n">
        <v>5</v>
      </c>
      <c r="L1015" s="12" t="s">
        <v>92</v>
      </c>
      <c r="M1015" s="12" t="s">
        <v>5080</v>
      </c>
    </row>
    <row r="1016" customFormat="false" ht="15" hidden="false" customHeight="false" outlineLevel="0" collapsed="false">
      <c r="A1016" s="12" t="s">
        <v>2306</v>
      </c>
      <c r="B1016" s="12" t="s">
        <v>5081</v>
      </c>
      <c r="C1016" s="12" t="s">
        <v>5082</v>
      </c>
      <c r="D1016" s="12" t="s">
        <v>134</v>
      </c>
      <c r="E1016" s="12" t="n">
        <v>2</v>
      </c>
      <c r="F1016" s="12" t="s">
        <v>2387</v>
      </c>
      <c r="G1016" s="12" t="s">
        <v>2310</v>
      </c>
      <c r="H1016" s="13" t="n">
        <v>35629</v>
      </c>
      <c r="I1016" s="17"/>
      <c r="J1016" s="13" t="n">
        <v>130</v>
      </c>
      <c r="K1016" s="12" t="n">
        <v>4.6</v>
      </c>
      <c r="L1016" s="12" t="s">
        <v>92</v>
      </c>
      <c r="M1016" s="12" t="s">
        <v>5083</v>
      </c>
    </row>
    <row r="1017" customFormat="false" ht="15" hidden="false" customHeight="false" outlineLevel="0" collapsed="false">
      <c r="A1017" s="12" t="s">
        <v>2306</v>
      </c>
      <c r="B1017" s="12" t="s">
        <v>5084</v>
      </c>
      <c r="C1017" s="12" t="s">
        <v>5085</v>
      </c>
      <c r="D1017" s="12" t="s">
        <v>1103</v>
      </c>
      <c r="E1017" s="12" t="n">
        <v>2</v>
      </c>
      <c r="F1017" s="12" t="s">
        <v>2387</v>
      </c>
      <c r="G1017" s="12" t="s">
        <v>2310</v>
      </c>
      <c r="H1017" s="13" t="n">
        <v>1076</v>
      </c>
      <c r="I1017" s="17"/>
      <c r="J1017" s="13" t="n">
        <v>246</v>
      </c>
      <c r="K1017" s="12" t="n">
        <v>5.4</v>
      </c>
      <c r="L1017" s="12" t="s">
        <v>92</v>
      </c>
      <c r="M1017" s="12" t="s">
        <v>5086</v>
      </c>
    </row>
    <row r="1018" customFormat="false" ht="15" hidden="false" customHeight="false" outlineLevel="0" collapsed="false">
      <c r="A1018" s="12" t="s">
        <v>2306</v>
      </c>
      <c r="B1018" s="12" t="s">
        <v>5087</v>
      </c>
      <c r="C1018" s="12" t="s">
        <v>5088</v>
      </c>
      <c r="D1018" s="12" t="s">
        <v>1103</v>
      </c>
      <c r="E1018" s="12" t="n">
        <v>2</v>
      </c>
      <c r="F1018" s="12" t="s">
        <v>2387</v>
      </c>
      <c r="G1018" s="12" t="s">
        <v>2310</v>
      </c>
      <c r="H1018" s="13" t="n">
        <v>38043</v>
      </c>
      <c r="I1018" s="17"/>
      <c r="J1018" s="13" t="n">
        <v>76</v>
      </c>
      <c r="K1018" s="12" t="n">
        <v>5.6</v>
      </c>
      <c r="L1018" s="12" t="s">
        <v>92</v>
      </c>
      <c r="M1018" s="12" t="s">
        <v>5089</v>
      </c>
    </row>
    <row r="1019" customFormat="false" ht="15" hidden="false" customHeight="false" outlineLevel="0" collapsed="false">
      <c r="A1019" s="12" t="s">
        <v>2306</v>
      </c>
      <c r="B1019" s="12" t="s">
        <v>5090</v>
      </c>
      <c r="C1019" s="12" t="s">
        <v>5091</v>
      </c>
      <c r="D1019" s="12" t="s">
        <v>175</v>
      </c>
      <c r="E1019" s="12" t="n">
        <v>2</v>
      </c>
      <c r="F1019" s="12" t="s">
        <v>2387</v>
      </c>
      <c r="G1019" s="12" t="s">
        <v>2310</v>
      </c>
      <c r="H1019" s="13" t="n">
        <v>47568</v>
      </c>
      <c r="I1019" s="17"/>
      <c r="J1019" s="13" t="n">
        <v>21</v>
      </c>
      <c r="K1019" s="12" t="n">
        <v>5.3</v>
      </c>
      <c r="L1019" s="12" t="s">
        <v>92</v>
      </c>
      <c r="M1019" s="12" t="s">
        <v>5092</v>
      </c>
    </row>
    <row r="1020" customFormat="false" ht="15" hidden="false" customHeight="false" outlineLevel="0" collapsed="false">
      <c r="A1020" s="12" t="s">
        <v>2306</v>
      </c>
      <c r="B1020" s="12" t="s">
        <v>5093</v>
      </c>
      <c r="D1020" s="12" t="s">
        <v>101</v>
      </c>
      <c r="E1020" s="12" t="n">
        <v>1</v>
      </c>
      <c r="F1020" s="12" t="s">
        <v>2404</v>
      </c>
      <c r="G1020" s="12" t="s">
        <v>2405</v>
      </c>
      <c r="H1020" s="13" t="n">
        <v>12586</v>
      </c>
      <c r="I1020" s="17"/>
      <c r="J1020" s="17"/>
      <c r="L1020" s="12" t="s">
        <v>92</v>
      </c>
    </row>
    <row r="1021" customFormat="false" ht="15" hidden="false" customHeight="false" outlineLevel="0" collapsed="false">
      <c r="A1021" s="12" t="s">
        <v>2306</v>
      </c>
      <c r="B1021" s="12" t="s">
        <v>5094</v>
      </c>
      <c r="D1021" s="12" t="s">
        <v>101</v>
      </c>
      <c r="E1021" s="12" t="n">
        <v>1</v>
      </c>
      <c r="F1021" s="12" t="s">
        <v>2404</v>
      </c>
      <c r="G1021" s="12" t="s">
        <v>2405</v>
      </c>
      <c r="H1021" s="13" t="n">
        <v>11363</v>
      </c>
      <c r="I1021" s="17"/>
      <c r="J1021" s="17"/>
      <c r="L1021" s="12" t="s">
        <v>92</v>
      </c>
    </row>
    <row r="1022" customFormat="false" ht="15" hidden="false" customHeight="false" outlineLevel="0" collapsed="false">
      <c r="A1022" s="12" t="s">
        <v>2306</v>
      </c>
      <c r="B1022" s="12" t="s">
        <v>5095</v>
      </c>
      <c r="D1022" s="12" t="s">
        <v>1103</v>
      </c>
      <c r="E1022" s="12" t="n">
        <v>1</v>
      </c>
      <c r="F1022" s="12" t="s">
        <v>2404</v>
      </c>
      <c r="G1022" s="12" t="s">
        <v>2405</v>
      </c>
      <c r="H1022" s="13" t="n">
        <v>8794</v>
      </c>
      <c r="I1022" s="17"/>
      <c r="J1022" s="17"/>
      <c r="L1022" s="12" t="s">
        <v>92</v>
      </c>
    </row>
    <row r="1023" customFormat="false" ht="15" hidden="false" customHeight="false" outlineLevel="0" collapsed="false">
      <c r="A1023" s="12" t="s">
        <v>2306</v>
      </c>
      <c r="B1023" s="12" t="s">
        <v>5096</v>
      </c>
      <c r="C1023" s="12" t="s">
        <v>5097</v>
      </c>
      <c r="D1023" s="12" t="s">
        <v>358</v>
      </c>
      <c r="E1023" s="12" t="n">
        <v>2</v>
      </c>
      <c r="F1023" s="12" t="s">
        <v>2387</v>
      </c>
      <c r="G1023" s="12" t="s">
        <v>2310</v>
      </c>
      <c r="H1023" s="13" t="n">
        <v>35212</v>
      </c>
      <c r="I1023" s="17"/>
      <c r="J1023" s="13" t="n">
        <v>46</v>
      </c>
      <c r="K1023" s="12" t="n">
        <v>8.7</v>
      </c>
      <c r="L1023" s="12" t="s">
        <v>92</v>
      </c>
      <c r="M1023" s="12" t="s">
        <v>5098</v>
      </c>
    </row>
    <row r="1024" customFormat="false" ht="15" hidden="false" customHeight="false" outlineLevel="0" collapsed="false">
      <c r="A1024" s="12" t="s">
        <v>2306</v>
      </c>
      <c r="B1024" s="12" t="s">
        <v>5099</v>
      </c>
      <c r="D1024" s="12" t="s">
        <v>101</v>
      </c>
      <c r="E1024" s="12" t="n">
        <v>2</v>
      </c>
      <c r="F1024" s="12" t="s">
        <v>2387</v>
      </c>
      <c r="G1024" s="12" t="s">
        <v>2310</v>
      </c>
      <c r="H1024" s="13" t="n">
        <v>14150</v>
      </c>
      <c r="I1024" s="17"/>
      <c r="J1024" s="13" t="n">
        <v>102</v>
      </c>
      <c r="K1024" s="12" t="n">
        <v>5.7</v>
      </c>
      <c r="L1024" s="12" t="s">
        <v>92</v>
      </c>
      <c r="M1024" s="12" t="s">
        <v>5100</v>
      </c>
    </row>
    <row r="1025" customFormat="false" ht="15" hidden="false" customHeight="false" outlineLevel="0" collapsed="false">
      <c r="A1025" s="12" t="s">
        <v>2306</v>
      </c>
      <c r="B1025" s="12" t="s">
        <v>5101</v>
      </c>
      <c r="D1025" s="12" t="s">
        <v>101</v>
      </c>
      <c r="E1025" s="12" t="n">
        <v>1</v>
      </c>
      <c r="F1025" s="12" t="s">
        <v>2404</v>
      </c>
      <c r="G1025" s="12" t="s">
        <v>2405</v>
      </c>
      <c r="H1025" s="13" t="n">
        <v>7477</v>
      </c>
      <c r="I1025" s="17"/>
      <c r="J1025" s="17"/>
      <c r="L1025" s="12" t="s">
        <v>92</v>
      </c>
    </row>
    <row r="1026" customFormat="false" ht="15" hidden="false" customHeight="false" outlineLevel="0" collapsed="false">
      <c r="A1026" s="12" t="s">
        <v>2306</v>
      </c>
      <c r="B1026" s="12" t="s">
        <v>5102</v>
      </c>
      <c r="C1026" s="12" t="s">
        <v>5103</v>
      </c>
      <c r="D1026" s="12" t="s">
        <v>101</v>
      </c>
      <c r="E1026" s="12" t="n">
        <v>2</v>
      </c>
      <c r="F1026" s="12" t="s">
        <v>2387</v>
      </c>
      <c r="G1026" s="12" t="s">
        <v>2310</v>
      </c>
      <c r="H1026" s="13" t="n">
        <v>5527</v>
      </c>
      <c r="I1026" s="17"/>
      <c r="J1026" s="13" t="n">
        <v>146</v>
      </c>
      <c r="K1026" s="12" t="n">
        <v>6.9</v>
      </c>
      <c r="L1026" s="12" t="s">
        <v>92</v>
      </c>
      <c r="M1026" s="12" t="s">
        <v>5104</v>
      </c>
    </row>
    <row r="1027" customFormat="false" ht="15" hidden="false" customHeight="false" outlineLevel="0" collapsed="false">
      <c r="A1027" s="12" t="s">
        <v>2306</v>
      </c>
      <c r="B1027" s="12" t="s">
        <v>5105</v>
      </c>
      <c r="D1027" s="12" t="s">
        <v>1103</v>
      </c>
      <c r="E1027" s="12" t="n">
        <v>2</v>
      </c>
      <c r="F1027" s="12" t="s">
        <v>2387</v>
      </c>
      <c r="G1027" s="12" t="s">
        <v>2310</v>
      </c>
      <c r="H1027" s="13" t="n">
        <v>20499</v>
      </c>
      <c r="I1027" s="17"/>
      <c r="J1027" s="13" t="n">
        <v>65</v>
      </c>
      <c r="K1027" s="12" t="n">
        <v>6.8</v>
      </c>
      <c r="L1027" s="12" t="s">
        <v>92</v>
      </c>
      <c r="M1027" s="12" t="s">
        <v>5106</v>
      </c>
    </row>
    <row r="1028" customFormat="false" ht="15" hidden="false" customHeight="false" outlineLevel="0" collapsed="false">
      <c r="A1028" s="12" t="s">
        <v>2306</v>
      </c>
      <c r="B1028" s="12" t="s">
        <v>5107</v>
      </c>
      <c r="C1028" s="12" t="s">
        <v>5108</v>
      </c>
      <c r="D1028" s="12" t="s">
        <v>101</v>
      </c>
      <c r="E1028" s="12" t="n">
        <v>2</v>
      </c>
      <c r="F1028" s="12" t="s">
        <v>2387</v>
      </c>
      <c r="G1028" s="12" t="s">
        <v>2310</v>
      </c>
      <c r="H1028" s="13" t="n">
        <v>10458</v>
      </c>
      <c r="I1028" s="17"/>
      <c r="J1028" s="13" t="n">
        <v>102</v>
      </c>
      <c r="K1028" s="12" t="n">
        <v>8.7</v>
      </c>
      <c r="L1028" s="12" t="s">
        <v>92</v>
      </c>
      <c r="M1028" s="12" t="s">
        <v>5109</v>
      </c>
    </row>
    <row r="1029" customFormat="false" ht="15" hidden="false" customHeight="false" outlineLevel="0" collapsed="false">
      <c r="A1029" s="12" t="s">
        <v>2306</v>
      </c>
      <c r="B1029" s="12" t="s">
        <v>5110</v>
      </c>
      <c r="D1029" s="12" t="s">
        <v>1103</v>
      </c>
      <c r="E1029" s="12" t="n">
        <v>1</v>
      </c>
      <c r="F1029" s="12" t="s">
        <v>2404</v>
      </c>
      <c r="G1029" s="12" t="s">
        <v>2405</v>
      </c>
      <c r="H1029" s="13" t="n">
        <v>6640</v>
      </c>
      <c r="I1029" s="17"/>
      <c r="J1029" s="17"/>
      <c r="L1029" s="12" t="s">
        <v>92</v>
      </c>
    </row>
    <row r="1030" customFormat="false" ht="15" hidden="false" customHeight="false" outlineLevel="0" collapsed="false">
      <c r="A1030" s="12" t="s">
        <v>2306</v>
      </c>
      <c r="B1030" s="12" t="s">
        <v>5111</v>
      </c>
      <c r="D1030" s="12" t="s">
        <v>118</v>
      </c>
      <c r="E1030" s="12" t="n">
        <v>2</v>
      </c>
      <c r="F1030" s="12" t="s">
        <v>2387</v>
      </c>
      <c r="G1030" s="12" t="s">
        <v>2310</v>
      </c>
      <c r="H1030" s="13" t="n">
        <v>29844</v>
      </c>
      <c r="I1030" s="17"/>
      <c r="J1030" s="13" t="n">
        <v>29</v>
      </c>
      <c r="K1030" s="12" t="n">
        <v>5.6</v>
      </c>
      <c r="L1030" s="12" t="s">
        <v>92</v>
      </c>
      <c r="M1030" s="12" t="s">
        <v>5112</v>
      </c>
    </row>
    <row r="1031" customFormat="false" ht="15" hidden="false" customHeight="false" outlineLevel="0" collapsed="false">
      <c r="A1031" s="12" t="s">
        <v>2306</v>
      </c>
      <c r="B1031" s="12" t="s">
        <v>5113</v>
      </c>
      <c r="D1031" s="12" t="s">
        <v>101</v>
      </c>
      <c r="E1031" s="12" t="n">
        <v>2</v>
      </c>
      <c r="F1031" s="12" t="s">
        <v>2387</v>
      </c>
      <c r="G1031" s="12" t="s">
        <v>2310</v>
      </c>
      <c r="H1031" s="13" t="n">
        <v>6604</v>
      </c>
      <c r="I1031" s="17"/>
      <c r="J1031" s="13" t="n">
        <v>109</v>
      </c>
      <c r="K1031" s="12" t="n">
        <v>5.4</v>
      </c>
      <c r="L1031" s="12" t="s">
        <v>92</v>
      </c>
      <c r="M1031" s="12" t="s">
        <v>5114</v>
      </c>
    </row>
    <row r="1032" customFormat="false" ht="15" hidden="false" customHeight="false" outlineLevel="0" collapsed="false">
      <c r="A1032" s="12" t="s">
        <v>2306</v>
      </c>
      <c r="B1032" s="12" t="s">
        <v>5115</v>
      </c>
      <c r="D1032" s="12" t="s">
        <v>118</v>
      </c>
      <c r="E1032" s="12" t="n">
        <v>2</v>
      </c>
      <c r="F1032" s="12" t="s">
        <v>2387</v>
      </c>
      <c r="G1032" s="12" t="s">
        <v>2310</v>
      </c>
      <c r="H1032" s="13" t="n">
        <v>28632</v>
      </c>
      <c r="I1032" s="17"/>
      <c r="J1032" s="13" t="n">
        <v>27</v>
      </c>
      <c r="K1032" s="12" t="n">
        <v>5.3</v>
      </c>
      <c r="L1032" s="12" t="s">
        <v>92</v>
      </c>
      <c r="M1032" s="12" t="s">
        <v>5116</v>
      </c>
    </row>
    <row r="1033" customFormat="false" ht="15" hidden="false" customHeight="false" outlineLevel="0" collapsed="false">
      <c r="A1033" s="12" t="s">
        <v>2306</v>
      </c>
      <c r="B1033" s="12" t="s">
        <v>5117</v>
      </c>
      <c r="C1033" s="12" t="s">
        <v>5118</v>
      </c>
      <c r="D1033" s="12" t="s">
        <v>101</v>
      </c>
      <c r="E1033" s="12" t="n">
        <v>2</v>
      </c>
      <c r="F1033" s="12" t="s">
        <v>2387</v>
      </c>
      <c r="G1033" s="12" t="s">
        <v>2310</v>
      </c>
      <c r="H1033" s="13" t="n">
        <v>4974</v>
      </c>
      <c r="I1033" s="17"/>
      <c r="J1033" s="13" t="n">
        <v>116</v>
      </c>
      <c r="K1033" s="12" t="n">
        <v>6.7</v>
      </c>
      <c r="L1033" s="12" t="s">
        <v>92</v>
      </c>
      <c r="M1033" s="12" t="s">
        <v>5119</v>
      </c>
    </row>
    <row r="1034" customFormat="false" ht="15" hidden="false" customHeight="false" outlineLevel="0" collapsed="false">
      <c r="A1034" s="12" t="s">
        <v>2306</v>
      </c>
      <c r="B1034" s="12" t="s">
        <v>5120</v>
      </c>
      <c r="C1034" s="12" t="s">
        <v>5121</v>
      </c>
      <c r="D1034" s="12" t="s">
        <v>1103</v>
      </c>
      <c r="E1034" s="12" t="n">
        <v>2</v>
      </c>
      <c r="F1034" s="12" t="s">
        <v>2387</v>
      </c>
      <c r="G1034" s="12" t="s">
        <v>2310</v>
      </c>
      <c r="H1034" s="13" t="n">
        <v>1022</v>
      </c>
      <c r="I1034" s="17"/>
      <c r="J1034" s="13" t="n">
        <v>136</v>
      </c>
      <c r="K1034" s="12" t="n">
        <v>6.5</v>
      </c>
      <c r="L1034" s="12" t="s">
        <v>92</v>
      </c>
      <c r="M1034" s="12" t="s">
        <v>5122</v>
      </c>
    </row>
    <row r="1035" customFormat="false" ht="15" hidden="false" customHeight="false" outlineLevel="0" collapsed="false">
      <c r="A1035" s="12" t="s">
        <v>2306</v>
      </c>
      <c r="B1035" s="12" t="s">
        <v>5123</v>
      </c>
      <c r="D1035" s="12" t="s">
        <v>101</v>
      </c>
      <c r="E1035" s="12" t="n">
        <v>1</v>
      </c>
      <c r="F1035" s="12" t="s">
        <v>2404</v>
      </c>
      <c r="G1035" s="12" t="s">
        <v>2405</v>
      </c>
      <c r="H1035" s="13" t="n">
        <v>3421</v>
      </c>
      <c r="I1035" s="17"/>
      <c r="J1035" s="17"/>
      <c r="L1035" s="12" t="s">
        <v>92</v>
      </c>
    </row>
    <row r="1036" customFormat="false" ht="15" hidden="false" customHeight="false" outlineLevel="0" collapsed="false">
      <c r="A1036" s="12" t="s">
        <v>2306</v>
      </c>
      <c r="B1036" s="12" t="s">
        <v>5124</v>
      </c>
      <c r="C1036" s="12" t="s">
        <v>5125</v>
      </c>
      <c r="D1036" s="12" t="s">
        <v>101</v>
      </c>
      <c r="E1036" s="12" t="n">
        <v>2</v>
      </c>
      <c r="F1036" s="12" t="s">
        <v>2387</v>
      </c>
      <c r="G1036" s="12" t="s">
        <v>2310</v>
      </c>
      <c r="H1036" s="13" t="n">
        <v>3075</v>
      </c>
      <c r="I1036" s="17"/>
      <c r="J1036" s="13" t="n">
        <v>80</v>
      </c>
      <c r="K1036" s="12" t="n">
        <v>5.4</v>
      </c>
      <c r="L1036" s="12" t="s">
        <v>92</v>
      </c>
      <c r="M1036" s="12" t="s">
        <v>5126</v>
      </c>
    </row>
    <row r="1037" customFormat="false" ht="15" hidden="false" customHeight="false" outlineLevel="0" collapsed="false">
      <c r="A1037" s="12" t="s">
        <v>2306</v>
      </c>
      <c r="B1037" s="12" t="s">
        <v>5127</v>
      </c>
      <c r="D1037" s="12" t="s">
        <v>101</v>
      </c>
      <c r="E1037" s="12" t="n">
        <v>1</v>
      </c>
      <c r="F1037" s="12" t="s">
        <v>2404</v>
      </c>
      <c r="G1037" s="12" t="s">
        <v>2405</v>
      </c>
      <c r="H1037" s="13" t="n">
        <v>3311</v>
      </c>
      <c r="I1037" s="17"/>
      <c r="J1037" s="17"/>
      <c r="L1037" s="12" t="s">
        <v>92</v>
      </c>
    </row>
    <row r="1038" customFormat="false" ht="15" hidden="false" customHeight="false" outlineLevel="0" collapsed="false">
      <c r="A1038" s="12" t="s">
        <v>2306</v>
      </c>
      <c r="B1038" s="12" t="s">
        <v>5128</v>
      </c>
      <c r="D1038" s="12" t="s">
        <v>1103</v>
      </c>
      <c r="E1038" s="12" t="n">
        <v>1</v>
      </c>
      <c r="F1038" s="12" t="s">
        <v>2404</v>
      </c>
      <c r="G1038" s="12" t="s">
        <v>2405</v>
      </c>
      <c r="H1038" s="13" t="n">
        <v>3228</v>
      </c>
      <c r="I1038" s="17"/>
      <c r="J1038" s="17"/>
      <c r="L1038" s="12" t="s">
        <v>92</v>
      </c>
    </row>
    <row r="1039" customFormat="false" ht="15" hidden="false" customHeight="false" outlineLevel="0" collapsed="false">
      <c r="A1039" s="12" t="s">
        <v>2306</v>
      </c>
      <c r="B1039" s="12" t="s">
        <v>5129</v>
      </c>
      <c r="C1039" s="12" t="s">
        <v>5130</v>
      </c>
      <c r="D1039" s="12" t="s">
        <v>1103</v>
      </c>
      <c r="E1039" s="12" t="n">
        <v>2</v>
      </c>
      <c r="F1039" s="12" t="s">
        <v>2387</v>
      </c>
      <c r="G1039" s="12" t="s">
        <v>2310</v>
      </c>
      <c r="H1039" s="13" t="n">
        <v>2494</v>
      </c>
      <c r="I1039" s="17"/>
      <c r="J1039" s="13" t="n">
        <v>58</v>
      </c>
      <c r="K1039" s="12" t="n">
        <v>6.3</v>
      </c>
      <c r="L1039" s="12" t="s">
        <v>92</v>
      </c>
      <c r="M1039" s="12" t="s">
        <v>5131</v>
      </c>
    </row>
    <row r="1040" customFormat="false" ht="15" hidden="false" customHeight="false" outlineLevel="0" collapsed="false">
      <c r="A1040" s="12" t="s">
        <v>2306</v>
      </c>
      <c r="B1040" s="12" t="s">
        <v>5132</v>
      </c>
      <c r="D1040" s="12" t="s">
        <v>1103</v>
      </c>
      <c r="E1040" s="12" t="n">
        <v>1</v>
      </c>
      <c r="F1040" s="12" t="s">
        <v>2404</v>
      </c>
      <c r="G1040" s="12" t="s">
        <v>2405</v>
      </c>
      <c r="H1040" s="13" t="n">
        <v>1081</v>
      </c>
      <c r="I1040" s="17"/>
      <c r="J1040" s="17"/>
      <c r="L1040" s="12" t="s">
        <v>92</v>
      </c>
    </row>
    <row r="1041" customFormat="false" ht="15" hidden="false" customHeight="false" outlineLevel="0" collapsed="false">
      <c r="A1041" s="12" t="s">
        <v>2306</v>
      </c>
      <c r="B1041" s="12" t="s">
        <v>5133</v>
      </c>
      <c r="C1041" s="12" t="s">
        <v>5134</v>
      </c>
      <c r="D1041" s="12" t="s">
        <v>90</v>
      </c>
      <c r="E1041" s="12" t="n">
        <v>2</v>
      </c>
      <c r="F1041" s="12" t="s">
        <v>2387</v>
      </c>
      <c r="G1041" s="12" t="s">
        <v>2310</v>
      </c>
      <c r="H1041" s="13" t="n">
        <v>937</v>
      </c>
      <c r="I1041" s="17"/>
      <c r="J1041" s="13" t="n">
        <v>37</v>
      </c>
      <c r="K1041" s="12" t="n">
        <v>5.7</v>
      </c>
      <c r="L1041" s="12" t="s">
        <v>92</v>
      </c>
      <c r="M1041" s="12" t="s">
        <v>5135</v>
      </c>
    </row>
    <row r="1042" customFormat="false" ht="15" hidden="false" customHeight="false" outlineLevel="0" collapsed="false">
      <c r="A1042" s="12" t="s">
        <v>2306</v>
      </c>
      <c r="C1042" s="12" t="s">
        <v>5136</v>
      </c>
      <c r="D1042" s="12" t="s">
        <v>1103</v>
      </c>
      <c r="E1042" s="12" t="n">
        <v>1</v>
      </c>
      <c r="F1042" s="12" t="s">
        <v>3220</v>
      </c>
      <c r="G1042" s="12" t="s">
        <v>2405</v>
      </c>
      <c r="H1042" s="17"/>
      <c r="I1042" s="13" t="n">
        <v>226400000</v>
      </c>
      <c r="J1042" s="17"/>
      <c r="L1042" s="12" t="s">
        <v>92</v>
      </c>
    </row>
    <row r="1043" customFormat="false" ht="15" hidden="false" customHeight="false" outlineLevel="0" collapsed="false">
      <c r="A1043" s="12" t="s">
        <v>5137</v>
      </c>
      <c r="B1043" s="12" t="s">
        <v>5138</v>
      </c>
      <c r="C1043" s="12" t="s">
        <v>5138</v>
      </c>
      <c r="D1043" s="12" t="s">
        <v>189</v>
      </c>
      <c r="E1043" s="12" t="n">
        <v>2</v>
      </c>
      <c r="F1043" s="12" t="s">
        <v>2309</v>
      </c>
      <c r="G1043" s="12" t="s">
        <v>2310</v>
      </c>
      <c r="H1043" s="17"/>
      <c r="I1043" s="17"/>
      <c r="J1043" s="13" t="n">
        <v>562134</v>
      </c>
      <c r="K1043" s="12" t="n">
        <v>8.4</v>
      </c>
      <c r="L1043" s="12" t="s">
        <v>1891</v>
      </c>
      <c r="M1043" s="12" t="s">
        <v>5139</v>
      </c>
    </row>
    <row r="1044" customFormat="false" ht="15" hidden="false" customHeight="false" outlineLevel="0" collapsed="false">
      <c r="A1044" s="12" t="s">
        <v>5137</v>
      </c>
      <c r="B1044" s="12" t="s">
        <v>5140</v>
      </c>
      <c r="C1044" s="12" t="s">
        <v>5140</v>
      </c>
      <c r="D1044" s="12" t="s">
        <v>183</v>
      </c>
      <c r="E1044" s="12" t="n">
        <v>2</v>
      </c>
      <c r="F1044" s="12" t="s">
        <v>2688</v>
      </c>
      <c r="G1044" s="12" t="s">
        <v>2310</v>
      </c>
      <c r="H1044" s="17"/>
      <c r="I1044" s="17"/>
      <c r="J1044" s="13" t="n">
        <v>537962</v>
      </c>
      <c r="K1044" s="12" t="n">
        <v>8.7</v>
      </c>
      <c r="L1044" s="12" t="s">
        <v>1891</v>
      </c>
      <c r="M1044" s="12" t="s">
        <v>5141</v>
      </c>
    </row>
    <row r="1045" customFormat="false" ht="15" hidden="false" customHeight="false" outlineLevel="0" collapsed="false">
      <c r="A1045" s="12" t="s">
        <v>5137</v>
      </c>
      <c r="B1045" s="12" t="s">
        <v>5142</v>
      </c>
      <c r="C1045" s="12" t="s">
        <v>5142</v>
      </c>
      <c r="D1045" s="12" t="s">
        <v>158</v>
      </c>
      <c r="E1045" s="12" t="n">
        <v>2</v>
      </c>
      <c r="F1045" s="12" t="s">
        <v>2309</v>
      </c>
      <c r="G1045" s="12" t="s">
        <v>2310</v>
      </c>
      <c r="H1045" s="17"/>
      <c r="I1045" s="17"/>
      <c r="J1045" s="13" t="n">
        <v>476785</v>
      </c>
      <c r="K1045" s="12" t="n">
        <v>8.8</v>
      </c>
      <c r="L1045" s="12" t="s">
        <v>1891</v>
      </c>
      <c r="M1045" s="12" t="s">
        <v>5143</v>
      </c>
    </row>
    <row r="1046" customFormat="false" ht="15" hidden="false" customHeight="false" outlineLevel="0" collapsed="false">
      <c r="A1046" s="12" t="s">
        <v>5137</v>
      </c>
      <c r="B1046" s="12" t="s">
        <v>5144</v>
      </c>
      <c r="C1046" s="12" t="s">
        <v>5144</v>
      </c>
      <c r="D1046" s="12" t="s">
        <v>183</v>
      </c>
      <c r="E1046" s="12" t="n">
        <v>2</v>
      </c>
      <c r="F1046" s="12" t="s">
        <v>2309</v>
      </c>
      <c r="G1046" s="12" t="s">
        <v>2310</v>
      </c>
      <c r="H1046" s="17"/>
      <c r="I1046" s="17"/>
      <c r="J1046" s="13" t="n">
        <v>476205</v>
      </c>
      <c r="K1046" s="12" t="n">
        <v>8.5</v>
      </c>
      <c r="L1046" s="12" t="s">
        <v>1891</v>
      </c>
      <c r="M1046" s="12" t="s">
        <v>5145</v>
      </c>
    </row>
    <row r="1047" customFormat="false" ht="15" hidden="false" customHeight="false" outlineLevel="0" collapsed="false">
      <c r="A1047" s="12" t="s">
        <v>5137</v>
      </c>
      <c r="B1047" s="12" t="s">
        <v>5146</v>
      </c>
      <c r="C1047" s="12" t="s">
        <v>5146</v>
      </c>
      <c r="D1047" s="12" t="s">
        <v>101</v>
      </c>
      <c r="E1047" s="12" t="n">
        <v>2</v>
      </c>
      <c r="F1047" s="12" t="s">
        <v>2688</v>
      </c>
      <c r="G1047" s="12" t="s">
        <v>2310</v>
      </c>
      <c r="H1047" s="17"/>
      <c r="I1047" s="17"/>
      <c r="J1047" s="13" t="n">
        <v>459107</v>
      </c>
      <c r="K1047" s="12" t="n">
        <v>9</v>
      </c>
      <c r="L1047" s="12" t="s">
        <v>1891</v>
      </c>
      <c r="M1047" s="12" t="s">
        <v>5147</v>
      </c>
    </row>
    <row r="1048" customFormat="false" ht="15" hidden="false" customHeight="false" outlineLevel="0" collapsed="false">
      <c r="A1048" s="12" t="s">
        <v>5137</v>
      </c>
      <c r="B1048" s="12" t="s">
        <v>5148</v>
      </c>
      <c r="C1048" s="12" t="s">
        <v>5148</v>
      </c>
      <c r="D1048" s="12" t="s">
        <v>273</v>
      </c>
      <c r="E1048" s="12" t="n">
        <v>2</v>
      </c>
      <c r="F1048" s="12" t="s">
        <v>2309</v>
      </c>
      <c r="G1048" s="12" t="s">
        <v>2310</v>
      </c>
      <c r="H1048" s="17"/>
      <c r="I1048" s="17"/>
      <c r="J1048" s="13" t="n">
        <v>441856</v>
      </c>
      <c r="K1048" s="12" t="n">
        <v>9.3</v>
      </c>
      <c r="L1048" s="12" t="s">
        <v>1891</v>
      </c>
      <c r="M1048" s="12" t="s">
        <v>5149</v>
      </c>
    </row>
    <row r="1049" customFormat="false" ht="15" hidden="false" customHeight="false" outlineLevel="0" collapsed="false">
      <c r="A1049" s="12" t="s">
        <v>5137</v>
      </c>
      <c r="B1049" s="12" t="s">
        <v>5150</v>
      </c>
      <c r="C1049" s="12" t="s">
        <v>5151</v>
      </c>
      <c r="D1049" s="12" t="s">
        <v>118</v>
      </c>
      <c r="E1049" s="12" t="n">
        <v>2</v>
      </c>
      <c r="F1049" s="12" t="s">
        <v>2688</v>
      </c>
      <c r="G1049" s="12" t="s">
        <v>2310</v>
      </c>
      <c r="H1049" s="17"/>
      <c r="I1049" s="17"/>
      <c r="J1049" s="13" t="n">
        <v>411438</v>
      </c>
      <c r="K1049" s="12" t="n">
        <v>8.6</v>
      </c>
      <c r="L1049" s="12" t="s">
        <v>1891</v>
      </c>
      <c r="M1049" s="12" t="s">
        <v>5152</v>
      </c>
    </row>
    <row r="1050" customFormat="false" ht="15" hidden="false" customHeight="false" outlineLevel="0" collapsed="false">
      <c r="A1050" s="12" t="s">
        <v>5137</v>
      </c>
      <c r="B1050" s="12" t="s">
        <v>5153</v>
      </c>
      <c r="C1050" s="12" t="s">
        <v>5153</v>
      </c>
      <c r="D1050" s="12" t="s">
        <v>90</v>
      </c>
      <c r="E1050" s="12" t="n">
        <v>2</v>
      </c>
      <c r="F1050" s="12" t="s">
        <v>2688</v>
      </c>
      <c r="G1050" s="12" t="s">
        <v>2310</v>
      </c>
      <c r="H1050" s="17"/>
      <c r="I1050" s="17"/>
      <c r="J1050" s="13" t="n">
        <v>405207</v>
      </c>
      <c r="K1050" s="12" t="n">
        <v>8.2</v>
      </c>
      <c r="L1050" s="12" t="s">
        <v>1891</v>
      </c>
      <c r="M1050" s="12" t="s">
        <v>5154</v>
      </c>
    </row>
    <row r="1051" customFormat="false" ht="15" hidden="false" customHeight="false" outlineLevel="0" collapsed="false">
      <c r="A1051" s="12" t="s">
        <v>5137</v>
      </c>
      <c r="B1051" s="12" t="s">
        <v>5155</v>
      </c>
      <c r="C1051" s="12" t="s">
        <v>5155</v>
      </c>
      <c r="D1051" s="12" t="s">
        <v>500</v>
      </c>
      <c r="E1051" s="12" t="n">
        <v>1</v>
      </c>
      <c r="F1051" s="12" t="s">
        <v>5156</v>
      </c>
      <c r="G1051" s="12" t="s">
        <v>2405</v>
      </c>
      <c r="H1051" s="17"/>
      <c r="I1051" s="17"/>
      <c r="J1051" s="13" t="n">
        <v>502836</v>
      </c>
      <c r="K1051" s="12" t="n">
        <v>8.9</v>
      </c>
      <c r="L1051" s="12" t="s">
        <v>1891</v>
      </c>
      <c r="M1051" s="12" t="s">
        <v>5157</v>
      </c>
    </row>
    <row r="1052" customFormat="false" ht="15" hidden="false" customHeight="false" outlineLevel="0" collapsed="false">
      <c r="A1052" s="12" t="s">
        <v>5137</v>
      </c>
      <c r="B1052" s="12" t="s">
        <v>5158</v>
      </c>
      <c r="C1052" s="12" t="s">
        <v>5158</v>
      </c>
      <c r="D1052" s="12" t="s">
        <v>1103</v>
      </c>
      <c r="E1052" s="12" t="n">
        <v>1</v>
      </c>
      <c r="F1052" s="12" t="s">
        <v>5156</v>
      </c>
      <c r="G1052" s="12" t="s">
        <v>2405</v>
      </c>
      <c r="H1052" s="17"/>
      <c r="I1052" s="17"/>
      <c r="J1052" s="13" t="n">
        <v>473603</v>
      </c>
      <c r="K1052" s="12" t="n">
        <v>8.7</v>
      </c>
      <c r="L1052" s="12" t="s">
        <v>1834</v>
      </c>
      <c r="M1052" s="12" t="s">
        <v>5159</v>
      </c>
    </row>
    <row r="1053" customFormat="false" ht="15" hidden="false" customHeight="false" outlineLevel="0" collapsed="false">
      <c r="A1053" s="12" t="s">
        <v>5137</v>
      </c>
      <c r="B1053" s="12" t="s">
        <v>5160</v>
      </c>
      <c r="C1053" s="12" t="s">
        <v>5160</v>
      </c>
      <c r="D1053" s="12" t="s">
        <v>140</v>
      </c>
      <c r="E1053" s="12" t="n">
        <v>1</v>
      </c>
      <c r="F1053" s="12" t="s">
        <v>5156</v>
      </c>
      <c r="G1053" s="12" t="s">
        <v>2405</v>
      </c>
      <c r="H1053" s="17"/>
      <c r="I1053" s="17"/>
      <c r="J1053" s="13" t="n">
        <v>463764</v>
      </c>
      <c r="K1053" s="12" t="n">
        <v>7.5</v>
      </c>
      <c r="L1053" s="12" t="s">
        <v>1891</v>
      </c>
      <c r="M1053" s="12" t="s">
        <v>5161</v>
      </c>
    </row>
    <row r="1054" customFormat="false" ht="15" hidden="false" customHeight="false" outlineLevel="0" collapsed="false">
      <c r="A1054" s="12" t="s">
        <v>5137</v>
      </c>
      <c r="B1054" s="12" t="s">
        <v>5162</v>
      </c>
      <c r="C1054" s="12" t="s">
        <v>5162</v>
      </c>
      <c r="D1054" s="12" t="s">
        <v>111</v>
      </c>
      <c r="E1054" s="12" t="n">
        <v>2</v>
      </c>
      <c r="F1054" s="12" t="s">
        <v>2309</v>
      </c>
      <c r="G1054" s="12" t="s">
        <v>2310</v>
      </c>
      <c r="H1054" s="17"/>
      <c r="I1054" s="17"/>
      <c r="J1054" s="13" t="n">
        <v>370182</v>
      </c>
      <c r="K1054" s="12" t="n">
        <v>8.8</v>
      </c>
      <c r="L1054" s="12" t="s">
        <v>1891</v>
      </c>
      <c r="M1054" s="12" t="s">
        <v>5163</v>
      </c>
    </row>
    <row r="1055" customFormat="false" ht="15" hidden="false" customHeight="false" outlineLevel="0" collapsed="false">
      <c r="A1055" s="12" t="s">
        <v>5137</v>
      </c>
      <c r="B1055" s="12" t="s">
        <v>5164</v>
      </c>
      <c r="C1055" s="12" t="s">
        <v>5165</v>
      </c>
      <c r="D1055" s="12" t="s">
        <v>101</v>
      </c>
      <c r="E1055" s="12" t="n">
        <v>2</v>
      </c>
      <c r="F1055" s="12" t="s">
        <v>2688</v>
      </c>
      <c r="G1055" s="12" t="s">
        <v>2310</v>
      </c>
      <c r="H1055" s="17"/>
      <c r="I1055" s="17"/>
      <c r="J1055" s="13" t="n">
        <v>354763</v>
      </c>
      <c r="K1055" s="12" t="n">
        <v>8.7</v>
      </c>
      <c r="L1055" s="12" t="s">
        <v>1891</v>
      </c>
      <c r="M1055" s="12" t="s">
        <v>5166</v>
      </c>
    </row>
    <row r="1056" customFormat="false" ht="15" hidden="false" customHeight="false" outlineLevel="0" collapsed="false">
      <c r="A1056" s="12" t="s">
        <v>5137</v>
      </c>
      <c r="B1056" s="12" t="s">
        <v>5167</v>
      </c>
      <c r="C1056" s="12" t="s">
        <v>5167</v>
      </c>
      <c r="D1056" s="12" t="s">
        <v>207</v>
      </c>
      <c r="E1056" s="12" t="n">
        <v>2</v>
      </c>
      <c r="F1056" s="12" t="s">
        <v>2688</v>
      </c>
      <c r="G1056" s="12" t="s">
        <v>2310</v>
      </c>
      <c r="H1056" s="17"/>
      <c r="I1056" s="17"/>
      <c r="J1056" s="13" t="n">
        <v>344010</v>
      </c>
      <c r="K1056" s="12" t="n">
        <v>7.4</v>
      </c>
      <c r="L1056" s="12" t="s">
        <v>1891</v>
      </c>
      <c r="M1056" s="12" t="s">
        <v>5168</v>
      </c>
    </row>
    <row r="1057" customFormat="false" ht="15" hidden="false" customHeight="false" outlineLevel="0" collapsed="false">
      <c r="A1057" s="12" t="s">
        <v>5137</v>
      </c>
      <c r="B1057" s="12" t="s">
        <v>5169</v>
      </c>
      <c r="C1057" s="12" t="s">
        <v>5169</v>
      </c>
      <c r="D1057" s="12" t="s">
        <v>202</v>
      </c>
      <c r="E1057" s="12" t="n">
        <v>1</v>
      </c>
      <c r="F1057" s="12" t="s">
        <v>5156</v>
      </c>
      <c r="G1057" s="12" t="s">
        <v>2405</v>
      </c>
      <c r="H1057" s="17"/>
      <c r="I1057" s="17"/>
      <c r="J1057" s="13" t="n">
        <v>425348</v>
      </c>
      <c r="K1057" s="12" t="n">
        <v>8.4</v>
      </c>
      <c r="L1057" s="12" t="s">
        <v>1891</v>
      </c>
      <c r="M1057" s="12" t="s">
        <v>5170</v>
      </c>
    </row>
    <row r="1058" customFormat="false" ht="15" hidden="false" customHeight="false" outlineLevel="0" collapsed="false">
      <c r="A1058" s="12" t="s">
        <v>5137</v>
      </c>
      <c r="B1058" s="12" t="s">
        <v>5171</v>
      </c>
      <c r="C1058" s="12" t="s">
        <v>5172</v>
      </c>
      <c r="D1058" s="12" t="s">
        <v>505</v>
      </c>
      <c r="E1058" s="12" t="n">
        <v>2</v>
      </c>
      <c r="F1058" s="12" t="s">
        <v>5173</v>
      </c>
      <c r="G1058" s="12" t="s">
        <v>2310</v>
      </c>
      <c r="H1058" s="17"/>
      <c r="I1058" s="17"/>
      <c r="J1058" s="13" t="n">
        <v>318802</v>
      </c>
      <c r="K1058" s="12" t="n">
        <v>8.1</v>
      </c>
      <c r="L1058" s="12" t="s">
        <v>1834</v>
      </c>
      <c r="M1058" s="12" t="s">
        <v>5174</v>
      </c>
    </row>
    <row r="1059" customFormat="false" ht="15" hidden="false" customHeight="false" outlineLevel="0" collapsed="false">
      <c r="A1059" s="12" t="s">
        <v>5137</v>
      </c>
      <c r="B1059" s="12" t="s">
        <v>5175</v>
      </c>
      <c r="C1059" s="12" t="s">
        <v>5175</v>
      </c>
      <c r="D1059" s="12" t="s">
        <v>189</v>
      </c>
      <c r="E1059" s="12" t="n">
        <v>2</v>
      </c>
      <c r="F1059" s="12" t="s">
        <v>3105</v>
      </c>
      <c r="G1059" s="12" t="s">
        <v>2310</v>
      </c>
      <c r="H1059" s="17"/>
      <c r="I1059" s="17"/>
      <c r="J1059" s="13" t="n">
        <v>285608</v>
      </c>
      <c r="K1059" s="12" t="n">
        <v>8.6</v>
      </c>
      <c r="L1059" s="12" t="s">
        <v>1891</v>
      </c>
      <c r="M1059" s="12" t="s">
        <v>5176</v>
      </c>
    </row>
    <row r="1060" customFormat="false" ht="15" hidden="false" customHeight="false" outlineLevel="0" collapsed="false">
      <c r="A1060" s="12" t="s">
        <v>5137</v>
      </c>
      <c r="B1060" s="12" t="s">
        <v>5177</v>
      </c>
      <c r="C1060" s="12" t="s">
        <v>5178</v>
      </c>
      <c r="D1060" s="12" t="s">
        <v>111</v>
      </c>
      <c r="E1060" s="12" t="n">
        <v>2</v>
      </c>
      <c r="F1060" s="12" t="s">
        <v>5179</v>
      </c>
      <c r="G1060" s="12" t="s">
        <v>2310</v>
      </c>
      <c r="H1060" s="17"/>
      <c r="I1060" s="17"/>
      <c r="J1060" s="13" t="n">
        <v>338309</v>
      </c>
      <c r="K1060" s="12" t="n">
        <v>8.5</v>
      </c>
      <c r="L1060" s="12" t="s">
        <v>1891</v>
      </c>
      <c r="M1060" s="12" t="s">
        <v>5180</v>
      </c>
    </row>
    <row r="1061" customFormat="false" ht="15" hidden="false" customHeight="false" outlineLevel="0" collapsed="false">
      <c r="A1061" s="12" t="s">
        <v>5137</v>
      </c>
      <c r="B1061" s="12" t="s">
        <v>5181</v>
      </c>
      <c r="C1061" s="12" t="s">
        <v>5182</v>
      </c>
      <c r="D1061" s="12" t="s">
        <v>202</v>
      </c>
      <c r="E1061" s="12" t="n">
        <v>2</v>
      </c>
      <c r="F1061" s="12" t="s">
        <v>3105</v>
      </c>
      <c r="G1061" s="12" t="s">
        <v>2310</v>
      </c>
      <c r="H1061" s="17"/>
      <c r="I1061" s="17"/>
      <c r="J1061" s="13" t="n">
        <v>304830</v>
      </c>
      <c r="K1061" s="12" t="n">
        <v>7.9</v>
      </c>
      <c r="L1061" s="12" t="s">
        <v>292</v>
      </c>
      <c r="M1061" s="12" t="s">
        <v>5183</v>
      </c>
    </row>
    <row r="1062" customFormat="false" ht="15" hidden="false" customHeight="false" outlineLevel="0" collapsed="false">
      <c r="A1062" s="12" t="s">
        <v>5137</v>
      </c>
      <c r="B1062" s="12" t="s">
        <v>5184</v>
      </c>
      <c r="C1062" s="12" t="s">
        <v>5184</v>
      </c>
      <c r="D1062" s="12" t="s">
        <v>111</v>
      </c>
      <c r="E1062" s="12" t="n">
        <v>2</v>
      </c>
      <c r="F1062" s="12" t="s">
        <v>2309</v>
      </c>
      <c r="G1062" s="12" t="s">
        <v>2310</v>
      </c>
      <c r="H1062" s="17"/>
      <c r="I1062" s="17"/>
      <c r="J1062" s="13" t="n">
        <v>323650</v>
      </c>
      <c r="K1062" s="12" t="n">
        <v>8.6</v>
      </c>
      <c r="L1062" s="12" t="s">
        <v>1891</v>
      </c>
      <c r="M1062" s="12" t="s">
        <v>5185</v>
      </c>
    </row>
    <row r="1063" customFormat="false" ht="15" hidden="false" customHeight="false" outlineLevel="0" collapsed="false">
      <c r="A1063" s="12" t="s">
        <v>5137</v>
      </c>
      <c r="B1063" s="12" t="s">
        <v>5186</v>
      </c>
      <c r="C1063" s="12" t="s">
        <v>5186</v>
      </c>
      <c r="D1063" s="12" t="s">
        <v>134</v>
      </c>
      <c r="E1063" s="12" t="n">
        <v>2</v>
      </c>
      <c r="F1063" s="12" t="s">
        <v>3105</v>
      </c>
      <c r="G1063" s="12" t="s">
        <v>2310</v>
      </c>
      <c r="H1063" s="17"/>
      <c r="I1063" s="17"/>
      <c r="J1063" s="13" t="n">
        <v>549276</v>
      </c>
      <c r="K1063" s="12" t="n">
        <v>8.5</v>
      </c>
      <c r="L1063" s="12" t="s">
        <v>1891</v>
      </c>
      <c r="M1063" s="12" t="s">
        <v>5187</v>
      </c>
    </row>
    <row r="1064" customFormat="false" ht="15" hidden="false" customHeight="false" outlineLevel="0" collapsed="false">
      <c r="A1064" s="12" t="s">
        <v>5137</v>
      </c>
      <c r="B1064" s="12" t="s">
        <v>5188</v>
      </c>
      <c r="C1064" s="12" t="s">
        <v>5188</v>
      </c>
      <c r="D1064" s="12" t="s">
        <v>146</v>
      </c>
      <c r="E1064" s="12" t="n">
        <v>2</v>
      </c>
      <c r="F1064" s="12" t="s">
        <v>2309</v>
      </c>
      <c r="G1064" s="12" t="s">
        <v>2310</v>
      </c>
      <c r="H1064" s="17"/>
      <c r="I1064" s="17"/>
      <c r="J1064" s="13" t="n">
        <v>295384</v>
      </c>
      <c r="K1064" s="12" t="n">
        <v>8.7</v>
      </c>
      <c r="L1064" s="12" t="s">
        <v>1891</v>
      </c>
      <c r="M1064" s="12" t="s">
        <v>5189</v>
      </c>
    </row>
    <row r="1065" customFormat="false" ht="15" hidden="false" customHeight="false" outlineLevel="0" collapsed="false">
      <c r="A1065" s="12" t="s">
        <v>5137</v>
      </c>
      <c r="B1065" s="12" t="s">
        <v>5190</v>
      </c>
      <c r="C1065" s="12" t="s">
        <v>5191</v>
      </c>
      <c r="D1065" s="12" t="s">
        <v>265</v>
      </c>
      <c r="E1065" s="12" t="n">
        <v>2</v>
      </c>
      <c r="F1065" s="12" t="s">
        <v>2309</v>
      </c>
      <c r="G1065" s="12" t="s">
        <v>2310</v>
      </c>
      <c r="H1065" s="17"/>
      <c r="I1065" s="17"/>
      <c r="J1065" s="13" t="n">
        <v>289944</v>
      </c>
      <c r="K1065" s="12" t="n">
        <v>8.6</v>
      </c>
      <c r="L1065" s="12" t="s">
        <v>128</v>
      </c>
      <c r="M1065" s="12" t="s">
        <v>5192</v>
      </c>
    </row>
    <row r="1066" customFormat="false" ht="15" hidden="false" customHeight="false" outlineLevel="0" collapsed="false">
      <c r="A1066" s="12" t="s">
        <v>5137</v>
      </c>
      <c r="B1066" s="12" t="s">
        <v>5193</v>
      </c>
      <c r="C1066" s="12" t="s">
        <v>5193</v>
      </c>
      <c r="D1066" s="12" t="s">
        <v>214</v>
      </c>
      <c r="E1066" s="12" t="n">
        <v>2</v>
      </c>
      <c r="F1066" s="12" t="s">
        <v>3105</v>
      </c>
      <c r="G1066" s="12" t="s">
        <v>2310</v>
      </c>
      <c r="H1066" s="17"/>
      <c r="I1066" s="17"/>
      <c r="J1066" s="13" t="n">
        <v>340267</v>
      </c>
      <c r="K1066" s="12" t="n">
        <v>8.5</v>
      </c>
      <c r="L1066" s="12" t="s">
        <v>1891</v>
      </c>
      <c r="M1066" s="12" t="s">
        <v>5194</v>
      </c>
    </row>
    <row r="1067" customFormat="false" ht="15" hidden="false" customHeight="false" outlineLevel="0" collapsed="false">
      <c r="A1067" s="12" t="s">
        <v>5137</v>
      </c>
      <c r="B1067" s="12" t="s">
        <v>5195</v>
      </c>
      <c r="C1067" s="12" t="s">
        <v>5195</v>
      </c>
      <c r="D1067" s="12" t="s">
        <v>286</v>
      </c>
      <c r="E1067" s="12" t="n">
        <v>2</v>
      </c>
      <c r="F1067" s="12" t="s">
        <v>3105</v>
      </c>
      <c r="G1067" s="12" t="s">
        <v>2310</v>
      </c>
      <c r="H1067" s="17"/>
      <c r="I1067" s="17"/>
      <c r="J1067" s="13" t="n">
        <v>301487</v>
      </c>
      <c r="K1067" s="12" t="n">
        <v>7.1</v>
      </c>
      <c r="L1067" s="12" t="s">
        <v>1891</v>
      </c>
      <c r="M1067" s="12" t="s">
        <v>5196</v>
      </c>
    </row>
    <row r="1068" customFormat="false" ht="15" hidden="false" customHeight="false" outlineLevel="0" collapsed="false">
      <c r="A1068" s="12" t="s">
        <v>5137</v>
      </c>
      <c r="B1068" s="12" t="s">
        <v>5197</v>
      </c>
      <c r="C1068" s="12" t="s">
        <v>5197</v>
      </c>
      <c r="D1068" s="12" t="s">
        <v>101</v>
      </c>
      <c r="E1068" s="12" t="n">
        <v>1</v>
      </c>
      <c r="F1068" s="12" t="s">
        <v>5156</v>
      </c>
      <c r="G1068" s="12" t="s">
        <v>2405</v>
      </c>
      <c r="H1068" s="17"/>
      <c r="I1068" s="17"/>
      <c r="J1068" s="13" t="n">
        <v>336513</v>
      </c>
      <c r="K1068" s="12" t="n">
        <v>8</v>
      </c>
      <c r="L1068" s="12" t="s">
        <v>1891</v>
      </c>
      <c r="M1068" s="12" t="s">
        <v>5198</v>
      </c>
    </row>
    <row r="1069" customFormat="false" ht="15" hidden="false" customHeight="false" outlineLevel="0" collapsed="false">
      <c r="A1069" s="12" t="s">
        <v>5137</v>
      </c>
      <c r="B1069" s="12" t="s">
        <v>5199</v>
      </c>
      <c r="C1069" s="12" t="s">
        <v>5200</v>
      </c>
      <c r="D1069" s="12" t="s">
        <v>101</v>
      </c>
      <c r="E1069" s="12" t="n">
        <v>2</v>
      </c>
      <c r="F1069" s="12" t="s">
        <v>2688</v>
      </c>
      <c r="G1069" s="12" t="s">
        <v>2310</v>
      </c>
      <c r="H1069" s="17"/>
      <c r="I1069" s="17"/>
      <c r="J1069" s="13" t="n">
        <v>287713</v>
      </c>
      <c r="K1069" s="12" t="n">
        <v>7.1</v>
      </c>
      <c r="L1069" s="12" t="s">
        <v>674</v>
      </c>
      <c r="M1069" s="12" t="s">
        <v>5201</v>
      </c>
    </row>
    <row r="1070" customFormat="false" ht="15" hidden="false" customHeight="false" outlineLevel="0" collapsed="false">
      <c r="A1070" s="12" t="s">
        <v>5137</v>
      </c>
      <c r="B1070" s="12" t="s">
        <v>5202</v>
      </c>
      <c r="C1070" s="12" t="s">
        <v>5202</v>
      </c>
      <c r="D1070" s="12" t="s">
        <v>286</v>
      </c>
      <c r="E1070" s="12" t="n">
        <v>2</v>
      </c>
      <c r="F1070" s="12" t="s">
        <v>3105</v>
      </c>
      <c r="G1070" s="12" t="s">
        <v>2310</v>
      </c>
      <c r="H1070" s="17"/>
      <c r="I1070" s="17"/>
      <c r="J1070" s="13" t="n">
        <v>178522</v>
      </c>
      <c r="K1070" s="12" t="n">
        <v>7.8</v>
      </c>
      <c r="L1070" s="12" t="s">
        <v>1891</v>
      </c>
      <c r="M1070" s="12" t="s">
        <v>5203</v>
      </c>
    </row>
    <row r="1071" customFormat="false" ht="15" hidden="false" customHeight="false" outlineLevel="0" collapsed="false">
      <c r="A1071" s="12" t="s">
        <v>5137</v>
      </c>
      <c r="B1071" s="12" t="s">
        <v>5204</v>
      </c>
      <c r="C1071" s="12" t="s">
        <v>5205</v>
      </c>
      <c r="D1071" s="12" t="s">
        <v>321</v>
      </c>
      <c r="E1071" s="12" t="n">
        <v>2</v>
      </c>
      <c r="F1071" s="12" t="s">
        <v>2309</v>
      </c>
      <c r="G1071" s="12" t="s">
        <v>2310</v>
      </c>
      <c r="H1071" s="17"/>
      <c r="I1071" s="17"/>
      <c r="J1071" s="13" t="n">
        <v>273092</v>
      </c>
      <c r="K1071" s="12" t="n">
        <v>8.4</v>
      </c>
      <c r="L1071" s="12" t="s">
        <v>128</v>
      </c>
      <c r="M1071" s="12" t="s">
        <v>5206</v>
      </c>
    </row>
    <row r="1072" customFormat="false" ht="15" hidden="false" customHeight="false" outlineLevel="0" collapsed="false">
      <c r="A1072" s="12" t="s">
        <v>5137</v>
      </c>
      <c r="B1072" s="12" t="s">
        <v>5207</v>
      </c>
      <c r="C1072" s="12" t="s">
        <v>5207</v>
      </c>
      <c r="D1072" s="12" t="s">
        <v>118</v>
      </c>
      <c r="E1072" s="12" t="n">
        <v>2</v>
      </c>
      <c r="F1072" s="12" t="s">
        <v>2688</v>
      </c>
      <c r="G1072" s="12" t="s">
        <v>2310</v>
      </c>
      <c r="H1072" s="17"/>
      <c r="I1072" s="17"/>
      <c r="J1072" s="13" t="n">
        <v>267834</v>
      </c>
      <c r="K1072" s="12" t="n">
        <v>7</v>
      </c>
      <c r="L1072" s="12" t="s">
        <v>674</v>
      </c>
      <c r="M1072" s="12" t="s">
        <v>5208</v>
      </c>
    </row>
    <row r="1073" customFormat="false" ht="15" hidden="false" customHeight="false" outlineLevel="0" collapsed="false">
      <c r="A1073" s="12" t="s">
        <v>5137</v>
      </c>
      <c r="B1073" s="12" t="s">
        <v>5209</v>
      </c>
      <c r="C1073" s="12" t="s">
        <v>5209</v>
      </c>
      <c r="D1073" s="12" t="s">
        <v>158</v>
      </c>
      <c r="E1073" s="12" t="n">
        <v>1</v>
      </c>
      <c r="F1073" s="12" t="s">
        <v>5156</v>
      </c>
      <c r="G1073" s="12" t="s">
        <v>2405</v>
      </c>
      <c r="H1073" s="17"/>
      <c r="I1073" s="17"/>
      <c r="J1073" s="13" t="n">
        <v>308761</v>
      </c>
      <c r="K1073" s="12" t="n">
        <v>7.5</v>
      </c>
      <c r="L1073" s="12" t="s">
        <v>1891</v>
      </c>
      <c r="M1073" s="12" t="s">
        <v>5210</v>
      </c>
    </row>
    <row r="1074" customFormat="false" ht="15" hidden="false" customHeight="false" outlineLevel="0" collapsed="false">
      <c r="A1074" s="12" t="s">
        <v>5137</v>
      </c>
      <c r="B1074" s="12" t="s">
        <v>5211</v>
      </c>
      <c r="C1074" s="12" t="s">
        <v>5212</v>
      </c>
      <c r="D1074" s="12" t="s">
        <v>175</v>
      </c>
      <c r="E1074" s="12" t="n">
        <v>2</v>
      </c>
      <c r="F1074" s="12" t="s">
        <v>3105</v>
      </c>
      <c r="G1074" s="12" t="s">
        <v>2310</v>
      </c>
      <c r="H1074" s="17"/>
      <c r="I1074" s="17"/>
      <c r="J1074" s="13" t="n">
        <v>165720</v>
      </c>
      <c r="K1074" s="12" t="n">
        <v>7.4</v>
      </c>
      <c r="L1074" s="12" t="s">
        <v>292</v>
      </c>
      <c r="M1074" s="12" t="s">
        <v>5213</v>
      </c>
    </row>
    <row r="1075" customFormat="false" ht="15" hidden="false" customHeight="false" outlineLevel="0" collapsed="false">
      <c r="A1075" s="12" t="s">
        <v>5137</v>
      </c>
      <c r="B1075" s="12" t="s">
        <v>5214</v>
      </c>
      <c r="C1075" s="12" t="s">
        <v>5214</v>
      </c>
      <c r="D1075" s="12" t="s">
        <v>396</v>
      </c>
      <c r="E1075" s="12" t="n">
        <v>2</v>
      </c>
      <c r="F1075" s="12" t="s">
        <v>3105</v>
      </c>
      <c r="G1075" s="12" t="s">
        <v>2310</v>
      </c>
      <c r="H1075" s="17"/>
      <c r="I1075" s="17"/>
      <c r="J1075" s="13" t="n">
        <v>288139</v>
      </c>
      <c r="K1075" s="12" t="n">
        <v>8.4</v>
      </c>
      <c r="L1075" s="12" t="s">
        <v>292</v>
      </c>
      <c r="M1075" s="12" t="s">
        <v>5215</v>
      </c>
    </row>
    <row r="1076" customFormat="false" ht="15" hidden="false" customHeight="false" outlineLevel="0" collapsed="false">
      <c r="A1076" s="12" t="s">
        <v>5137</v>
      </c>
      <c r="B1076" s="12" t="s">
        <v>5216</v>
      </c>
      <c r="C1076" s="12" t="s">
        <v>5216</v>
      </c>
      <c r="D1076" s="12" t="s">
        <v>118</v>
      </c>
      <c r="E1076" s="12" t="n">
        <v>1</v>
      </c>
      <c r="F1076" s="12" t="s">
        <v>5156</v>
      </c>
      <c r="G1076" s="12" t="s">
        <v>2405</v>
      </c>
      <c r="H1076" s="17"/>
      <c r="I1076" s="17"/>
      <c r="J1076" s="13" t="n">
        <v>288337</v>
      </c>
      <c r="K1076" s="12" t="n">
        <v>8.6</v>
      </c>
      <c r="L1076" s="12" t="s">
        <v>1891</v>
      </c>
      <c r="M1076" s="12" t="s">
        <v>5217</v>
      </c>
    </row>
    <row r="1077" customFormat="false" ht="15" hidden="false" customHeight="false" outlineLevel="0" collapsed="false">
      <c r="A1077" s="12" t="s">
        <v>5137</v>
      </c>
      <c r="B1077" s="12" t="s">
        <v>5218</v>
      </c>
      <c r="C1077" s="12" t="s">
        <v>5219</v>
      </c>
      <c r="D1077" s="12" t="s">
        <v>118</v>
      </c>
      <c r="E1077" s="12" t="n">
        <v>2</v>
      </c>
      <c r="F1077" s="12" t="s">
        <v>3105</v>
      </c>
      <c r="G1077" s="12" t="s">
        <v>2310</v>
      </c>
      <c r="H1077" s="17"/>
      <c r="I1077" s="17"/>
      <c r="J1077" s="13" t="n">
        <v>445786</v>
      </c>
      <c r="K1077" s="12" t="n">
        <v>6.8</v>
      </c>
      <c r="L1077" s="12" t="s">
        <v>1891</v>
      </c>
      <c r="M1077" s="12" t="s">
        <v>5220</v>
      </c>
    </row>
    <row r="1078" customFormat="false" ht="15" hidden="false" customHeight="false" outlineLevel="0" collapsed="false">
      <c r="A1078" s="12" t="s">
        <v>5137</v>
      </c>
      <c r="B1078" s="12" t="s">
        <v>5221</v>
      </c>
      <c r="C1078" s="12" t="s">
        <v>5221</v>
      </c>
      <c r="D1078" s="12" t="s">
        <v>183</v>
      </c>
      <c r="E1078" s="12" t="n">
        <v>2</v>
      </c>
      <c r="F1078" s="12" t="s">
        <v>3105</v>
      </c>
      <c r="G1078" s="12" t="s">
        <v>2310</v>
      </c>
      <c r="H1078" s="17"/>
      <c r="I1078" s="17"/>
      <c r="J1078" s="13" t="n">
        <v>177811</v>
      </c>
      <c r="K1078" s="12" t="n">
        <v>8.5</v>
      </c>
      <c r="L1078" s="12" t="s">
        <v>292</v>
      </c>
      <c r="M1078" s="12" t="s">
        <v>5222</v>
      </c>
    </row>
    <row r="1079" customFormat="false" ht="15" hidden="false" customHeight="false" outlineLevel="0" collapsed="false">
      <c r="A1079" s="12" t="s">
        <v>5137</v>
      </c>
      <c r="B1079" s="12" t="s">
        <v>5223</v>
      </c>
      <c r="C1079" s="12" t="s">
        <v>5223</v>
      </c>
      <c r="D1079" s="12" t="s">
        <v>152</v>
      </c>
      <c r="E1079" s="12" t="n">
        <v>2</v>
      </c>
      <c r="F1079" s="12" t="s">
        <v>3105</v>
      </c>
      <c r="G1079" s="12" t="s">
        <v>2310</v>
      </c>
      <c r="H1079" s="17"/>
      <c r="I1079" s="17"/>
      <c r="J1079" s="13" t="n">
        <v>156929</v>
      </c>
      <c r="K1079" s="12" t="n">
        <v>7.7</v>
      </c>
      <c r="L1079" s="12" t="s">
        <v>1891</v>
      </c>
      <c r="M1079" s="12" t="s">
        <v>5224</v>
      </c>
    </row>
    <row r="1080" customFormat="false" ht="15" hidden="false" customHeight="false" outlineLevel="0" collapsed="false">
      <c r="A1080" s="12" t="s">
        <v>5137</v>
      </c>
      <c r="B1080" s="12" t="s">
        <v>5225</v>
      </c>
      <c r="C1080" s="12" t="s">
        <v>5226</v>
      </c>
      <c r="D1080" s="12" t="s">
        <v>127</v>
      </c>
      <c r="E1080" s="12" t="n">
        <v>1</v>
      </c>
      <c r="F1080" s="12" t="s">
        <v>5156</v>
      </c>
      <c r="G1080" s="12" t="s">
        <v>2405</v>
      </c>
      <c r="H1080" s="17"/>
      <c r="I1080" s="17"/>
      <c r="J1080" s="13" t="n">
        <v>264479</v>
      </c>
      <c r="K1080" s="12" t="n">
        <v>8.5</v>
      </c>
      <c r="L1080" s="12" t="s">
        <v>1891</v>
      </c>
      <c r="M1080" s="12" t="s">
        <v>5227</v>
      </c>
    </row>
    <row r="1081" customFormat="false" ht="15" hidden="false" customHeight="false" outlineLevel="0" collapsed="false">
      <c r="A1081" s="12" t="s">
        <v>5137</v>
      </c>
      <c r="B1081" s="12" t="s">
        <v>5228</v>
      </c>
      <c r="C1081" s="12" t="s">
        <v>5228</v>
      </c>
      <c r="D1081" s="12" t="s">
        <v>214</v>
      </c>
      <c r="E1081" s="12" t="n">
        <v>2</v>
      </c>
      <c r="F1081" s="12" t="s">
        <v>3105</v>
      </c>
      <c r="G1081" s="12" t="s">
        <v>2310</v>
      </c>
      <c r="H1081" s="17"/>
      <c r="I1081" s="17"/>
      <c r="J1081" s="13" t="n">
        <v>266696</v>
      </c>
      <c r="K1081" s="12" t="n">
        <v>7.8</v>
      </c>
      <c r="L1081" s="12" t="s">
        <v>292</v>
      </c>
      <c r="M1081" s="12" t="s">
        <v>5229</v>
      </c>
    </row>
    <row r="1082" customFormat="false" ht="15" hidden="false" customHeight="false" outlineLevel="0" collapsed="false">
      <c r="A1082" s="12" t="s">
        <v>5137</v>
      </c>
      <c r="B1082" s="12" t="s">
        <v>5230</v>
      </c>
      <c r="C1082" s="12" t="s">
        <v>5230</v>
      </c>
      <c r="D1082" s="12" t="s">
        <v>134</v>
      </c>
      <c r="E1082" s="12" t="n">
        <v>1</v>
      </c>
      <c r="F1082" s="12" t="s">
        <v>5156</v>
      </c>
      <c r="G1082" s="12" t="s">
        <v>2405</v>
      </c>
      <c r="H1082" s="17"/>
      <c r="I1082" s="17"/>
      <c r="J1082" s="13" t="n">
        <v>259853</v>
      </c>
      <c r="K1082" s="12" t="n">
        <v>9.1</v>
      </c>
      <c r="L1082" s="12" t="s">
        <v>1891</v>
      </c>
      <c r="M1082" s="12" t="s">
        <v>5231</v>
      </c>
    </row>
    <row r="1083" customFormat="false" ht="15" hidden="false" customHeight="false" outlineLevel="0" collapsed="false">
      <c r="A1083" s="12" t="s">
        <v>5137</v>
      </c>
      <c r="B1083" s="12" t="s">
        <v>5232</v>
      </c>
      <c r="C1083" s="12" t="s">
        <v>5232</v>
      </c>
      <c r="D1083" s="12" t="s">
        <v>146</v>
      </c>
      <c r="E1083" s="12" t="n">
        <v>2</v>
      </c>
      <c r="F1083" s="12" t="s">
        <v>2309</v>
      </c>
      <c r="G1083" s="12" t="s">
        <v>2310</v>
      </c>
      <c r="H1083" s="17"/>
      <c r="I1083" s="17"/>
      <c r="J1083" s="13" t="n">
        <v>232794</v>
      </c>
      <c r="K1083" s="12" t="n">
        <v>8.7</v>
      </c>
      <c r="L1083" s="12" t="s">
        <v>1891</v>
      </c>
      <c r="M1083" s="12" t="s">
        <v>5233</v>
      </c>
    </row>
    <row r="1084" customFormat="false" ht="15" hidden="false" customHeight="false" outlineLevel="0" collapsed="false">
      <c r="A1084" s="12" t="s">
        <v>5137</v>
      </c>
      <c r="B1084" s="12" t="s">
        <v>5234</v>
      </c>
      <c r="C1084" s="12" t="s">
        <v>5234</v>
      </c>
      <c r="D1084" s="12" t="s">
        <v>189</v>
      </c>
      <c r="E1084" s="12" t="n">
        <v>1</v>
      </c>
      <c r="F1084" s="12" t="s">
        <v>5156</v>
      </c>
      <c r="G1084" s="12" t="s">
        <v>2405</v>
      </c>
      <c r="H1084" s="17"/>
      <c r="I1084" s="17"/>
      <c r="J1084" s="13" t="n">
        <v>254664</v>
      </c>
      <c r="K1084" s="12" t="n">
        <v>8.7</v>
      </c>
      <c r="L1084" s="12" t="s">
        <v>1891</v>
      </c>
      <c r="M1084" s="12" t="s">
        <v>5235</v>
      </c>
    </row>
    <row r="1085" customFormat="false" ht="15" hidden="false" customHeight="false" outlineLevel="0" collapsed="false">
      <c r="A1085" s="12" t="s">
        <v>5137</v>
      </c>
      <c r="B1085" s="12" t="s">
        <v>5236</v>
      </c>
      <c r="C1085" s="12" t="s">
        <v>5236</v>
      </c>
      <c r="D1085" s="12" t="s">
        <v>251</v>
      </c>
      <c r="E1085" s="12" t="n">
        <v>1</v>
      </c>
      <c r="F1085" s="12" t="s">
        <v>5156</v>
      </c>
      <c r="G1085" s="12" t="s">
        <v>2405</v>
      </c>
      <c r="H1085" s="17"/>
      <c r="I1085" s="17"/>
      <c r="J1085" s="13" t="n">
        <v>253938</v>
      </c>
      <c r="K1085" s="12" t="n">
        <v>8.6</v>
      </c>
      <c r="L1085" s="12" t="s">
        <v>1891</v>
      </c>
      <c r="M1085" s="12" t="s">
        <v>5237</v>
      </c>
    </row>
    <row r="1086" customFormat="false" ht="15" hidden="false" customHeight="false" outlineLevel="0" collapsed="false">
      <c r="A1086" s="12" t="s">
        <v>5137</v>
      </c>
      <c r="B1086" s="12" t="s">
        <v>5238</v>
      </c>
      <c r="C1086" s="12" t="s">
        <v>5238</v>
      </c>
      <c r="D1086" s="12" t="s">
        <v>1103</v>
      </c>
      <c r="E1086" s="12" t="n">
        <v>2</v>
      </c>
      <c r="F1086" s="12" t="s">
        <v>2309</v>
      </c>
      <c r="G1086" s="12" t="s">
        <v>2310</v>
      </c>
      <c r="H1086" s="17"/>
      <c r="I1086" s="17"/>
      <c r="J1086" s="13" t="n">
        <v>223851</v>
      </c>
      <c r="K1086" s="12" t="n">
        <v>8.5</v>
      </c>
      <c r="L1086" s="12" t="s">
        <v>1891</v>
      </c>
      <c r="M1086" s="12" t="s">
        <v>5239</v>
      </c>
    </row>
    <row r="1087" customFormat="false" ht="15" hidden="false" customHeight="false" outlineLevel="0" collapsed="false">
      <c r="A1087" s="12" t="s">
        <v>5137</v>
      </c>
      <c r="B1087" s="12" t="s">
        <v>5240</v>
      </c>
      <c r="C1087" s="12" t="s">
        <v>5241</v>
      </c>
      <c r="D1087" s="12" t="s">
        <v>251</v>
      </c>
      <c r="E1087" s="12" t="n">
        <v>1</v>
      </c>
      <c r="F1087" s="12" t="s">
        <v>5156</v>
      </c>
      <c r="G1087" s="12" t="s">
        <v>2405</v>
      </c>
      <c r="H1087" s="17"/>
      <c r="I1087" s="17"/>
      <c r="J1087" s="13" t="n">
        <v>251634</v>
      </c>
      <c r="K1087" s="12" t="n">
        <v>8.6</v>
      </c>
      <c r="L1087" s="12" t="s">
        <v>1891</v>
      </c>
      <c r="M1087" s="12" t="s">
        <v>5242</v>
      </c>
    </row>
    <row r="1088" customFormat="false" ht="15" hidden="false" customHeight="false" outlineLevel="0" collapsed="false">
      <c r="A1088" s="12" t="s">
        <v>5137</v>
      </c>
      <c r="B1088" s="12" t="s">
        <v>5243</v>
      </c>
      <c r="C1088" s="12" t="s">
        <v>5243</v>
      </c>
      <c r="D1088" s="12" t="s">
        <v>358</v>
      </c>
      <c r="E1088" s="12" t="n">
        <v>1</v>
      </c>
      <c r="F1088" s="12" t="s">
        <v>5156</v>
      </c>
      <c r="G1088" s="12" t="s">
        <v>2405</v>
      </c>
      <c r="H1088" s="17"/>
      <c r="I1088" s="17"/>
      <c r="J1088" s="13" t="n">
        <v>249786</v>
      </c>
      <c r="K1088" s="12" t="n">
        <v>8.7</v>
      </c>
      <c r="L1088" s="12" t="s">
        <v>1891</v>
      </c>
      <c r="M1088" s="12" t="s">
        <v>5244</v>
      </c>
    </row>
    <row r="1089" customFormat="false" ht="15" hidden="false" customHeight="false" outlineLevel="0" collapsed="false">
      <c r="A1089" s="12" t="s">
        <v>5137</v>
      </c>
      <c r="B1089" s="12" t="s">
        <v>5245</v>
      </c>
      <c r="C1089" s="12" t="s">
        <v>5245</v>
      </c>
      <c r="D1089" s="12" t="s">
        <v>134</v>
      </c>
      <c r="E1089" s="12" t="n">
        <v>2</v>
      </c>
      <c r="F1089" s="12" t="s">
        <v>3105</v>
      </c>
      <c r="G1089" s="12" t="s">
        <v>2310</v>
      </c>
      <c r="H1089" s="17"/>
      <c r="I1089" s="17"/>
      <c r="J1089" s="13" t="n">
        <v>189151</v>
      </c>
      <c r="K1089" s="12" t="n">
        <v>8.1</v>
      </c>
      <c r="L1089" s="12" t="s">
        <v>1891</v>
      </c>
      <c r="M1089" s="12" t="s">
        <v>5246</v>
      </c>
    </row>
    <row r="1090" customFormat="false" ht="15" hidden="false" customHeight="false" outlineLevel="0" collapsed="false">
      <c r="A1090" s="12" t="s">
        <v>5137</v>
      </c>
      <c r="B1090" s="12" t="s">
        <v>5247</v>
      </c>
      <c r="C1090" s="12" t="s">
        <v>5248</v>
      </c>
      <c r="D1090" s="12" t="s">
        <v>118</v>
      </c>
      <c r="E1090" s="12" t="n">
        <v>2</v>
      </c>
      <c r="F1090" s="12" t="s">
        <v>2688</v>
      </c>
      <c r="G1090" s="12" t="s">
        <v>2310</v>
      </c>
      <c r="H1090" s="17"/>
      <c r="I1090" s="17"/>
      <c r="J1090" s="13" t="n">
        <v>212716</v>
      </c>
      <c r="K1090" s="12" t="n">
        <v>7.6</v>
      </c>
      <c r="L1090" s="12" t="s">
        <v>674</v>
      </c>
      <c r="M1090" s="12" t="s">
        <v>5249</v>
      </c>
    </row>
    <row r="1091" customFormat="false" ht="15" hidden="false" customHeight="false" outlineLevel="0" collapsed="false">
      <c r="A1091" s="12" t="s">
        <v>5137</v>
      </c>
      <c r="B1091" s="12" t="s">
        <v>5250</v>
      </c>
      <c r="C1091" s="12" t="s">
        <v>5250</v>
      </c>
      <c r="D1091" s="12" t="s">
        <v>207</v>
      </c>
      <c r="E1091" s="12" t="n">
        <v>1</v>
      </c>
      <c r="F1091" s="12" t="s">
        <v>5156</v>
      </c>
      <c r="G1091" s="12" t="s">
        <v>2405</v>
      </c>
      <c r="H1091" s="17"/>
      <c r="I1091" s="17"/>
      <c r="J1091" s="13" t="n">
        <v>248952</v>
      </c>
      <c r="K1091" s="12" t="n">
        <v>8.4</v>
      </c>
      <c r="L1091" s="12" t="s">
        <v>1891</v>
      </c>
      <c r="M1091" s="12" t="s">
        <v>5251</v>
      </c>
    </row>
    <row r="1092" customFormat="false" ht="15" hidden="false" customHeight="false" outlineLevel="0" collapsed="false">
      <c r="A1092" s="12" t="s">
        <v>5137</v>
      </c>
      <c r="B1092" s="12" t="s">
        <v>5252</v>
      </c>
      <c r="C1092" s="12" t="s">
        <v>5253</v>
      </c>
      <c r="D1092" s="12" t="s">
        <v>175</v>
      </c>
      <c r="E1092" s="12" t="n">
        <v>2</v>
      </c>
      <c r="F1092" s="12" t="s">
        <v>2309</v>
      </c>
      <c r="G1092" s="12" t="s">
        <v>2310</v>
      </c>
      <c r="H1092" s="17"/>
      <c r="I1092" s="17"/>
      <c r="J1092" s="13" t="n">
        <v>211675</v>
      </c>
      <c r="K1092" s="12" t="n">
        <v>8.3</v>
      </c>
      <c r="L1092" s="12" t="s">
        <v>1891</v>
      </c>
      <c r="M1092" s="12" t="s">
        <v>5254</v>
      </c>
    </row>
    <row r="1093" customFormat="false" ht="15" hidden="false" customHeight="false" outlineLevel="0" collapsed="false">
      <c r="A1093" s="12" t="s">
        <v>5137</v>
      </c>
      <c r="B1093" s="12" t="s">
        <v>5255</v>
      </c>
      <c r="C1093" s="12" t="s">
        <v>5255</v>
      </c>
      <c r="D1093" s="12" t="s">
        <v>158</v>
      </c>
      <c r="E1093" s="12" t="n">
        <v>1</v>
      </c>
      <c r="F1093" s="12" t="s">
        <v>5156</v>
      </c>
      <c r="G1093" s="12" t="s">
        <v>2405</v>
      </c>
      <c r="H1093" s="17"/>
      <c r="I1093" s="17"/>
      <c r="J1093" s="13" t="n">
        <v>240097</v>
      </c>
      <c r="K1093" s="12" t="n">
        <v>8.8</v>
      </c>
      <c r="L1093" s="12" t="s">
        <v>1891</v>
      </c>
      <c r="M1093" s="12" t="s">
        <v>5256</v>
      </c>
    </row>
    <row r="1094" customFormat="false" ht="15" hidden="false" customHeight="false" outlineLevel="0" collapsed="false">
      <c r="A1094" s="12" t="s">
        <v>5137</v>
      </c>
      <c r="B1094" s="12" t="s">
        <v>5257</v>
      </c>
      <c r="C1094" s="12" t="s">
        <v>5258</v>
      </c>
      <c r="D1094" s="12" t="s">
        <v>207</v>
      </c>
      <c r="E1094" s="12" t="n">
        <v>2</v>
      </c>
      <c r="F1094" s="12" t="s">
        <v>3105</v>
      </c>
      <c r="G1094" s="12" t="s">
        <v>2310</v>
      </c>
      <c r="H1094" s="17"/>
      <c r="I1094" s="17"/>
      <c r="J1094" s="13" t="n">
        <v>132707</v>
      </c>
      <c r="K1094" s="12" t="n">
        <v>8</v>
      </c>
      <c r="L1094" s="12" t="s">
        <v>1891</v>
      </c>
      <c r="M1094" s="12" t="s">
        <v>5259</v>
      </c>
    </row>
    <row r="1095" customFormat="false" ht="15" hidden="false" customHeight="false" outlineLevel="0" collapsed="false">
      <c r="A1095" s="12" t="s">
        <v>5137</v>
      </c>
      <c r="B1095" s="12" t="s">
        <v>5260</v>
      </c>
      <c r="C1095" s="12" t="s">
        <v>5260</v>
      </c>
      <c r="D1095" s="12" t="s">
        <v>251</v>
      </c>
      <c r="E1095" s="12" t="n">
        <v>2</v>
      </c>
      <c r="F1095" s="12" t="s">
        <v>3105</v>
      </c>
      <c r="G1095" s="12" t="s">
        <v>2310</v>
      </c>
      <c r="H1095" s="17"/>
      <c r="I1095" s="17"/>
      <c r="J1095" s="13" t="n">
        <v>118196</v>
      </c>
      <c r="K1095" s="12" t="n">
        <v>8.2</v>
      </c>
      <c r="L1095" s="12" t="s">
        <v>292</v>
      </c>
      <c r="M1095" s="12" t="s">
        <v>5261</v>
      </c>
    </row>
    <row r="1096" customFormat="false" ht="15" hidden="false" customHeight="false" outlineLevel="0" collapsed="false">
      <c r="A1096" s="12" t="s">
        <v>5137</v>
      </c>
      <c r="B1096" s="12" t="s">
        <v>5262</v>
      </c>
      <c r="C1096" s="12" t="s">
        <v>5263</v>
      </c>
      <c r="D1096" s="12" t="s">
        <v>90</v>
      </c>
      <c r="E1096" s="12" t="n">
        <v>1</v>
      </c>
      <c r="F1096" s="12" t="s">
        <v>5156</v>
      </c>
      <c r="G1096" s="12" t="s">
        <v>2405</v>
      </c>
      <c r="H1096" s="17"/>
      <c r="I1096" s="17"/>
      <c r="J1096" s="13" t="n">
        <v>239130</v>
      </c>
      <c r="K1096" s="12" t="n">
        <v>8.5</v>
      </c>
      <c r="L1096" s="12" t="s">
        <v>1891</v>
      </c>
      <c r="M1096" s="12" t="s">
        <v>5264</v>
      </c>
    </row>
    <row r="1097" customFormat="false" ht="15" hidden="false" customHeight="false" outlineLevel="0" collapsed="false">
      <c r="A1097" s="12" t="s">
        <v>5137</v>
      </c>
      <c r="B1097" s="12" t="s">
        <v>5265</v>
      </c>
      <c r="C1097" s="12" t="s">
        <v>5265</v>
      </c>
      <c r="D1097" s="12" t="s">
        <v>101</v>
      </c>
      <c r="E1097" s="12" t="n">
        <v>2</v>
      </c>
      <c r="F1097" s="12" t="s">
        <v>2688</v>
      </c>
      <c r="G1097" s="12" t="s">
        <v>2310</v>
      </c>
      <c r="H1097" s="17"/>
      <c r="I1097" s="17"/>
      <c r="J1097" s="13" t="n">
        <v>207807</v>
      </c>
      <c r="K1097" s="12" t="n">
        <v>8</v>
      </c>
      <c r="L1097" s="12" t="s">
        <v>1891</v>
      </c>
      <c r="M1097" s="12" t="s">
        <v>5266</v>
      </c>
    </row>
    <row r="1098" customFormat="false" ht="15" hidden="false" customHeight="false" outlineLevel="0" collapsed="false">
      <c r="A1098" s="12" t="s">
        <v>5137</v>
      </c>
      <c r="B1098" s="12" t="s">
        <v>5267</v>
      </c>
      <c r="C1098" s="12" t="s">
        <v>5268</v>
      </c>
      <c r="D1098" s="12" t="s">
        <v>183</v>
      </c>
      <c r="E1098" s="12" t="n">
        <v>1</v>
      </c>
      <c r="F1098" s="12" t="s">
        <v>5156</v>
      </c>
      <c r="G1098" s="12" t="s">
        <v>2405</v>
      </c>
      <c r="H1098" s="17"/>
      <c r="I1098" s="17"/>
      <c r="J1098" s="13" t="n">
        <v>231472</v>
      </c>
      <c r="K1098" s="12" t="n">
        <v>8.6</v>
      </c>
      <c r="L1098" s="12" t="s">
        <v>1891</v>
      </c>
      <c r="M1098" s="12" t="s">
        <v>5269</v>
      </c>
    </row>
    <row r="1099" customFormat="false" ht="15" hidden="false" customHeight="false" outlineLevel="0" collapsed="false">
      <c r="A1099" s="12" t="s">
        <v>5137</v>
      </c>
      <c r="B1099" s="12" t="s">
        <v>5270</v>
      </c>
      <c r="C1099" s="12" t="s">
        <v>5270</v>
      </c>
      <c r="D1099" s="12" t="s">
        <v>358</v>
      </c>
      <c r="E1099" s="12" t="n">
        <v>1</v>
      </c>
      <c r="F1099" s="12" t="s">
        <v>5156</v>
      </c>
      <c r="G1099" s="12" t="s">
        <v>2405</v>
      </c>
      <c r="H1099" s="17"/>
      <c r="I1099" s="17"/>
      <c r="J1099" s="13" t="n">
        <v>220691</v>
      </c>
      <c r="K1099" s="12" t="n">
        <v>8.5</v>
      </c>
      <c r="L1099" s="12" t="s">
        <v>1891</v>
      </c>
      <c r="M1099" s="12" t="s">
        <v>5271</v>
      </c>
    </row>
    <row r="1100" customFormat="false" ht="15" hidden="false" customHeight="false" outlineLevel="0" collapsed="false">
      <c r="A1100" s="12" t="s">
        <v>5137</v>
      </c>
      <c r="B1100" s="12" t="s">
        <v>5272</v>
      </c>
      <c r="C1100" s="12" t="s">
        <v>5273</v>
      </c>
      <c r="D1100" s="12" t="s">
        <v>118</v>
      </c>
      <c r="E1100" s="12" t="n">
        <v>2</v>
      </c>
      <c r="F1100" s="12" t="s">
        <v>3105</v>
      </c>
      <c r="G1100" s="12" t="s">
        <v>2310</v>
      </c>
      <c r="H1100" s="17"/>
      <c r="I1100" s="17"/>
      <c r="J1100" s="13" t="n">
        <v>101534</v>
      </c>
      <c r="K1100" s="12" t="n">
        <v>7.8</v>
      </c>
      <c r="L1100" s="12" t="s">
        <v>292</v>
      </c>
      <c r="M1100" s="12" t="s">
        <v>5274</v>
      </c>
    </row>
    <row r="1101" customFormat="false" ht="15" hidden="false" customHeight="false" outlineLevel="0" collapsed="false">
      <c r="A1101" s="12" t="s">
        <v>5137</v>
      </c>
      <c r="B1101" s="12" t="s">
        <v>5275</v>
      </c>
      <c r="C1101" s="12" t="s">
        <v>5276</v>
      </c>
      <c r="D1101" s="12" t="s">
        <v>175</v>
      </c>
      <c r="E1101" s="12" t="n">
        <v>2</v>
      </c>
      <c r="F1101" s="12" t="s">
        <v>2309</v>
      </c>
      <c r="G1101" s="12" t="s">
        <v>2310</v>
      </c>
      <c r="H1101" s="17"/>
      <c r="I1101" s="17"/>
      <c r="J1101" s="13" t="n">
        <v>181439</v>
      </c>
      <c r="K1101" s="12" t="n">
        <v>8</v>
      </c>
      <c r="L1101" s="12" t="s">
        <v>1891</v>
      </c>
      <c r="M1101" s="12" t="s">
        <v>5277</v>
      </c>
    </row>
    <row r="1102" customFormat="false" ht="15" hidden="false" customHeight="false" outlineLevel="0" collapsed="false">
      <c r="A1102" s="12" t="s">
        <v>5137</v>
      </c>
      <c r="B1102" s="12" t="s">
        <v>3001</v>
      </c>
      <c r="C1102" s="12" t="s">
        <v>5278</v>
      </c>
      <c r="D1102" s="12" t="s">
        <v>127</v>
      </c>
      <c r="E1102" s="12" t="n">
        <v>1</v>
      </c>
      <c r="F1102" s="12" t="s">
        <v>5156</v>
      </c>
      <c r="G1102" s="12" t="s">
        <v>2405</v>
      </c>
      <c r="H1102" s="17"/>
      <c r="I1102" s="17"/>
      <c r="J1102" s="13" t="n">
        <v>207816</v>
      </c>
      <c r="K1102" s="12" t="n">
        <v>8.7</v>
      </c>
      <c r="L1102" s="12" t="s">
        <v>1891</v>
      </c>
      <c r="M1102" s="12" t="s">
        <v>5279</v>
      </c>
    </row>
    <row r="1103" customFormat="false" ht="15" hidden="false" customHeight="false" outlineLevel="0" collapsed="false">
      <c r="A1103" s="12" t="s">
        <v>5137</v>
      </c>
      <c r="B1103" s="12" t="s">
        <v>5280</v>
      </c>
      <c r="C1103" s="12" t="s">
        <v>5280</v>
      </c>
      <c r="D1103" s="12" t="s">
        <v>505</v>
      </c>
      <c r="E1103" s="12" t="n">
        <v>2</v>
      </c>
      <c r="F1103" s="12" t="s">
        <v>2309</v>
      </c>
      <c r="G1103" s="12" t="s">
        <v>2310</v>
      </c>
      <c r="H1103" s="17"/>
      <c r="I1103" s="17"/>
      <c r="J1103" s="13" t="n">
        <v>179890</v>
      </c>
      <c r="K1103" s="12" t="n">
        <v>7.9</v>
      </c>
      <c r="L1103" s="12" t="s">
        <v>128</v>
      </c>
      <c r="M1103" s="12" t="s">
        <v>5281</v>
      </c>
    </row>
    <row r="1104" customFormat="false" ht="15" hidden="false" customHeight="false" outlineLevel="0" collapsed="false">
      <c r="A1104" s="12" t="s">
        <v>5137</v>
      </c>
      <c r="B1104" s="12" t="s">
        <v>5282</v>
      </c>
      <c r="C1104" s="12" t="s">
        <v>5283</v>
      </c>
      <c r="D1104" s="12" t="s">
        <v>214</v>
      </c>
      <c r="E1104" s="12" t="n">
        <v>1</v>
      </c>
      <c r="F1104" s="12" t="s">
        <v>5156</v>
      </c>
      <c r="G1104" s="12" t="s">
        <v>2405</v>
      </c>
      <c r="H1104" s="17"/>
      <c r="I1104" s="17"/>
      <c r="J1104" s="13" t="n">
        <v>206918</v>
      </c>
      <c r="K1104" s="12" t="n">
        <v>9</v>
      </c>
      <c r="L1104" s="12" t="s">
        <v>1891</v>
      </c>
      <c r="M1104" s="12" t="s">
        <v>5284</v>
      </c>
    </row>
    <row r="1105" customFormat="false" ht="15" hidden="false" customHeight="false" outlineLevel="0" collapsed="false">
      <c r="A1105" s="12" t="s">
        <v>5137</v>
      </c>
      <c r="B1105" s="12" t="s">
        <v>5285</v>
      </c>
      <c r="C1105" s="12" t="s">
        <v>5286</v>
      </c>
      <c r="D1105" s="12" t="s">
        <v>111</v>
      </c>
      <c r="E1105" s="12" t="n">
        <v>2</v>
      </c>
      <c r="F1105" s="12" t="s">
        <v>3105</v>
      </c>
      <c r="G1105" s="12" t="s">
        <v>2310</v>
      </c>
      <c r="H1105" s="17"/>
      <c r="I1105" s="17"/>
      <c r="J1105" s="13" t="n">
        <v>107356</v>
      </c>
      <c r="K1105" s="12" t="n">
        <v>7</v>
      </c>
      <c r="L1105" s="12" t="s">
        <v>292</v>
      </c>
      <c r="M1105" s="12" t="s">
        <v>5287</v>
      </c>
    </row>
    <row r="1106" customFormat="false" ht="15" hidden="false" customHeight="false" outlineLevel="0" collapsed="false">
      <c r="A1106" s="12" t="s">
        <v>5137</v>
      </c>
      <c r="B1106" s="12" t="s">
        <v>5288</v>
      </c>
      <c r="C1106" s="12" t="s">
        <v>5288</v>
      </c>
      <c r="D1106" s="12" t="s">
        <v>158</v>
      </c>
      <c r="E1106" s="12" t="n">
        <v>1</v>
      </c>
      <c r="F1106" s="12" t="s">
        <v>5156</v>
      </c>
      <c r="G1106" s="12" t="s">
        <v>2405</v>
      </c>
      <c r="H1106" s="17"/>
      <c r="I1106" s="17"/>
      <c r="J1106" s="13" t="n">
        <v>205282</v>
      </c>
      <c r="K1106" s="12" t="n">
        <v>8.3</v>
      </c>
      <c r="L1106" s="12" t="s">
        <v>1891</v>
      </c>
      <c r="M1106" s="12" t="s">
        <v>5289</v>
      </c>
    </row>
    <row r="1107" customFormat="false" ht="15" hidden="false" customHeight="false" outlineLevel="0" collapsed="false">
      <c r="A1107" s="12" t="s">
        <v>5137</v>
      </c>
      <c r="B1107" s="12" t="s">
        <v>5290</v>
      </c>
      <c r="C1107" s="12" t="s">
        <v>5291</v>
      </c>
      <c r="D1107" s="12" t="s">
        <v>158</v>
      </c>
      <c r="E1107" s="12" t="n">
        <v>2</v>
      </c>
      <c r="F1107" s="12" t="s">
        <v>3105</v>
      </c>
      <c r="G1107" s="12" t="s">
        <v>2310</v>
      </c>
      <c r="H1107" s="17"/>
      <c r="I1107" s="17"/>
      <c r="J1107" s="13" t="n">
        <v>180666</v>
      </c>
      <c r="K1107" s="12" t="n">
        <v>8.1</v>
      </c>
      <c r="L1107" s="12" t="s">
        <v>292</v>
      </c>
      <c r="M1107" s="12" t="s">
        <v>5292</v>
      </c>
    </row>
    <row r="1108" customFormat="false" ht="15" hidden="false" customHeight="false" outlineLevel="0" collapsed="false">
      <c r="A1108" s="12" t="s">
        <v>5137</v>
      </c>
      <c r="B1108" s="12" t="s">
        <v>5293</v>
      </c>
      <c r="C1108" s="12" t="s">
        <v>5294</v>
      </c>
      <c r="D1108" s="12" t="s">
        <v>251</v>
      </c>
      <c r="E1108" s="12" t="n">
        <v>1</v>
      </c>
      <c r="F1108" s="12" t="s">
        <v>5156</v>
      </c>
      <c r="G1108" s="12" t="s">
        <v>2405</v>
      </c>
      <c r="H1108" s="17"/>
      <c r="I1108" s="17"/>
      <c r="J1108" s="13" t="n">
        <v>197680</v>
      </c>
      <c r="K1108" s="12" t="n">
        <v>7.7</v>
      </c>
      <c r="L1108" s="12" t="s">
        <v>1891</v>
      </c>
      <c r="M1108" s="12" t="s">
        <v>5295</v>
      </c>
    </row>
    <row r="1109" customFormat="false" ht="15" hidden="false" customHeight="false" outlineLevel="0" collapsed="false">
      <c r="A1109" s="12" t="s">
        <v>5137</v>
      </c>
      <c r="B1109" s="12" t="s">
        <v>5296</v>
      </c>
      <c r="C1109" s="12" t="s">
        <v>5297</v>
      </c>
      <c r="D1109" s="12" t="s">
        <v>396</v>
      </c>
      <c r="E1109" s="12" t="n">
        <v>2</v>
      </c>
      <c r="F1109" s="12" t="s">
        <v>3105</v>
      </c>
      <c r="G1109" s="12" t="s">
        <v>2310</v>
      </c>
      <c r="H1109" s="17"/>
      <c r="I1109" s="17"/>
      <c r="J1109" s="13" t="n">
        <v>208559</v>
      </c>
      <c r="K1109" s="12" t="n">
        <v>8.4</v>
      </c>
      <c r="L1109" s="12" t="s">
        <v>1891</v>
      </c>
      <c r="M1109" s="12" t="s">
        <v>5298</v>
      </c>
    </row>
    <row r="1110" customFormat="false" ht="15" hidden="false" customHeight="false" outlineLevel="0" collapsed="false">
      <c r="A1110" s="12" t="s">
        <v>5137</v>
      </c>
      <c r="B1110" s="12" t="s">
        <v>5299</v>
      </c>
      <c r="C1110" s="12" t="s">
        <v>5299</v>
      </c>
      <c r="D1110" s="12" t="s">
        <v>101</v>
      </c>
      <c r="E1110" s="12" t="n">
        <v>2</v>
      </c>
      <c r="F1110" s="12" t="s">
        <v>5173</v>
      </c>
      <c r="G1110" s="12" t="s">
        <v>2310</v>
      </c>
      <c r="H1110" s="17"/>
      <c r="I1110" s="17"/>
      <c r="J1110" s="13" t="n">
        <v>162419</v>
      </c>
      <c r="K1110" s="12" t="n">
        <v>7.5</v>
      </c>
      <c r="L1110" s="12" t="s">
        <v>1834</v>
      </c>
      <c r="M1110" s="12" t="s">
        <v>5300</v>
      </c>
    </row>
    <row r="1111" customFormat="false" ht="15" hidden="false" customHeight="false" outlineLevel="0" collapsed="false">
      <c r="A1111" s="12" t="s">
        <v>5137</v>
      </c>
      <c r="B1111" s="12" t="s">
        <v>5301</v>
      </c>
      <c r="C1111" s="12" t="s">
        <v>5301</v>
      </c>
      <c r="D1111" s="12" t="s">
        <v>273</v>
      </c>
      <c r="E1111" s="12" t="n">
        <v>2</v>
      </c>
      <c r="F1111" s="12" t="s">
        <v>5179</v>
      </c>
      <c r="G1111" s="12" t="s">
        <v>2310</v>
      </c>
      <c r="H1111" s="17"/>
      <c r="I1111" s="17"/>
      <c r="J1111" s="13" t="n">
        <v>175728</v>
      </c>
      <c r="K1111" s="12" t="n">
        <v>8.4</v>
      </c>
      <c r="L1111" s="12" t="s">
        <v>1891</v>
      </c>
      <c r="M1111" s="12" t="s">
        <v>5302</v>
      </c>
    </row>
    <row r="1112" customFormat="false" ht="15" hidden="false" customHeight="false" outlineLevel="0" collapsed="false">
      <c r="A1112" s="12" t="s">
        <v>5137</v>
      </c>
      <c r="B1112" s="12" t="s">
        <v>5303</v>
      </c>
      <c r="C1112" s="12" t="s">
        <v>5303</v>
      </c>
      <c r="D1112" s="12" t="s">
        <v>505</v>
      </c>
      <c r="E1112" s="12" t="n">
        <v>2</v>
      </c>
      <c r="F1112" s="12" t="s">
        <v>2309</v>
      </c>
      <c r="G1112" s="12" t="s">
        <v>2310</v>
      </c>
      <c r="H1112" s="17"/>
      <c r="I1112" s="17"/>
      <c r="J1112" s="13" t="n">
        <v>175631</v>
      </c>
      <c r="K1112" s="12" t="n">
        <v>8.9</v>
      </c>
      <c r="L1112" s="12" t="s">
        <v>128</v>
      </c>
      <c r="M1112" s="12" t="s">
        <v>5304</v>
      </c>
    </row>
    <row r="1113" customFormat="false" ht="15" hidden="false" customHeight="false" outlineLevel="0" collapsed="false">
      <c r="A1113" s="12" t="s">
        <v>5137</v>
      </c>
      <c r="B1113" s="12" t="s">
        <v>5305</v>
      </c>
      <c r="C1113" s="12" t="s">
        <v>5306</v>
      </c>
      <c r="D1113" s="12" t="s">
        <v>118</v>
      </c>
      <c r="E1113" s="12" t="n">
        <v>2</v>
      </c>
      <c r="F1113" s="12" t="s">
        <v>5173</v>
      </c>
      <c r="G1113" s="12" t="s">
        <v>2310</v>
      </c>
      <c r="H1113" s="17"/>
      <c r="I1113" s="17"/>
      <c r="J1113" s="13" t="n">
        <v>235634</v>
      </c>
      <c r="K1113" s="12" t="n">
        <v>7.7</v>
      </c>
      <c r="L1113" s="12" t="s">
        <v>1834</v>
      </c>
      <c r="M1113" s="12" t="s">
        <v>5307</v>
      </c>
    </row>
    <row r="1114" customFormat="false" ht="15" hidden="false" customHeight="false" outlineLevel="0" collapsed="false">
      <c r="A1114" s="12" t="s">
        <v>5137</v>
      </c>
      <c r="B1114" s="12" t="s">
        <v>5308</v>
      </c>
      <c r="C1114" s="12" t="s">
        <v>5308</v>
      </c>
      <c r="D1114" s="12" t="s">
        <v>101</v>
      </c>
      <c r="E1114" s="12" t="n">
        <v>2</v>
      </c>
      <c r="F1114" s="12" t="s">
        <v>2688</v>
      </c>
      <c r="G1114" s="12" t="s">
        <v>2310</v>
      </c>
      <c r="H1114" s="17"/>
      <c r="I1114" s="17"/>
      <c r="J1114" s="13" t="n">
        <v>172457</v>
      </c>
      <c r="K1114" s="12" t="n">
        <v>8.6</v>
      </c>
      <c r="L1114" s="12" t="s">
        <v>674</v>
      </c>
      <c r="M1114" s="12" t="s">
        <v>5309</v>
      </c>
    </row>
    <row r="1115" customFormat="false" ht="15" hidden="false" customHeight="false" outlineLevel="0" collapsed="false">
      <c r="A1115" s="12" t="s">
        <v>5137</v>
      </c>
      <c r="B1115" s="12" t="s">
        <v>5310</v>
      </c>
      <c r="C1115" s="12" t="s">
        <v>5311</v>
      </c>
      <c r="D1115" s="12" t="s">
        <v>140</v>
      </c>
      <c r="E1115" s="12" t="n">
        <v>2</v>
      </c>
      <c r="F1115" s="12" t="s">
        <v>3105</v>
      </c>
      <c r="G1115" s="12" t="s">
        <v>2310</v>
      </c>
      <c r="H1115" s="17"/>
      <c r="I1115" s="17"/>
      <c r="J1115" s="13" t="n">
        <v>128150</v>
      </c>
      <c r="K1115" s="12" t="n">
        <v>7.9</v>
      </c>
      <c r="L1115" s="12" t="s">
        <v>292</v>
      </c>
      <c r="M1115" s="12" t="s">
        <v>5312</v>
      </c>
    </row>
    <row r="1116" customFormat="false" ht="15" hidden="false" customHeight="false" outlineLevel="0" collapsed="false">
      <c r="A1116" s="12" t="s">
        <v>5137</v>
      </c>
      <c r="B1116" s="12" t="s">
        <v>5313</v>
      </c>
      <c r="C1116" s="12" t="s">
        <v>5314</v>
      </c>
      <c r="D1116" s="12" t="s">
        <v>90</v>
      </c>
      <c r="E1116" s="12" t="n">
        <v>2</v>
      </c>
      <c r="F1116" s="12" t="s">
        <v>2688</v>
      </c>
      <c r="G1116" s="12" t="s">
        <v>2310</v>
      </c>
      <c r="H1116" s="17"/>
      <c r="I1116" s="17"/>
      <c r="J1116" s="13" t="n">
        <v>172056</v>
      </c>
      <c r="K1116" s="12" t="n">
        <v>8.4</v>
      </c>
      <c r="L1116" s="12" t="s">
        <v>674</v>
      </c>
      <c r="M1116" s="12" t="s">
        <v>5315</v>
      </c>
    </row>
    <row r="1117" customFormat="false" ht="15" hidden="false" customHeight="false" outlineLevel="0" collapsed="false">
      <c r="A1117" s="12" t="s">
        <v>5137</v>
      </c>
      <c r="B1117" s="12" t="s">
        <v>5316</v>
      </c>
      <c r="C1117" s="12" t="s">
        <v>5317</v>
      </c>
      <c r="D1117" s="12" t="s">
        <v>140</v>
      </c>
      <c r="E1117" s="12" t="n">
        <v>1</v>
      </c>
      <c r="F1117" s="12" t="s">
        <v>5156</v>
      </c>
      <c r="G1117" s="12" t="s">
        <v>2405</v>
      </c>
      <c r="H1117" s="17"/>
      <c r="I1117" s="17"/>
      <c r="J1117" s="13" t="n">
        <v>186226</v>
      </c>
      <c r="K1117" s="12" t="n">
        <v>8.9</v>
      </c>
      <c r="L1117" s="12" t="s">
        <v>1891</v>
      </c>
      <c r="M1117" s="12" t="s">
        <v>5318</v>
      </c>
    </row>
    <row r="1118" customFormat="false" ht="15" hidden="false" customHeight="false" outlineLevel="0" collapsed="false">
      <c r="A1118" s="12" t="s">
        <v>5137</v>
      </c>
      <c r="B1118" s="12" t="s">
        <v>5319</v>
      </c>
      <c r="C1118" s="12" t="s">
        <v>5319</v>
      </c>
      <c r="D1118" s="12" t="s">
        <v>134</v>
      </c>
      <c r="E1118" s="12" t="n">
        <v>2</v>
      </c>
      <c r="F1118" s="12" t="s">
        <v>5173</v>
      </c>
      <c r="G1118" s="12" t="s">
        <v>2310</v>
      </c>
      <c r="H1118" s="17"/>
      <c r="I1118" s="17"/>
      <c r="J1118" s="13" t="n">
        <v>162718</v>
      </c>
      <c r="K1118" s="12" t="n">
        <v>6.8</v>
      </c>
      <c r="L1118" s="12" t="s">
        <v>1834</v>
      </c>
      <c r="M1118" s="12" t="s">
        <v>5320</v>
      </c>
    </row>
    <row r="1119" customFormat="false" ht="15" hidden="false" customHeight="false" outlineLevel="0" collapsed="false">
      <c r="A1119" s="12" t="s">
        <v>5137</v>
      </c>
      <c r="B1119" s="12" t="s">
        <v>5321</v>
      </c>
      <c r="C1119" s="12" t="s">
        <v>5322</v>
      </c>
      <c r="D1119" s="12" t="s">
        <v>101</v>
      </c>
      <c r="E1119" s="12" t="n">
        <v>2</v>
      </c>
      <c r="F1119" s="12" t="s">
        <v>2688</v>
      </c>
      <c r="G1119" s="12" t="s">
        <v>2310</v>
      </c>
      <c r="H1119" s="17"/>
      <c r="I1119" s="17"/>
      <c r="J1119" s="13" t="n">
        <v>166214</v>
      </c>
      <c r="K1119" s="12" t="n">
        <v>7.2</v>
      </c>
      <c r="L1119" s="12" t="s">
        <v>674</v>
      </c>
      <c r="M1119" s="12" t="s">
        <v>5323</v>
      </c>
    </row>
    <row r="1120" customFormat="false" ht="15" hidden="false" customHeight="false" outlineLevel="0" collapsed="false">
      <c r="A1120" s="12" t="s">
        <v>5137</v>
      </c>
      <c r="B1120" s="12" t="s">
        <v>5324</v>
      </c>
      <c r="C1120" s="12" t="s">
        <v>5324</v>
      </c>
      <c r="D1120" s="12" t="s">
        <v>158</v>
      </c>
      <c r="E1120" s="12" t="n">
        <v>1</v>
      </c>
      <c r="F1120" s="12" t="s">
        <v>5156</v>
      </c>
      <c r="G1120" s="12" t="s">
        <v>2405</v>
      </c>
      <c r="H1120" s="17"/>
      <c r="I1120" s="17"/>
      <c r="J1120" s="13" t="n">
        <v>184834</v>
      </c>
      <c r="K1120" s="12" t="n">
        <v>8.5</v>
      </c>
      <c r="L1120" s="12" t="s">
        <v>1891</v>
      </c>
      <c r="M1120" s="12" t="s">
        <v>5325</v>
      </c>
    </row>
    <row r="1121" customFormat="false" ht="15" hidden="false" customHeight="false" outlineLevel="0" collapsed="false">
      <c r="A1121" s="12" t="s">
        <v>5137</v>
      </c>
      <c r="B1121" s="12" t="s">
        <v>5326</v>
      </c>
      <c r="C1121" s="12" t="s">
        <v>5326</v>
      </c>
      <c r="D1121" s="12" t="s">
        <v>189</v>
      </c>
      <c r="E1121" s="12" t="n">
        <v>2</v>
      </c>
      <c r="F1121" s="12" t="s">
        <v>3105</v>
      </c>
      <c r="G1121" s="12" t="s">
        <v>2310</v>
      </c>
      <c r="H1121" s="17"/>
      <c r="I1121" s="17"/>
      <c r="J1121" s="13" t="n">
        <v>117029</v>
      </c>
      <c r="K1121" s="12" t="n">
        <v>7.4</v>
      </c>
      <c r="L1121" s="12" t="s">
        <v>292</v>
      </c>
      <c r="M1121" s="12" t="s">
        <v>5327</v>
      </c>
    </row>
    <row r="1122" customFormat="false" ht="15" hidden="false" customHeight="false" outlineLevel="0" collapsed="false">
      <c r="A1122" s="12" t="s">
        <v>5137</v>
      </c>
      <c r="B1122" s="12" t="s">
        <v>5328</v>
      </c>
      <c r="C1122" s="12" t="s">
        <v>5328</v>
      </c>
      <c r="D1122" s="12" t="s">
        <v>214</v>
      </c>
      <c r="E1122" s="12" t="n">
        <v>1</v>
      </c>
      <c r="F1122" s="12" t="s">
        <v>5156</v>
      </c>
      <c r="G1122" s="12" t="s">
        <v>2405</v>
      </c>
      <c r="H1122" s="17"/>
      <c r="I1122" s="17"/>
      <c r="J1122" s="13" t="n">
        <v>182280</v>
      </c>
      <c r="K1122" s="12" t="n">
        <v>7.7</v>
      </c>
      <c r="L1122" s="12" t="s">
        <v>1891</v>
      </c>
      <c r="M1122" s="12" t="s">
        <v>5329</v>
      </c>
    </row>
    <row r="1123" customFormat="false" ht="15" hidden="false" customHeight="false" outlineLevel="0" collapsed="false">
      <c r="A1123" s="12" t="s">
        <v>5137</v>
      </c>
      <c r="B1123" s="12" t="s">
        <v>5330</v>
      </c>
      <c r="C1123" s="12" t="s">
        <v>5331</v>
      </c>
      <c r="D1123" s="12" t="s">
        <v>214</v>
      </c>
      <c r="E1123" s="12" t="n">
        <v>2</v>
      </c>
      <c r="F1123" s="12" t="s">
        <v>3105</v>
      </c>
      <c r="G1123" s="12" t="s">
        <v>2310</v>
      </c>
      <c r="H1123" s="17"/>
      <c r="I1123" s="17"/>
      <c r="J1123" s="13" t="n">
        <v>249754</v>
      </c>
      <c r="K1123" s="12" t="n">
        <v>7.6</v>
      </c>
      <c r="L1123" s="12" t="s">
        <v>1891</v>
      </c>
      <c r="M1123" s="12" t="s">
        <v>5332</v>
      </c>
    </row>
    <row r="1124" customFormat="false" ht="15" hidden="false" customHeight="false" outlineLevel="0" collapsed="false">
      <c r="A1124" s="12" t="s">
        <v>5137</v>
      </c>
      <c r="B1124" s="12" t="s">
        <v>5333</v>
      </c>
      <c r="C1124" s="12" t="s">
        <v>5333</v>
      </c>
      <c r="D1124" s="12" t="s">
        <v>118</v>
      </c>
      <c r="E1124" s="12" t="n">
        <v>2</v>
      </c>
      <c r="F1124" s="12" t="s">
        <v>2309</v>
      </c>
      <c r="G1124" s="12" t="s">
        <v>2310</v>
      </c>
      <c r="H1124" s="17"/>
      <c r="I1124" s="17"/>
      <c r="J1124" s="13" t="n">
        <v>162937</v>
      </c>
      <c r="K1124" s="12" t="n">
        <v>8.4</v>
      </c>
      <c r="L1124" s="12" t="s">
        <v>128</v>
      </c>
      <c r="M1124" s="12" t="s">
        <v>5334</v>
      </c>
    </row>
    <row r="1125" customFormat="false" ht="15" hidden="false" customHeight="false" outlineLevel="0" collapsed="false">
      <c r="A1125" s="12" t="s">
        <v>5137</v>
      </c>
      <c r="B1125" s="12" t="s">
        <v>5335</v>
      </c>
      <c r="C1125" s="12" t="s">
        <v>5336</v>
      </c>
      <c r="D1125" s="12" t="s">
        <v>140</v>
      </c>
      <c r="E1125" s="12" t="n">
        <v>2</v>
      </c>
      <c r="F1125" s="12" t="s">
        <v>3105</v>
      </c>
      <c r="G1125" s="12" t="s">
        <v>2310</v>
      </c>
      <c r="H1125" s="17"/>
      <c r="I1125" s="17"/>
      <c r="J1125" s="13" t="n">
        <v>85237</v>
      </c>
      <c r="K1125" s="12" t="n">
        <v>7.7</v>
      </c>
      <c r="L1125" s="12" t="s">
        <v>292</v>
      </c>
      <c r="M1125" s="12" t="s">
        <v>5337</v>
      </c>
    </row>
    <row r="1126" customFormat="false" ht="15" hidden="false" customHeight="false" outlineLevel="0" collapsed="false">
      <c r="A1126" s="12" t="s">
        <v>5137</v>
      </c>
      <c r="B1126" s="12" t="s">
        <v>5338</v>
      </c>
      <c r="C1126" s="12" t="s">
        <v>5339</v>
      </c>
      <c r="D1126" s="12" t="s">
        <v>207</v>
      </c>
      <c r="E1126" s="12" t="n">
        <v>2</v>
      </c>
      <c r="F1126" s="12" t="s">
        <v>2688</v>
      </c>
      <c r="G1126" s="12" t="s">
        <v>2310</v>
      </c>
      <c r="H1126" s="17"/>
      <c r="I1126" s="17"/>
      <c r="J1126" s="13" t="n">
        <v>160940</v>
      </c>
      <c r="K1126" s="12" t="n">
        <v>8.6</v>
      </c>
      <c r="L1126" s="12" t="s">
        <v>1891</v>
      </c>
      <c r="M1126" s="12" t="s">
        <v>5340</v>
      </c>
    </row>
    <row r="1127" customFormat="false" ht="15" hidden="false" customHeight="false" outlineLevel="0" collapsed="false">
      <c r="A1127" s="12" t="s">
        <v>5137</v>
      </c>
      <c r="B1127" s="12" t="s">
        <v>5341</v>
      </c>
      <c r="C1127" s="12" t="s">
        <v>5342</v>
      </c>
      <c r="D1127" s="12" t="s">
        <v>140</v>
      </c>
      <c r="E1127" s="12" t="n">
        <v>2</v>
      </c>
      <c r="F1127" s="12" t="s">
        <v>3105</v>
      </c>
      <c r="G1127" s="12" t="s">
        <v>2310</v>
      </c>
      <c r="H1127" s="17"/>
      <c r="I1127" s="17"/>
      <c r="J1127" s="13" t="n">
        <v>72803</v>
      </c>
      <c r="K1127" s="12" t="n">
        <v>8</v>
      </c>
      <c r="L1127" s="12" t="s">
        <v>292</v>
      </c>
      <c r="M1127" s="12" t="s">
        <v>5343</v>
      </c>
    </row>
    <row r="1128" customFormat="false" ht="15" hidden="false" customHeight="false" outlineLevel="0" collapsed="false">
      <c r="A1128" s="12" t="s">
        <v>5137</v>
      </c>
      <c r="B1128" s="12" t="s">
        <v>5344</v>
      </c>
      <c r="C1128" s="12" t="s">
        <v>5344</v>
      </c>
      <c r="D1128" s="12" t="s">
        <v>127</v>
      </c>
      <c r="E1128" s="12" t="n">
        <v>2</v>
      </c>
      <c r="F1128" s="12" t="s">
        <v>3105</v>
      </c>
      <c r="G1128" s="12" t="s">
        <v>2310</v>
      </c>
      <c r="H1128" s="17"/>
      <c r="I1128" s="17"/>
      <c r="J1128" s="13" t="n">
        <v>193301</v>
      </c>
      <c r="K1128" s="12" t="n">
        <v>7.8</v>
      </c>
      <c r="L1128" s="12" t="s">
        <v>1891</v>
      </c>
      <c r="M1128" s="12" t="s">
        <v>5345</v>
      </c>
    </row>
    <row r="1129" customFormat="false" ht="15" hidden="false" customHeight="false" outlineLevel="0" collapsed="false">
      <c r="A1129" s="12" t="s">
        <v>5137</v>
      </c>
      <c r="B1129" s="12" t="s">
        <v>5346</v>
      </c>
      <c r="C1129" s="12" t="s">
        <v>5346</v>
      </c>
      <c r="D1129" s="12" t="s">
        <v>134</v>
      </c>
      <c r="E1129" s="12" t="n">
        <v>2</v>
      </c>
      <c r="F1129" s="12" t="s">
        <v>3105</v>
      </c>
      <c r="G1129" s="12" t="s">
        <v>2310</v>
      </c>
      <c r="H1129" s="17"/>
      <c r="I1129" s="17"/>
      <c r="J1129" s="13" t="n">
        <v>60920</v>
      </c>
      <c r="K1129" s="12" t="n">
        <v>6.8</v>
      </c>
      <c r="L1129" s="12" t="s">
        <v>292</v>
      </c>
      <c r="M1129" s="12" t="s">
        <v>5347</v>
      </c>
    </row>
    <row r="1130" customFormat="false" ht="15" hidden="false" customHeight="false" outlineLevel="0" collapsed="false">
      <c r="A1130" s="12" t="s">
        <v>5137</v>
      </c>
      <c r="B1130" s="12" t="s">
        <v>5348</v>
      </c>
      <c r="C1130" s="12" t="s">
        <v>5348</v>
      </c>
      <c r="D1130" s="12" t="s">
        <v>90</v>
      </c>
      <c r="E1130" s="12" t="n">
        <v>2</v>
      </c>
      <c r="F1130" s="12" t="s">
        <v>2688</v>
      </c>
      <c r="G1130" s="12" t="s">
        <v>2310</v>
      </c>
      <c r="H1130" s="17"/>
      <c r="I1130" s="17"/>
      <c r="J1130" s="13" t="n">
        <v>152965</v>
      </c>
      <c r="K1130" s="12" t="n">
        <v>8.1</v>
      </c>
      <c r="L1130" s="12" t="s">
        <v>1891</v>
      </c>
      <c r="M1130" s="12" t="s">
        <v>5349</v>
      </c>
    </row>
    <row r="1131" customFormat="false" ht="15" hidden="false" customHeight="false" outlineLevel="0" collapsed="false">
      <c r="A1131" s="12" t="s">
        <v>5137</v>
      </c>
      <c r="B1131" s="12" t="s">
        <v>5350</v>
      </c>
      <c r="C1131" s="12" t="s">
        <v>5350</v>
      </c>
      <c r="D1131" s="12" t="s">
        <v>273</v>
      </c>
      <c r="E1131" s="12" t="n">
        <v>2</v>
      </c>
      <c r="F1131" s="12" t="s">
        <v>3105</v>
      </c>
      <c r="G1131" s="12" t="s">
        <v>2310</v>
      </c>
      <c r="H1131" s="17"/>
      <c r="I1131" s="17"/>
      <c r="J1131" s="13" t="n">
        <v>65095</v>
      </c>
      <c r="K1131" s="12" t="n">
        <v>6.5</v>
      </c>
      <c r="L1131" s="12" t="s">
        <v>292</v>
      </c>
      <c r="M1131" s="12" t="s">
        <v>5351</v>
      </c>
    </row>
    <row r="1132" customFormat="false" ht="15" hidden="false" customHeight="false" outlineLevel="0" collapsed="false">
      <c r="A1132" s="12" t="s">
        <v>5137</v>
      </c>
      <c r="B1132" s="12" t="s">
        <v>5352</v>
      </c>
      <c r="C1132" s="12" t="s">
        <v>5353</v>
      </c>
      <c r="D1132" s="12" t="s">
        <v>134</v>
      </c>
      <c r="E1132" s="12" t="n">
        <v>2</v>
      </c>
      <c r="F1132" s="12" t="s">
        <v>3105</v>
      </c>
      <c r="G1132" s="12" t="s">
        <v>2310</v>
      </c>
      <c r="H1132" s="17"/>
      <c r="I1132" s="17"/>
      <c r="J1132" s="13" t="n">
        <v>90261</v>
      </c>
      <c r="K1132" s="12" t="n">
        <v>8.3</v>
      </c>
      <c r="L1132" s="12" t="s">
        <v>292</v>
      </c>
      <c r="M1132" s="12" t="s">
        <v>5354</v>
      </c>
    </row>
    <row r="1133" customFormat="false" ht="15" hidden="false" customHeight="false" outlineLevel="0" collapsed="false">
      <c r="A1133" s="12" t="s">
        <v>5137</v>
      </c>
      <c r="B1133" s="12" t="s">
        <v>5355</v>
      </c>
      <c r="C1133" s="12" t="s">
        <v>5355</v>
      </c>
      <c r="D1133" s="12" t="s">
        <v>202</v>
      </c>
      <c r="E1133" s="12" t="n">
        <v>2</v>
      </c>
      <c r="F1133" s="12" t="s">
        <v>2309</v>
      </c>
      <c r="G1133" s="12" t="s">
        <v>2310</v>
      </c>
      <c r="H1133" s="17"/>
      <c r="I1133" s="17"/>
      <c r="J1133" s="13" t="n">
        <v>152540</v>
      </c>
      <c r="K1133" s="12" t="n">
        <v>8.4</v>
      </c>
      <c r="L1133" s="12" t="s">
        <v>128</v>
      </c>
      <c r="M1133" s="12" t="s">
        <v>5356</v>
      </c>
    </row>
    <row r="1134" customFormat="false" ht="15" hidden="false" customHeight="false" outlineLevel="0" collapsed="false">
      <c r="A1134" s="12" t="s">
        <v>5137</v>
      </c>
      <c r="B1134" s="12" t="s">
        <v>5357</v>
      </c>
      <c r="C1134" s="12" t="s">
        <v>5357</v>
      </c>
      <c r="D1134" s="12" t="s">
        <v>207</v>
      </c>
      <c r="E1134" s="12" t="n">
        <v>2</v>
      </c>
      <c r="F1134" s="12" t="s">
        <v>2688</v>
      </c>
      <c r="G1134" s="12" t="s">
        <v>2310</v>
      </c>
      <c r="H1134" s="17"/>
      <c r="I1134" s="17"/>
      <c r="J1134" s="13" t="n">
        <v>147337</v>
      </c>
      <c r="K1134" s="12" t="n">
        <v>6.9</v>
      </c>
      <c r="L1134" s="12" t="s">
        <v>674</v>
      </c>
      <c r="M1134" s="12" t="s">
        <v>5358</v>
      </c>
    </row>
    <row r="1135" customFormat="false" ht="15" hidden="false" customHeight="false" outlineLevel="0" collapsed="false">
      <c r="A1135" s="12" t="s">
        <v>5137</v>
      </c>
      <c r="B1135" s="12" t="s">
        <v>5359</v>
      </c>
      <c r="C1135" s="12" t="s">
        <v>5360</v>
      </c>
      <c r="D1135" s="12" t="s">
        <v>396</v>
      </c>
      <c r="E1135" s="12" t="n">
        <v>1</v>
      </c>
      <c r="F1135" s="12" t="s">
        <v>5156</v>
      </c>
      <c r="G1135" s="12" t="s">
        <v>2405</v>
      </c>
      <c r="H1135" s="17"/>
      <c r="I1135" s="17"/>
      <c r="J1135" s="13" t="n">
        <v>171217</v>
      </c>
      <c r="K1135" s="12" t="n">
        <v>8.7</v>
      </c>
      <c r="L1135" s="12" t="s">
        <v>1891</v>
      </c>
      <c r="M1135" s="12" t="s">
        <v>5361</v>
      </c>
    </row>
    <row r="1136" customFormat="false" ht="15" hidden="false" customHeight="false" outlineLevel="0" collapsed="false">
      <c r="A1136" s="12" t="s">
        <v>5137</v>
      </c>
      <c r="B1136" s="12" t="s">
        <v>5362</v>
      </c>
      <c r="C1136" s="12" t="s">
        <v>5362</v>
      </c>
      <c r="D1136" s="12" t="s">
        <v>175</v>
      </c>
      <c r="E1136" s="12" t="n">
        <v>2</v>
      </c>
      <c r="F1136" s="12" t="s">
        <v>2688</v>
      </c>
      <c r="G1136" s="12" t="s">
        <v>2310</v>
      </c>
      <c r="H1136" s="17"/>
      <c r="I1136" s="17"/>
      <c r="J1136" s="13" t="n">
        <v>145534</v>
      </c>
      <c r="K1136" s="12" t="n">
        <v>7.4</v>
      </c>
      <c r="L1136" s="12" t="s">
        <v>674</v>
      </c>
      <c r="M1136" s="12" t="s">
        <v>5363</v>
      </c>
    </row>
    <row r="1137" customFormat="false" ht="15" hidden="false" customHeight="false" outlineLevel="0" collapsed="false">
      <c r="A1137" s="12" t="s">
        <v>5137</v>
      </c>
      <c r="B1137" s="12" t="s">
        <v>5364</v>
      </c>
      <c r="C1137" s="12" t="s">
        <v>5364</v>
      </c>
      <c r="D1137" s="12" t="s">
        <v>207</v>
      </c>
      <c r="E1137" s="12" t="n">
        <v>1</v>
      </c>
      <c r="F1137" s="12" t="s">
        <v>5156</v>
      </c>
      <c r="G1137" s="12" t="s">
        <v>2405</v>
      </c>
      <c r="H1137" s="17"/>
      <c r="I1137" s="17"/>
      <c r="J1137" s="13" t="n">
        <v>167792</v>
      </c>
      <c r="K1137" s="12" t="n">
        <v>6.4</v>
      </c>
      <c r="L1137" s="12" t="s">
        <v>1891</v>
      </c>
      <c r="M1137" s="12" t="s">
        <v>5365</v>
      </c>
    </row>
    <row r="1138" customFormat="false" ht="15" hidden="false" customHeight="false" outlineLevel="0" collapsed="false">
      <c r="A1138" s="12" t="s">
        <v>5137</v>
      </c>
      <c r="B1138" s="12" t="s">
        <v>5366</v>
      </c>
      <c r="C1138" s="12" t="s">
        <v>5367</v>
      </c>
      <c r="D1138" s="12" t="s">
        <v>500</v>
      </c>
      <c r="E1138" s="12" t="n">
        <v>2</v>
      </c>
      <c r="F1138" s="12" t="s">
        <v>2309</v>
      </c>
      <c r="G1138" s="12" t="s">
        <v>2310</v>
      </c>
      <c r="H1138" s="17"/>
      <c r="I1138" s="17"/>
      <c r="J1138" s="13" t="n">
        <v>140370</v>
      </c>
      <c r="K1138" s="12" t="n">
        <v>8.3</v>
      </c>
      <c r="L1138" s="12" t="s">
        <v>128</v>
      </c>
      <c r="M1138" s="12" t="s">
        <v>5368</v>
      </c>
    </row>
    <row r="1139" customFormat="false" ht="15" hidden="false" customHeight="false" outlineLevel="0" collapsed="false">
      <c r="A1139" s="12" t="s">
        <v>5137</v>
      </c>
      <c r="B1139" s="12" t="s">
        <v>5369</v>
      </c>
      <c r="C1139" s="12" t="s">
        <v>5370</v>
      </c>
      <c r="D1139" s="12" t="s">
        <v>251</v>
      </c>
      <c r="E1139" s="12" t="n">
        <v>2</v>
      </c>
      <c r="F1139" s="12" t="s">
        <v>3105</v>
      </c>
      <c r="G1139" s="12" t="s">
        <v>2310</v>
      </c>
      <c r="H1139" s="17"/>
      <c r="I1139" s="17"/>
      <c r="J1139" s="13" t="n">
        <v>71559</v>
      </c>
      <c r="K1139" s="12" t="n">
        <v>6.8</v>
      </c>
      <c r="L1139" s="12" t="s">
        <v>292</v>
      </c>
      <c r="M1139" s="12" t="s">
        <v>5371</v>
      </c>
    </row>
    <row r="1140" customFormat="false" ht="15" hidden="false" customHeight="false" outlineLevel="0" collapsed="false">
      <c r="A1140" s="12" t="s">
        <v>5137</v>
      </c>
      <c r="B1140" s="12" t="s">
        <v>5372</v>
      </c>
      <c r="C1140" s="12" t="s">
        <v>5373</v>
      </c>
      <c r="D1140" s="12" t="s">
        <v>251</v>
      </c>
      <c r="E1140" s="12" t="n">
        <v>2</v>
      </c>
      <c r="F1140" s="12" t="s">
        <v>2309</v>
      </c>
      <c r="G1140" s="12" t="s">
        <v>2310</v>
      </c>
      <c r="H1140" s="17"/>
      <c r="I1140" s="17"/>
      <c r="J1140" s="13" t="n">
        <v>138601</v>
      </c>
      <c r="K1140" s="12" t="n">
        <v>8.1</v>
      </c>
      <c r="L1140" s="12" t="s">
        <v>128</v>
      </c>
      <c r="M1140" s="12" t="s">
        <v>5374</v>
      </c>
    </row>
    <row r="1141" customFormat="false" ht="15" hidden="false" customHeight="false" outlineLevel="0" collapsed="false">
      <c r="A1141" s="12" t="s">
        <v>5137</v>
      </c>
      <c r="B1141" s="12" t="s">
        <v>5375</v>
      </c>
      <c r="C1141" s="12" t="s">
        <v>5376</v>
      </c>
      <c r="D1141" s="12" t="s">
        <v>358</v>
      </c>
      <c r="E1141" s="12" t="n">
        <v>2</v>
      </c>
      <c r="F1141" s="12" t="s">
        <v>3105</v>
      </c>
      <c r="G1141" s="12" t="s">
        <v>2310</v>
      </c>
      <c r="H1141" s="17"/>
      <c r="I1141" s="17"/>
      <c r="J1141" s="13" t="n">
        <v>84400</v>
      </c>
      <c r="K1141" s="12" t="n">
        <v>7.4</v>
      </c>
      <c r="L1141" s="12" t="s">
        <v>292</v>
      </c>
      <c r="M1141" s="12" t="s">
        <v>5377</v>
      </c>
    </row>
    <row r="1142" customFormat="false" ht="15" hidden="false" customHeight="false" outlineLevel="0" collapsed="false">
      <c r="A1142" s="12" t="s">
        <v>5137</v>
      </c>
      <c r="B1142" s="12" t="s">
        <v>5378</v>
      </c>
      <c r="C1142" s="12" t="s">
        <v>5378</v>
      </c>
      <c r="D1142" s="12" t="s">
        <v>158</v>
      </c>
      <c r="E1142" s="12" t="n">
        <v>2</v>
      </c>
      <c r="F1142" s="12" t="s">
        <v>2309</v>
      </c>
      <c r="G1142" s="12" t="s">
        <v>2310</v>
      </c>
      <c r="H1142" s="17"/>
      <c r="I1142" s="17"/>
      <c r="J1142" s="13" t="n">
        <v>135119</v>
      </c>
      <c r="K1142" s="12" t="n">
        <v>8.3</v>
      </c>
      <c r="L1142" s="12" t="s">
        <v>128</v>
      </c>
      <c r="M1142" s="12" t="s">
        <v>5379</v>
      </c>
    </row>
    <row r="1143" customFormat="false" ht="15" hidden="false" customHeight="false" outlineLevel="0" collapsed="false">
      <c r="A1143" s="12" t="s">
        <v>5137</v>
      </c>
      <c r="B1143" s="12" t="s">
        <v>5380</v>
      </c>
      <c r="C1143" s="12" t="s">
        <v>5380</v>
      </c>
      <c r="D1143" s="12" t="s">
        <v>118</v>
      </c>
      <c r="E1143" s="12" t="n">
        <v>2</v>
      </c>
      <c r="F1143" s="12" t="s">
        <v>2688</v>
      </c>
      <c r="G1143" s="12" t="s">
        <v>2310</v>
      </c>
      <c r="H1143" s="17"/>
      <c r="I1143" s="17"/>
      <c r="J1143" s="13" t="n">
        <v>134513</v>
      </c>
      <c r="K1143" s="12" t="n">
        <v>6.2</v>
      </c>
      <c r="L1143" s="12" t="s">
        <v>674</v>
      </c>
      <c r="M1143" s="12" t="s">
        <v>5381</v>
      </c>
    </row>
    <row r="1144" customFormat="false" ht="15" hidden="false" customHeight="false" outlineLevel="0" collapsed="false">
      <c r="A1144" s="12" t="s">
        <v>5137</v>
      </c>
      <c r="B1144" s="12" t="s">
        <v>5382</v>
      </c>
      <c r="C1144" s="12" t="s">
        <v>5382</v>
      </c>
      <c r="D1144" s="12" t="s">
        <v>396</v>
      </c>
      <c r="E1144" s="12" t="n">
        <v>1</v>
      </c>
      <c r="F1144" s="12" t="s">
        <v>5156</v>
      </c>
      <c r="G1144" s="12" t="s">
        <v>2405</v>
      </c>
      <c r="H1144" s="17"/>
      <c r="I1144" s="17"/>
      <c r="J1144" s="13" t="n">
        <v>157536</v>
      </c>
      <c r="K1144" s="12" t="n">
        <v>7.5</v>
      </c>
      <c r="L1144" s="12" t="s">
        <v>1891</v>
      </c>
      <c r="M1144" s="12" t="s">
        <v>5383</v>
      </c>
    </row>
    <row r="1145" customFormat="false" ht="15" hidden="false" customHeight="false" outlineLevel="0" collapsed="false">
      <c r="A1145" s="12" t="s">
        <v>5137</v>
      </c>
      <c r="B1145" s="12" t="s">
        <v>5384</v>
      </c>
      <c r="C1145" s="12" t="s">
        <v>5384</v>
      </c>
      <c r="D1145" s="12" t="s">
        <v>358</v>
      </c>
      <c r="E1145" s="12" t="n">
        <v>2</v>
      </c>
      <c r="F1145" s="12" t="s">
        <v>3105</v>
      </c>
      <c r="G1145" s="12" t="s">
        <v>2310</v>
      </c>
      <c r="H1145" s="17"/>
      <c r="I1145" s="17"/>
      <c r="J1145" s="13" t="n">
        <v>55049</v>
      </c>
      <c r="K1145" s="12" t="n">
        <v>7.7</v>
      </c>
      <c r="L1145" s="12" t="s">
        <v>292</v>
      </c>
      <c r="M1145" s="12" t="s">
        <v>5385</v>
      </c>
    </row>
    <row r="1146" customFormat="false" ht="15" hidden="false" customHeight="false" outlineLevel="0" collapsed="false">
      <c r="A1146" s="12" t="s">
        <v>5137</v>
      </c>
      <c r="B1146" s="12" t="s">
        <v>5386</v>
      </c>
      <c r="C1146" s="12" t="s">
        <v>5387</v>
      </c>
      <c r="D1146" s="12" t="s">
        <v>175</v>
      </c>
      <c r="E1146" s="12" t="n">
        <v>2</v>
      </c>
      <c r="F1146" s="12" t="s">
        <v>2309</v>
      </c>
      <c r="G1146" s="12" t="s">
        <v>2310</v>
      </c>
      <c r="H1146" s="17"/>
      <c r="I1146" s="17"/>
      <c r="J1146" s="13" t="n">
        <v>132524</v>
      </c>
      <c r="K1146" s="12" t="n">
        <v>8.2</v>
      </c>
      <c r="L1146" s="12" t="s">
        <v>128</v>
      </c>
      <c r="M1146" s="12" t="s">
        <v>5388</v>
      </c>
    </row>
    <row r="1147" customFormat="false" ht="15" hidden="false" customHeight="false" outlineLevel="0" collapsed="false">
      <c r="A1147" s="12" t="s">
        <v>5137</v>
      </c>
      <c r="B1147" s="12" t="s">
        <v>5389</v>
      </c>
      <c r="C1147" s="12" t="s">
        <v>5390</v>
      </c>
      <c r="D1147" s="12" t="s">
        <v>118</v>
      </c>
      <c r="E1147" s="12" t="n">
        <v>2</v>
      </c>
      <c r="F1147" s="12" t="s">
        <v>2688</v>
      </c>
      <c r="G1147" s="12" t="s">
        <v>2310</v>
      </c>
      <c r="H1147" s="17"/>
      <c r="I1147" s="17"/>
      <c r="J1147" s="13" t="n">
        <v>131083</v>
      </c>
      <c r="K1147" s="12" t="n">
        <v>7.9</v>
      </c>
      <c r="L1147" s="12" t="s">
        <v>674</v>
      </c>
      <c r="M1147" s="12" t="s">
        <v>5391</v>
      </c>
    </row>
    <row r="1148" customFormat="false" ht="15" hidden="false" customHeight="false" outlineLevel="0" collapsed="false">
      <c r="A1148" s="12" t="s">
        <v>5137</v>
      </c>
      <c r="B1148" s="12" t="s">
        <v>5392</v>
      </c>
      <c r="C1148" s="12" t="s">
        <v>5392</v>
      </c>
      <c r="D1148" s="12" t="s">
        <v>1103</v>
      </c>
      <c r="E1148" s="12" t="n">
        <v>1</v>
      </c>
      <c r="F1148" s="12" t="s">
        <v>5156</v>
      </c>
      <c r="G1148" s="12" t="s">
        <v>2405</v>
      </c>
      <c r="H1148" s="17"/>
      <c r="I1148" s="17"/>
      <c r="J1148" s="13" t="n">
        <v>153340</v>
      </c>
      <c r="K1148" s="12" t="n">
        <v>7.8</v>
      </c>
      <c r="L1148" s="12" t="s">
        <v>1891</v>
      </c>
      <c r="M1148" s="12" t="s">
        <v>5393</v>
      </c>
    </row>
    <row r="1149" customFormat="false" ht="15" hidden="false" customHeight="false" outlineLevel="0" collapsed="false">
      <c r="A1149" s="12" t="s">
        <v>5137</v>
      </c>
      <c r="B1149" s="12" t="s">
        <v>5394</v>
      </c>
      <c r="C1149" s="12" t="s">
        <v>5395</v>
      </c>
      <c r="D1149" s="12" t="s">
        <v>101</v>
      </c>
      <c r="E1149" s="12" t="n">
        <v>2</v>
      </c>
      <c r="F1149" s="12" t="s">
        <v>2688</v>
      </c>
      <c r="G1149" s="12" t="s">
        <v>2310</v>
      </c>
      <c r="H1149" s="17"/>
      <c r="I1149" s="17"/>
      <c r="J1149" s="13" t="n">
        <v>129679</v>
      </c>
      <c r="K1149" s="12" t="n">
        <v>7.6</v>
      </c>
      <c r="L1149" s="12" t="s">
        <v>674</v>
      </c>
      <c r="M1149" s="12" t="s">
        <v>5396</v>
      </c>
    </row>
    <row r="1150" customFormat="false" ht="15" hidden="false" customHeight="false" outlineLevel="0" collapsed="false">
      <c r="A1150" s="12" t="s">
        <v>5137</v>
      </c>
      <c r="B1150" s="12" t="s">
        <v>5397</v>
      </c>
      <c r="C1150" s="12" t="s">
        <v>5397</v>
      </c>
      <c r="D1150" s="12" t="s">
        <v>189</v>
      </c>
      <c r="E1150" s="12" t="n">
        <v>2</v>
      </c>
      <c r="F1150" s="12" t="s">
        <v>5179</v>
      </c>
      <c r="G1150" s="12" t="s">
        <v>2310</v>
      </c>
      <c r="H1150" s="17"/>
      <c r="I1150" s="17"/>
      <c r="J1150" s="13" t="n">
        <v>128170</v>
      </c>
      <c r="K1150" s="12" t="n">
        <v>8.2</v>
      </c>
      <c r="L1150" s="12" t="s">
        <v>1891</v>
      </c>
      <c r="M1150" s="12" t="s">
        <v>5398</v>
      </c>
    </row>
    <row r="1151" customFormat="false" ht="15" hidden="false" customHeight="false" outlineLevel="0" collapsed="false">
      <c r="A1151" s="12" t="s">
        <v>5137</v>
      </c>
      <c r="B1151" s="12" t="s">
        <v>5399</v>
      </c>
      <c r="C1151" s="12" t="s">
        <v>5400</v>
      </c>
      <c r="D1151" s="12" t="s">
        <v>101</v>
      </c>
      <c r="E1151" s="12" t="n">
        <v>2</v>
      </c>
      <c r="F1151" s="12" t="s">
        <v>2688</v>
      </c>
      <c r="G1151" s="12" t="s">
        <v>2310</v>
      </c>
      <c r="H1151" s="17"/>
      <c r="I1151" s="17"/>
      <c r="J1151" s="13" t="n">
        <v>126353</v>
      </c>
      <c r="K1151" s="12" t="n">
        <v>7.5</v>
      </c>
      <c r="L1151" s="12" t="s">
        <v>1891</v>
      </c>
      <c r="M1151" s="12" t="s">
        <v>5401</v>
      </c>
    </row>
    <row r="1152" customFormat="false" ht="15" hidden="false" customHeight="false" outlineLevel="0" collapsed="false">
      <c r="A1152" s="12" t="s">
        <v>5137</v>
      </c>
      <c r="B1152" s="12" t="s">
        <v>5402</v>
      </c>
      <c r="C1152" s="12" t="s">
        <v>5403</v>
      </c>
      <c r="D1152" s="12" t="s">
        <v>1103</v>
      </c>
      <c r="E1152" s="12" t="n">
        <v>1</v>
      </c>
      <c r="F1152" s="12" t="s">
        <v>5156</v>
      </c>
      <c r="G1152" s="12" t="s">
        <v>2405</v>
      </c>
      <c r="H1152" s="17"/>
      <c r="I1152" s="17"/>
      <c r="J1152" s="13" t="n">
        <v>145285</v>
      </c>
      <c r="K1152" s="12" t="n">
        <v>6.8</v>
      </c>
      <c r="L1152" s="12" t="s">
        <v>1891</v>
      </c>
      <c r="M1152" s="12" t="s">
        <v>5404</v>
      </c>
    </row>
    <row r="1153" customFormat="false" ht="15" hidden="false" customHeight="false" outlineLevel="0" collapsed="false">
      <c r="A1153" s="12" t="s">
        <v>5137</v>
      </c>
      <c r="B1153" s="12" t="s">
        <v>5405</v>
      </c>
      <c r="C1153" s="12" t="s">
        <v>5406</v>
      </c>
      <c r="D1153" s="12" t="s">
        <v>111</v>
      </c>
      <c r="E1153" s="12" t="n">
        <v>2</v>
      </c>
      <c r="F1153" s="12" t="s">
        <v>5179</v>
      </c>
      <c r="G1153" s="12" t="s">
        <v>2310</v>
      </c>
      <c r="H1153" s="17"/>
      <c r="I1153" s="17"/>
      <c r="J1153" s="13" t="n">
        <v>121208</v>
      </c>
      <c r="K1153" s="12" t="n">
        <v>7.4</v>
      </c>
      <c r="L1153" s="12" t="s">
        <v>2232</v>
      </c>
      <c r="M1153" s="12" t="s">
        <v>5407</v>
      </c>
    </row>
    <row r="1154" customFormat="false" ht="15" hidden="false" customHeight="false" outlineLevel="0" collapsed="false">
      <c r="A1154" s="12" t="s">
        <v>5137</v>
      </c>
      <c r="B1154" s="12" t="s">
        <v>5408</v>
      </c>
      <c r="C1154" s="12" t="s">
        <v>5409</v>
      </c>
      <c r="D1154" s="12" t="s">
        <v>111</v>
      </c>
      <c r="E1154" s="12" t="n">
        <v>2</v>
      </c>
      <c r="F1154" s="12" t="s">
        <v>5179</v>
      </c>
      <c r="G1154" s="12" t="s">
        <v>2310</v>
      </c>
      <c r="H1154" s="17"/>
      <c r="I1154" s="17"/>
      <c r="J1154" s="13" t="n">
        <v>120829</v>
      </c>
      <c r="K1154" s="12" t="n">
        <v>7.4</v>
      </c>
      <c r="L1154" s="12" t="s">
        <v>2232</v>
      </c>
      <c r="M1154" s="12" t="s">
        <v>5410</v>
      </c>
    </row>
    <row r="1155" customFormat="false" ht="15" hidden="false" customHeight="false" outlineLevel="0" collapsed="false">
      <c r="A1155" s="12" t="s">
        <v>5137</v>
      </c>
      <c r="B1155" s="12" t="s">
        <v>5411</v>
      </c>
      <c r="C1155" s="12" t="s">
        <v>5411</v>
      </c>
      <c r="D1155" s="12" t="s">
        <v>1103</v>
      </c>
      <c r="E1155" s="12" t="n">
        <v>2</v>
      </c>
      <c r="F1155" s="12" t="s">
        <v>2309</v>
      </c>
      <c r="G1155" s="12" t="s">
        <v>2310</v>
      </c>
      <c r="H1155" s="17"/>
      <c r="I1155" s="17"/>
      <c r="J1155" s="13" t="n">
        <v>119755</v>
      </c>
      <c r="K1155" s="12" t="n">
        <v>7.4</v>
      </c>
      <c r="L1155" s="12" t="s">
        <v>128</v>
      </c>
      <c r="M1155" s="12" t="s">
        <v>5412</v>
      </c>
    </row>
    <row r="1156" customFormat="false" ht="15" hidden="false" customHeight="false" outlineLevel="0" collapsed="false">
      <c r="A1156" s="12" t="s">
        <v>5137</v>
      </c>
      <c r="B1156" s="12" t="s">
        <v>5413</v>
      </c>
      <c r="C1156" s="12" t="s">
        <v>5414</v>
      </c>
      <c r="D1156" s="12" t="s">
        <v>358</v>
      </c>
      <c r="E1156" s="12" t="n">
        <v>1</v>
      </c>
      <c r="F1156" s="12" t="s">
        <v>5156</v>
      </c>
      <c r="G1156" s="12" t="s">
        <v>2405</v>
      </c>
      <c r="H1156" s="17"/>
      <c r="I1156" s="17"/>
      <c r="J1156" s="13" t="n">
        <v>137033</v>
      </c>
      <c r="K1156" s="12" t="n">
        <v>8.7</v>
      </c>
      <c r="L1156" s="12" t="s">
        <v>1834</v>
      </c>
      <c r="M1156" s="12" t="s">
        <v>5415</v>
      </c>
    </row>
    <row r="1157" customFormat="false" ht="15" hidden="false" customHeight="false" outlineLevel="0" collapsed="false">
      <c r="A1157" s="12" t="s">
        <v>5137</v>
      </c>
      <c r="B1157" s="12" t="s">
        <v>5416</v>
      </c>
      <c r="C1157" s="12" t="s">
        <v>5417</v>
      </c>
      <c r="D1157" s="12" t="s">
        <v>158</v>
      </c>
      <c r="E1157" s="12" t="n">
        <v>2</v>
      </c>
      <c r="F1157" s="12" t="s">
        <v>3105</v>
      </c>
      <c r="G1157" s="12" t="s">
        <v>2310</v>
      </c>
      <c r="H1157" s="17"/>
      <c r="I1157" s="17"/>
      <c r="J1157" s="13" t="n">
        <v>53424</v>
      </c>
      <c r="K1157" s="12" t="n">
        <v>8.1</v>
      </c>
      <c r="L1157" s="12" t="s">
        <v>292</v>
      </c>
      <c r="M1157" s="12" t="s">
        <v>5418</v>
      </c>
    </row>
    <row r="1158" customFormat="false" ht="15" hidden="false" customHeight="false" outlineLevel="0" collapsed="false">
      <c r="A1158" s="12" t="s">
        <v>5137</v>
      </c>
      <c r="B1158" s="12" t="s">
        <v>5419</v>
      </c>
      <c r="C1158" s="12" t="s">
        <v>5419</v>
      </c>
      <c r="D1158" s="12" t="s">
        <v>358</v>
      </c>
      <c r="E1158" s="12" t="n">
        <v>2</v>
      </c>
      <c r="F1158" s="12" t="s">
        <v>5173</v>
      </c>
      <c r="G1158" s="12" t="s">
        <v>2310</v>
      </c>
      <c r="H1158" s="17"/>
      <c r="I1158" s="17"/>
      <c r="J1158" s="13" t="n">
        <v>190661</v>
      </c>
      <c r="K1158" s="12" t="n">
        <v>7.3</v>
      </c>
      <c r="L1158" s="12" t="s">
        <v>1834</v>
      </c>
      <c r="M1158" s="12" t="s">
        <v>5420</v>
      </c>
    </row>
    <row r="1159" customFormat="false" ht="15" hidden="false" customHeight="false" outlineLevel="0" collapsed="false">
      <c r="A1159" s="12" t="s">
        <v>5137</v>
      </c>
      <c r="B1159" s="12" t="s">
        <v>5421</v>
      </c>
      <c r="C1159" s="12" t="s">
        <v>5422</v>
      </c>
      <c r="D1159" s="12" t="s">
        <v>183</v>
      </c>
      <c r="E1159" s="12" t="n">
        <v>2</v>
      </c>
      <c r="F1159" s="12" t="s">
        <v>3105</v>
      </c>
      <c r="G1159" s="12" t="s">
        <v>2310</v>
      </c>
      <c r="H1159" s="17"/>
      <c r="I1159" s="17"/>
      <c r="J1159" s="13" t="n">
        <v>42960</v>
      </c>
      <c r="K1159" s="12" t="n">
        <v>7.4</v>
      </c>
      <c r="L1159" s="12" t="s">
        <v>292</v>
      </c>
      <c r="M1159" s="12" t="s">
        <v>5423</v>
      </c>
    </row>
    <row r="1160" customFormat="false" ht="15" hidden="false" customHeight="false" outlineLevel="0" collapsed="false">
      <c r="A1160" s="12" t="s">
        <v>5137</v>
      </c>
      <c r="B1160" s="12" t="s">
        <v>5424</v>
      </c>
      <c r="C1160" s="12" t="s">
        <v>5425</v>
      </c>
      <c r="D1160" s="12" t="s">
        <v>111</v>
      </c>
      <c r="E1160" s="12" t="n">
        <v>2</v>
      </c>
      <c r="F1160" s="12" t="s">
        <v>2688</v>
      </c>
      <c r="G1160" s="12" t="s">
        <v>2310</v>
      </c>
      <c r="H1160" s="17"/>
      <c r="I1160" s="17"/>
      <c r="J1160" s="13" t="n">
        <v>114927</v>
      </c>
      <c r="K1160" s="12" t="n">
        <v>7.3</v>
      </c>
      <c r="L1160" s="12" t="s">
        <v>674</v>
      </c>
      <c r="M1160" s="12" t="s">
        <v>5426</v>
      </c>
    </row>
    <row r="1161" customFormat="false" ht="15" hidden="false" customHeight="false" outlineLevel="0" collapsed="false">
      <c r="A1161" s="12" t="s">
        <v>5137</v>
      </c>
      <c r="B1161" s="12" t="s">
        <v>5427</v>
      </c>
      <c r="C1161" s="12" t="s">
        <v>5428</v>
      </c>
      <c r="D1161" s="12" t="s">
        <v>158</v>
      </c>
      <c r="E1161" s="12" t="n">
        <v>2</v>
      </c>
      <c r="F1161" s="12" t="s">
        <v>3105</v>
      </c>
      <c r="G1161" s="12" t="s">
        <v>2310</v>
      </c>
      <c r="H1161" s="17"/>
      <c r="I1161" s="17"/>
      <c r="J1161" s="13" t="n">
        <v>64611</v>
      </c>
      <c r="K1161" s="12" t="n">
        <v>7.1</v>
      </c>
      <c r="L1161" s="12" t="s">
        <v>292</v>
      </c>
      <c r="M1161" s="12" t="s">
        <v>5429</v>
      </c>
    </row>
    <row r="1162" customFormat="false" ht="15" hidden="false" customHeight="false" outlineLevel="0" collapsed="false">
      <c r="A1162" s="12" t="s">
        <v>5137</v>
      </c>
      <c r="B1162" s="12" t="s">
        <v>5430</v>
      </c>
      <c r="C1162" s="12" t="s">
        <v>5430</v>
      </c>
      <c r="D1162" s="12" t="s">
        <v>202</v>
      </c>
      <c r="E1162" s="12" t="n">
        <v>2</v>
      </c>
      <c r="F1162" s="12" t="s">
        <v>3105</v>
      </c>
      <c r="G1162" s="12" t="s">
        <v>2310</v>
      </c>
      <c r="H1162" s="17"/>
      <c r="I1162" s="17"/>
      <c r="J1162" s="13" t="n">
        <v>97466</v>
      </c>
      <c r="K1162" s="12" t="n">
        <v>7.4</v>
      </c>
      <c r="L1162" s="12" t="s">
        <v>292</v>
      </c>
      <c r="M1162" s="12" t="s">
        <v>5431</v>
      </c>
    </row>
    <row r="1163" customFormat="false" ht="15" hidden="false" customHeight="false" outlineLevel="0" collapsed="false">
      <c r="A1163" s="12" t="s">
        <v>5137</v>
      </c>
      <c r="B1163" s="12" t="s">
        <v>5432</v>
      </c>
      <c r="C1163" s="12" t="s">
        <v>5432</v>
      </c>
      <c r="D1163" s="12" t="s">
        <v>90</v>
      </c>
      <c r="E1163" s="12" t="n">
        <v>2</v>
      </c>
      <c r="F1163" s="12" t="s">
        <v>5179</v>
      </c>
      <c r="G1163" s="12" t="s">
        <v>2310</v>
      </c>
      <c r="H1163" s="17"/>
      <c r="I1163" s="17"/>
      <c r="J1163" s="13" t="n">
        <v>112930</v>
      </c>
      <c r="K1163" s="12" t="n">
        <v>7.6</v>
      </c>
      <c r="L1163" s="12" t="s">
        <v>2232</v>
      </c>
      <c r="M1163" s="12" t="s">
        <v>5433</v>
      </c>
    </row>
    <row r="1164" customFormat="false" ht="15" hidden="false" customHeight="false" outlineLevel="0" collapsed="false">
      <c r="A1164" s="12" t="s">
        <v>5137</v>
      </c>
      <c r="B1164" s="12" t="s">
        <v>5434</v>
      </c>
      <c r="C1164" s="12" t="s">
        <v>5434</v>
      </c>
      <c r="D1164" s="12" t="s">
        <v>118</v>
      </c>
      <c r="E1164" s="12" t="n">
        <v>2</v>
      </c>
      <c r="F1164" s="12" t="s">
        <v>2688</v>
      </c>
      <c r="G1164" s="12" t="s">
        <v>2310</v>
      </c>
      <c r="H1164" s="17"/>
      <c r="I1164" s="17"/>
      <c r="J1164" s="13" t="n">
        <v>111819</v>
      </c>
      <c r="K1164" s="12" t="n">
        <v>7.3</v>
      </c>
      <c r="L1164" s="12" t="s">
        <v>674</v>
      </c>
      <c r="M1164" s="12" t="s">
        <v>5435</v>
      </c>
    </row>
    <row r="1165" customFormat="false" ht="15" hidden="false" customHeight="false" outlineLevel="0" collapsed="false">
      <c r="A1165" s="12" t="s">
        <v>5137</v>
      </c>
      <c r="B1165" s="12" t="s">
        <v>4111</v>
      </c>
      <c r="C1165" s="12" t="s">
        <v>5436</v>
      </c>
      <c r="D1165" s="12" t="s">
        <v>183</v>
      </c>
      <c r="E1165" s="12" t="n">
        <v>2</v>
      </c>
      <c r="F1165" s="12" t="s">
        <v>3105</v>
      </c>
      <c r="G1165" s="12" t="s">
        <v>2310</v>
      </c>
      <c r="H1165" s="17"/>
      <c r="I1165" s="17"/>
      <c r="J1165" s="13" t="n">
        <v>86645</v>
      </c>
      <c r="K1165" s="12" t="n">
        <v>7.3</v>
      </c>
      <c r="L1165" s="12" t="s">
        <v>292</v>
      </c>
      <c r="M1165" s="12" t="s">
        <v>5437</v>
      </c>
    </row>
    <row r="1166" customFormat="false" ht="15" hidden="false" customHeight="false" outlineLevel="0" collapsed="false">
      <c r="A1166" s="12" t="s">
        <v>5137</v>
      </c>
      <c r="B1166" s="12" t="s">
        <v>5438</v>
      </c>
      <c r="C1166" s="12" t="s">
        <v>5438</v>
      </c>
      <c r="D1166" s="12" t="s">
        <v>111</v>
      </c>
      <c r="E1166" s="12" t="n">
        <v>2</v>
      </c>
      <c r="F1166" s="12" t="s">
        <v>3105</v>
      </c>
      <c r="G1166" s="12" t="s">
        <v>2310</v>
      </c>
      <c r="H1166" s="17"/>
      <c r="I1166" s="17"/>
      <c r="J1166" s="13" t="n">
        <v>65506</v>
      </c>
      <c r="K1166" s="12" t="n">
        <v>7.8</v>
      </c>
      <c r="L1166" s="12" t="s">
        <v>292</v>
      </c>
      <c r="M1166" s="12" t="s">
        <v>5439</v>
      </c>
    </row>
    <row r="1167" customFormat="false" ht="15" hidden="false" customHeight="false" outlineLevel="0" collapsed="false">
      <c r="A1167" s="12" t="s">
        <v>5137</v>
      </c>
      <c r="B1167" s="12" t="s">
        <v>5440</v>
      </c>
      <c r="C1167" s="12" t="s">
        <v>5441</v>
      </c>
      <c r="D1167" s="12" t="s">
        <v>214</v>
      </c>
      <c r="E1167" s="12" t="n">
        <v>2</v>
      </c>
      <c r="F1167" s="12" t="s">
        <v>3105</v>
      </c>
      <c r="G1167" s="12" t="s">
        <v>2310</v>
      </c>
      <c r="H1167" s="17"/>
      <c r="I1167" s="17"/>
      <c r="J1167" s="13" t="n">
        <v>116702</v>
      </c>
      <c r="K1167" s="12" t="n">
        <v>6.7</v>
      </c>
      <c r="L1167" s="12" t="s">
        <v>292</v>
      </c>
      <c r="M1167" s="12" t="s">
        <v>5442</v>
      </c>
    </row>
    <row r="1168" customFormat="false" ht="15" hidden="false" customHeight="false" outlineLevel="0" collapsed="false">
      <c r="A1168" s="12" t="s">
        <v>5137</v>
      </c>
      <c r="B1168" s="12" t="s">
        <v>5443</v>
      </c>
      <c r="C1168" s="12" t="s">
        <v>5443</v>
      </c>
      <c r="D1168" s="12" t="s">
        <v>207</v>
      </c>
      <c r="E1168" s="12" t="n">
        <v>2</v>
      </c>
      <c r="F1168" s="12" t="s">
        <v>2688</v>
      </c>
      <c r="G1168" s="12" t="s">
        <v>2310</v>
      </c>
      <c r="H1168" s="17"/>
      <c r="I1168" s="17"/>
      <c r="J1168" s="13" t="n">
        <v>111079</v>
      </c>
      <c r="K1168" s="12" t="n">
        <v>8</v>
      </c>
      <c r="L1168" s="12" t="s">
        <v>674</v>
      </c>
      <c r="M1168" s="12" t="s">
        <v>5444</v>
      </c>
    </row>
    <row r="1169" customFormat="false" ht="15" hidden="false" customHeight="false" outlineLevel="0" collapsed="false">
      <c r="A1169" s="12" t="s">
        <v>5137</v>
      </c>
      <c r="B1169" s="12" t="s">
        <v>5445</v>
      </c>
      <c r="C1169" s="12" t="s">
        <v>5445</v>
      </c>
      <c r="D1169" s="12" t="s">
        <v>251</v>
      </c>
      <c r="E1169" s="12" t="n">
        <v>1</v>
      </c>
      <c r="F1169" s="12" t="s">
        <v>5156</v>
      </c>
      <c r="G1169" s="12" t="s">
        <v>2405</v>
      </c>
      <c r="H1169" s="17"/>
      <c r="I1169" s="17"/>
      <c r="J1169" s="13" t="n">
        <v>122844</v>
      </c>
      <c r="K1169" s="12" t="n">
        <v>8.5</v>
      </c>
      <c r="L1169" s="12" t="s">
        <v>1891</v>
      </c>
      <c r="M1169" s="12" t="s">
        <v>5446</v>
      </c>
    </row>
    <row r="1170" customFormat="false" ht="15" hidden="false" customHeight="false" outlineLevel="0" collapsed="false">
      <c r="A1170" s="12" t="s">
        <v>5137</v>
      </c>
      <c r="B1170" s="12" t="s">
        <v>5447</v>
      </c>
      <c r="C1170" s="12" t="s">
        <v>5447</v>
      </c>
      <c r="D1170" s="12" t="s">
        <v>1103</v>
      </c>
      <c r="E1170" s="12" t="n">
        <v>2</v>
      </c>
      <c r="F1170" s="12" t="s">
        <v>2688</v>
      </c>
      <c r="G1170" s="12" t="s">
        <v>2310</v>
      </c>
      <c r="H1170" s="17"/>
      <c r="I1170" s="17"/>
      <c r="J1170" s="13" t="n">
        <v>109792</v>
      </c>
      <c r="K1170" s="12" t="n">
        <v>7.3</v>
      </c>
      <c r="L1170" s="12" t="s">
        <v>674</v>
      </c>
      <c r="M1170" s="12" t="s">
        <v>5448</v>
      </c>
    </row>
    <row r="1171" customFormat="false" ht="15" hidden="false" customHeight="false" outlineLevel="0" collapsed="false">
      <c r="A1171" s="12" t="s">
        <v>5137</v>
      </c>
      <c r="B1171" s="12" t="s">
        <v>5449</v>
      </c>
      <c r="C1171" s="12" t="s">
        <v>5450</v>
      </c>
      <c r="D1171" s="12" t="s">
        <v>111</v>
      </c>
      <c r="E1171" s="12" t="n">
        <v>2</v>
      </c>
      <c r="F1171" s="12" t="s">
        <v>3105</v>
      </c>
      <c r="G1171" s="12" t="s">
        <v>2310</v>
      </c>
      <c r="H1171" s="17"/>
      <c r="I1171" s="17"/>
      <c r="J1171" s="13" t="n">
        <v>56533</v>
      </c>
      <c r="K1171" s="12" t="n">
        <v>7.9</v>
      </c>
      <c r="L1171" s="12" t="s">
        <v>292</v>
      </c>
      <c r="M1171" s="12" t="s">
        <v>5451</v>
      </c>
    </row>
    <row r="1172" customFormat="false" ht="15" hidden="false" customHeight="false" outlineLevel="0" collapsed="false">
      <c r="A1172" s="12" t="s">
        <v>5137</v>
      </c>
      <c r="B1172" s="12" t="s">
        <v>5452</v>
      </c>
      <c r="C1172" s="12" t="s">
        <v>5453</v>
      </c>
      <c r="D1172" s="12" t="s">
        <v>175</v>
      </c>
      <c r="E1172" s="12" t="n">
        <v>2</v>
      </c>
      <c r="F1172" s="12" t="s">
        <v>2309</v>
      </c>
      <c r="G1172" s="12" t="s">
        <v>2310</v>
      </c>
      <c r="H1172" s="17"/>
      <c r="I1172" s="17"/>
      <c r="J1172" s="13" t="n">
        <v>105083</v>
      </c>
      <c r="K1172" s="12" t="n">
        <v>7.8</v>
      </c>
      <c r="L1172" s="12" t="s">
        <v>128</v>
      </c>
      <c r="M1172" s="12" t="s">
        <v>5454</v>
      </c>
    </row>
    <row r="1173" customFormat="false" ht="15" hidden="false" customHeight="false" outlineLevel="0" collapsed="false">
      <c r="A1173" s="12" t="s">
        <v>5137</v>
      </c>
      <c r="B1173" s="12" t="s">
        <v>5455</v>
      </c>
      <c r="C1173" s="12" t="s">
        <v>5455</v>
      </c>
      <c r="D1173" s="12" t="s">
        <v>111</v>
      </c>
      <c r="E1173" s="12" t="n">
        <v>2</v>
      </c>
      <c r="F1173" s="12" t="s">
        <v>2688</v>
      </c>
      <c r="G1173" s="12" t="s">
        <v>2310</v>
      </c>
      <c r="H1173" s="17"/>
      <c r="I1173" s="17"/>
      <c r="J1173" s="13" t="n">
        <v>103200</v>
      </c>
      <c r="K1173" s="12" t="n">
        <v>8.3</v>
      </c>
      <c r="L1173" s="12" t="s">
        <v>674</v>
      </c>
      <c r="M1173" s="12" t="s">
        <v>5456</v>
      </c>
    </row>
    <row r="1174" customFormat="false" ht="15" hidden="false" customHeight="false" outlineLevel="0" collapsed="false">
      <c r="A1174" s="12" t="s">
        <v>5137</v>
      </c>
      <c r="B1174" s="12" t="s">
        <v>5457</v>
      </c>
      <c r="C1174" s="12" t="s">
        <v>5458</v>
      </c>
      <c r="D1174" s="12" t="s">
        <v>1103</v>
      </c>
      <c r="E1174" s="12" t="n">
        <v>2</v>
      </c>
      <c r="F1174" s="12" t="s">
        <v>2688</v>
      </c>
      <c r="G1174" s="12" t="s">
        <v>2310</v>
      </c>
      <c r="H1174" s="17"/>
      <c r="I1174" s="17"/>
      <c r="J1174" s="13" t="n">
        <v>102743</v>
      </c>
      <c r="K1174" s="12" t="n">
        <v>7.5</v>
      </c>
      <c r="L1174" s="12" t="s">
        <v>674</v>
      </c>
      <c r="M1174" s="12" t="s">
        <v>5459</v>
      </c>
    </row>
    <row r="1175" customFormat="false" ht="15" hidden="false" customHeight="false" outlineLevel="0" collapsed="false">
      <c r="A1175" s="12" t="s">
        <v>5137</v>
      </c>
      <c r="B1175" s="12" t="s">
        <v>5460</v>
      </c>
      <c r="C1175" s="12" t="s">
        <v>5461</v>
      </c>
      <c r="D1175" s="12" t="s">
        <v>175</v>
      </c>
      <c r="E1175" s="12" t="n">
        <v>2</v>
      </c>
      <c r="F1175" s="12" t="s">
        <v>2309</v>
      </c>
      <c r="G1175" s="12" t="s">
        <v>2310</v>
      </c>
      <c r="H1175" s="17"/>
      <c r="I1175" s="17"/>
      <c r="J1175" s="13" t="n">
        <v>102254</v>
      </c>
      <c r="K1175" s="12" t="n">
        <v>8</v>
      </c>
      <c r="L1175" s="12" t="s">
        <v>128</v>
      </c>
      <c r="M1175" s="12" t="s">
        <v>5462</v>
      </c>
    </row>
    <row r="1176" customFormat="false" ht="15" hidden="false" customHeight="false" outlineLevel="0" collapsed="false">
      <c r="A1176" s="12" t="s">
        <v>5137</v>
      </c>
      <c r="B1176" s="12" t="s">
        <v>5463</v>
      </c>
      <c r="C1176" s="12" t="s">
        <v>5463</v>
      </c>
      <c r="D1176" s="12" t="s">
        <v>134</v>
      </c>
      <c r="E1176" s="12" t="n">
        <v>1</v>
      </c>
      <c r="F1176" s="12" t="s">
        <v>5156</v>
      </c>
      <c r="G1176" s="12" t="s">
        <v>2405</v>
      </c>
      <c r="H1176" s="17"/>
      <c r="I1176" s="17"/>
      <c r="J1176" s="13" t="n">
        <v>113709</v>
      </c>
      <c r="K1176" s="12" t="n">
        <v>8.1</v>
      </c>
      <c r="L1176" s="12" t="s">
        <v>1891</v>
      </c>
      <c r="M1176" s="12" t="s">
        <v>5464</v>
      </c>
    </row>
    <row r="1177" customFormat="false" ht="15" hidden="false" customHeight="false" outlineLevel="0" collapsed="false">
      <c r="A1177" s="12" t="s">
        <v>5137</v>
      </c>
      <c r="B1177" s="12" t="s">
        <v>5465</v>
      </c>
      <c r="C1177" s="12" t="s">
        <v>5466</v>
      </c>
      <c r="D1177" s="12" t="s">
        <v>152</v>
      </c>
      <c r="E1177" s="12" t="n">
        <v>2</v>
      </c>
      <c r="F1177" s="12" t="s">
        <v>3105</v>
      </c>
      <c r="G1177" s="12" t="s">
        <v>2310</v>
      </c>
      <c r="H1177" s="17"/>
      <c r="I1177" s="17"/>
      <c r="J1177" s="13" t="n">
        <v>52107</v>
      </c>
      <c r="K1177" s="12" t="n">
        <v>7</v>
      </c>
      <c r="L1177" s="12" t="s">
        <v>292</v>
      </c>
      <c r="M1177" s="12" t="s">
        <v>5467</v>
      </c>
    </row>
    <row r="1178" customFormat="false" ht="15" hidden="false" customHeight="false" outlineLevel="0" collapsed="false">
      <c r="A1178" s="12" t="s">
        <v>5137</v>
      </c>
      <c r="B1178" s="12" t="s">
        <v>5468</v>
      </c>
      <c r="C1178" s="12" t="s">
        <v>5468</v>
      </c>
      <c r="D1178" s="12" t="s">
        <v>111</v>
      </c>
      <c r="E1178" s="12" t="n">
        <v>2</v>
      </c>
      <c r="F1178" s="12" t="s">
        <v>3105</v>
      </c>
      <c r="G1178" s="12" t="s">
        <v>2310</v>
      </c>
      <c r="H1178" s="17"/>
      <c r="I1178" s="17"/>
      <c r="J1178" s="13" t="n">
        <v>29585</v>
      </c>
      <c r="K1178" s="12" t="n">
        <v>7.1</v>
      </c>
      <c r="L1178" s="12" t="s">
        <v>292</v>
      </c>
      <c r="M1178" s="12" t="s">
        <v>5469</v>
      </c>
    </row>
    <row r="1179" customFormat="false" ht="15" hidden="false" customHeight="false" outlineLevel="0" collapsed="false">
      <c r="A1179" s="12" t="s">
        <v>5137</v>
      </c>
      <c r="B1179" s="12" t="s">
        <v>5470</v>
      </c>
      <c r="C1179" s="12" t="s">
        <v>5471</v>
      </c>
      <c r="D1179" s="12" t="s">
        <v>140</v>
      </c>
      <c r="E1179" s="12" t="n">
        <v>2</v>
      </c>
      <c r="F1179" s="12" t="s">
        <v>3105</v>
      </c>
      <c r="G1179" s="12" t="s">
        <v>2310</v>
      </c>
      <c r="H1179" s="17"/>
      <c r="I1179" s="17"/>
      <c r="J1179" s="13" t="n">
        <v>44459</v>
      </c>
      <c r="K1179" s="12" t="n">
        <v>8.3</v>
      </c>
      <c r="L1179" s="12" t="s">
        <v>292</v>
      </c>
      <c r="M1179" s="12" t="s">
        <v>5472</v>
      </c>
    </row>
    <row r="1180" customFormat="false" ht="15" hidden="false" customHeight="false" outlineLevel="0" collapsed="false">
      <c r="A1180" s="12" t="s">
        <v>5137</v>
      </c>
      <c r="B1180" s="12" t="s">
        <v>5473</v>
      </c>
      <c r="C1180" s="12" t="s">
        <v>5473</v>
      </c>
      <c r="D1180" s="12" t="s">
        <v>118</v>
      </c>
      <c r="E1180" s="12" t="n">
        <v>1</v>
      </c>
      <c r="F1180" s="12" t="s">
        <v>5156</v>
      </c>
      <c r="G1180" s="12" t="s">
        <v>2405</v>
      </c>
      <c r="H1180" s="17"/>
      <c r="I1180" s="17"/>
      <c r="J1180" s="13" t="n">
        <v>113165</v>
      </c>
      <c r="K1180" s="12" t="n">
        <v>8.3</v>
      </c>
      <c r="L1180" s="12" t="s">
        <v>1891</v>
      </c>
      <c r="M1180" s="12" t="s">
        <v>5474</v>
      </c>
    </row>
    <row r="1181" customFormat="false" ht="15" hidden="false" customHeight="false" outlineLevel="0" collapsed="false">
      <c r="A1181" s="12" t="s">
        <v>5137</v>
      </c>
      <c r="B1181" s="12" t="s">
        <v>5475</v>
      </c>
      <c r="C1181" s="12" t="s">
        <v>5475</v>
      </c>
      <c r="D1181" s="12" t="s">
        <v>189</v>
      </c>
      <c r="E1181" s="12" t="n">
        <v>2</v>
      </c>
      <c r="F1181" s="12" t="s">
        <v>3105</v>
      </c>
      <c r="G1181" s="12" t="s">
        <v>2310</v>
      </c>
      <c r="H1181" s="17"/>
      <c r="I1181" s="17"/>
      <c r="J1181" s="13" t="n">
        <v>24830</v>
      </c>
      <c r="K1181" s="12" t="n">
        <v>7.1</v>
      </c>
      <c r="L1181" s="12" t="s">
        <v>292</v>
      </c>
      <c r="M1181" s="12" t="s">
        <v>5476</v>
      </c>
    </row>
    <row r="1182" customFormat="false" ht="15" hidden="false" customHeight="false" outlineLevel="0" collapsed="false">
      <c r="A1182" s="12" t="s">
        <v>5137</v>
      </c>
      <c r="B1182" s="12" t="s">
        <v>5477</v>
      </c>
      <c r="C1182" s="12" t="s">
        <v>5477</v>
      </c>
      <c r="D1182" s="12" t="s">
        <v>207</v>
      </c>
      <c r="E1182" s="12" t="n">
        <v>2</v>
      </c>
      <c r="F1182" s="12" t="s">
        <v>2688</v>
      </c>
      <c r="G1182" s="12" t="s">
        <v>2310</v>
      </c>
      <c r="H1182" s="17"/>
      <c r="I1182" s="17"/>
      <c r="J1182" s="13" t="n">
        <v>99943</v>
      </c>
      <c r="K1182" s="12" t="n">
        <v>7.8</v>
      </c>
      <c r="L1182" s="12" t="s">
        <v>674</v>
      </c>
      <c r="M1182" s="12" t="s">
        <v>5478</v>
      </c>
    </row>
    <row r="1183" customFormat="false" ht="15" hidden="false" customHeight="false" outlineLevel="0" collapsed="false">
      <c r="A1183" s="12" t="s">
        <v>5137</v>
      </c>
      <c r="B1183" s="12" t="s">
        <v>5479</v>
      </c>
      <c r="C1183" s="12" t="s">
        <v>5480</v>
      </c>
      <c r="D1183" s="12" t="s">
        <v>189</v>
      </c>
      <c r="E1183" s="12" t="n">
        <v>2</v>
      </c>
      <c r="F1183" s="12" t="s">
        <v>2309</v>
      </c>
      <c r="G1183" s="12" t="s">
        <v>2310</v>
      </c>
      <c r="H1183" s="17"/>
      <c r="I1183" s="17"/>
      <c r="J1183" s="13" t="n">
        <v>99008</v>
      </c>
      <c r="K1183" s="12" t="n">
        <v>8.3</v>
      </c>
      <c r="L1183" s="12" t="s">
        <v>128</v>
      </c>
      <c r="M1183" s="12" t="s">
        <v>5481</v>
      </c>
    </row>
    <row r="1184" customFormat="false" ht="15" hidden="false" customHeight="false" outlineLevel="0" collapsed="false">
      <c r="A1184" s="12" t="s">
        <v>5137</v>
      </c>
      <c r="B1184" s="12" t="s">
        <v>5482</v>
      </c>
      <c r="C1184" s="12" t="s">
        <v>5483</v>
      </c>
      <c r="D1184" s="12" t="s">
        <v>1103</v>
      </c>
      <c r="E1184" s="12" t="n">
        <v>2</v>
      </c>
      <c r="F1184" s="12" t="s">
        <v>2688</v>
      </c>
      <c r="G1184" s="12" t="s">
        <v>2310</v>
      </c>
      <c r="H1184" s="17"/>
      <c r="I1184" s="17"/>
      <c r="J1184" s="13" t="n">
        <v>98459</v>
      </c>
      <c r="K1184" s="12" t="n">
        <v>7.8</v>
      </c>
      <c r="L1184" s="12" t="s">
        <v>1891</v>
      </c>
      <c r="M1184" s="12" t="s">
        <v>5484</v>
      </c>
    </row>
    <row r="1185" customFormat="false" ht="15" hidden="false" customHeight="false" outlineLevel="0" collapsed="false">
      <c r="A1185" s="12" t="s">
        <v>5137</v>
      </c>
      <c r="B1185" s="12" t="s">
        <v>5485</v>
      </c>
      <c r="C1185" s="12" t="s">
        <v>5486</v>
      </c>
      <c r="D1185" s="12" t="s">
        <v>158</v>
      </c>
      <c r="E1185" s="12" t="n">
        <v>2</v>
      </c>
      <c r="F1185" s="12" t="s">
        <v>3105</v>
      </c>
      <c r="G1185" s="12" t="s">
        <v>2310</v>
      </c>
      <c r="H1185" s="17"/>
      <c r="I1185" s="17"/>
      <c r="J1185" s="13" t="n">
        <v>22556</v>
      </c>
      <c r="K1185" s="12" t="n">
        <v>6.8</v>
      </c>
      <c r="L1185" s="12" t="s">
        <v>292</v>
      </c>
      <c r="M1185" s="12" t="s">
        <v>5487</v>
      </c>
    </row>
    <row r="1186" customFormat="false" ht="15" hidden="false" customHeight="false" outlineLevel="0" collapsed="false">
      <c r="A1186" s="12" t="s">
        <v>5137</v>
      </c>
      <c r="B1186" s="12" t="s">
        <v>5488</v>
      </c>
      <c r="C1186" s="12" t="s">
        <v>5489</v>
      </c>
      <c r="D1186" s="12" t="s">
        <v>286</v>
      </c>
      <c r="E1186" s="12" t="n">
        <v>1</v>
      </c>
      <c r="F1186" s="12" t="s">
        <v>5156</v>
      </c>
      <c r="G1186" s="12" t="s">
        <v>2405</v>
      </c>
      <c r="H1186" s="17"/>
      <c r="I1186" s="17"/>
      <c r="J1186" s="13" t="n">
        <v>105581</v>
      </c>
      <c r="K1186" s="12" t="n">
        <v>7.6</v>
      </c>
      <c r="L1186" s="12" t="s">
        <v>1891</v>
      </c>
      <c r="M1186" s="12" t="s">
        <v>5490</v>
      </c>
    </row>
    <row r="1187" customFormat="false" ht="15" hidden="false" customHeight="false" outlineLevel="0" collapsed="false">
      <c r="A1187" s="12" t="s">
        <v>5137</v>
      </c>
      <c r="B1187" s="12" t="s">
        <v>5491</v>
      </c>
      <c r="C1187" s="12" t="s">
        <v>5492</v>
      </c>
      <c r="D1187" s="12" t="s">
        <v>158</v>
      </c>
      <c r="E1187" s="12" t="n">
        <v>2</v>
      </c>
      <c r="F1187" s="12" t="s">
        <v>3105</v>
      </c>
      <c r="G1187" s="12" t="s">
        <v>2310</v>
      </c>
      <c r="H1187" s="17"/>
      <c r="I1187" s="17"/>
      <c r="J1187" s="13" t="n">
        <v>29905</v>
      </c>
      <c r="K1187" s="12" t="n">
        <v>7.8</v>
      </c>
      <c r="L1187" s="12" t="s">
        <v>292</v>
      </c>
      <c r="M1187" s="12" t="s">
        <v>5493</v>
      </c>
    </row>
    <row r="1188" customFormat="false" ht="15" hidden="false" customHeight="false" outlineLevel="0" collapsed="false">
      <c r="A1188" s="12" t="s">
        <v>5137</v>
      </c>
      <c r="B1188" s="12" t="s">
        <v>5494</v>
      </c>
      <c r="C1188" s="12" t="s">
        <v>5494</v>
      </c>
      <c r="D1188" s="12" t="s">
        <v>118</v>
      </c>
      <c r="E1188" s="12" t="n">
        <v>2</v>
      </c>
      <c r="F1188" s="12" t="s">
        <v>5179</v>
      </c>
      <c r="G1188" s="12" t="s">
        <v>2310</v>
      </c>
      <c r="H1188" s="17"/>
      <c r="I1188" s="17"/>
      <c r="J1188" s="13" t="n">
        <v>95599</v>
      </c>
      <c r="K1188" s="12" t="n">
        <v>7.6</v>
      </c>
      <c r="L1188" s="12" t="s">
        <v>2232</v>
      </c>
      <c r="M1188" s="12" t="s">
        <v>5495</v>
      </c>
    </row>
    <row r="1189" customFormat="false" ht="15" hidden="false" customHeight="false" outlineLevel="0" collapsed="false">
      <c r="A1189" s="12" t="s">
        <v>5137</v>
      </c>
      <c r="B1189" s="12" t="s">
        <v>5496</v>
      </c>
      <c r="C1189" s="12" t="s">
        <v>5497</v>
      </c>
      <c r="D1189" s="12" t="s">
        <v>183</v>
      </c>
      <c r="E1189" s="12" t="n">
        <v>2</v>
      </c>
      <c r="F1189" s="12" t="s">
        <v>3105</v>
      </c>
      <c r="G1189" s="12" t="s">
        <v>2310</v>
      </c>
      <c r="H1189" s="17"/>
      <c r="I1189" s="17"/>
      <c r="J1189" s="13" t="n">
        <v>35216</v>
      </c>
      <c r="K1189" s="12" t="n">
        <v>7.6</v>
      </c>
      <c r="L1189" s="12" t="s">
        <v>292</v>
      </c>
      <c r="M1189" s="12" t="s">
        <v>5498</v>
      </c>
    </row>
    <row r="1190" customFormat="false" ht="15" hidden="false" customHeight="false" outlineLevel="0" collapsed="false">
      <c r="A1190" s="12" t="s">
        <v>5137</v>
      </c>
      <c r="B1190" s="12" t="s">
        <v>5499</v>
      </c>
      <c r="C1190" s="12" t="s">
        <v>5500</v>
      </c>
      <c r="D1190" s="12" t="s">
        <v>158</v>
      </c>
      <c r="E1190" s="12" t="n">
        <v>2</v>
      </c>
      <c r="F1190" s="12" t="s">
        <v>2309</v>
      </c>
      <c r="G1190" s="12" t="s">
        <v>2310</v>
      </c>
      <c r="H1190" s="17"/>
      <c r="I1190" s="17"/>
      <c r="J1190" s="13" t="n">
        <v>94510</v>
      </c>
      <c r="K1190" s="12" t="n">
        <v>7.3</v>
      </c>
      <c r="L1190" s="12" t="s">
        <v>128</v>
      </c>
      <c r="M1190" s="12" t="s">
        <v>5501</v>
      </c>
    </row>
    <row r="1191" customFormat="false" ht="15" hidden="false" customHeight="false" outlineLevel="0" collapsed="false">
      <c r="A1191" s="12" t="s">
        <v>5137</v>
      </c>
      <c r="B1191" s="12" t="s">
        <v>5502</v>
      </c>
      <c r="C1191" s="12" t="s">
        <v>5503</v>
      </c>
      <c r="D1191" s="12" t="s">
        <v>111</v>
      </c>
      <c r="E1191" s="12" t="n">
        <v>1</v>
      </c>
      <c r="F1191" s="12" t="s">
        <v>5156</v>
      </c>
      <c r="G1191" s="12" t="s">
        <v>2405</v>
      </c>
      <c r="H1191" s="17"/>
      <c r="I1191" s="17"/>
      <c r="J1191" s="13" t="n">
        <v>103715</v>
      </c>
      <c r="K1191" s="12" t="n">
        <v>7.1</v>
      </c>
      <c r="L1191" s="12" t="s">
        <v>1891</v>
      </c>
      <c r="M1191" s="12" t="s">
        <v>5504</v>
      </c>
    </row>
    <row r="1192" customFormat="false" ht="15" hidden="false" customHeight="false" outlineLevel="0" collapsed="false">
      <c r="A1192" s="12" t="s">
        <v>5137</v>
      </c>
      <c r="B1192" s="12" t="s">
        <v>5505</v>
      </c>
      <c r="C1192" s="12" t="s">
        <v>5506</v>
      </c>
      <c r="D1192" s="12" t="s">
        <v>273</v>
      </c>
      <c r="E1192" s="12" t="n">
        <v>2</v>
      </c>
      <c r="F1192" s="12" t="s">
        <v>3105</v>
      </c>
      <c r="G1192" s="12" t="s">
        <v>2310</v>
      </c>
      <c r="H1192" s="17"/>
      <c r="I1192" s="17"/>
      <c r="J1192" s="13" t="n">
        <v>23211</v>
      </c>
      <c r="K1192" s="12" t="n">
        <v>7</v>
      </c>
      <c r="L1192" s="12" t="s">
        <v>292</v>
      </c>
      <c r="M1192" s="12" t="s">
        <v>5507</v>
      </c>
    </row>
    <row r="1193" customFormat="false" ht="15" hidden="false" customHeight="false" outlineLevel="0" collapsed="false">
      <c r="A1193" s="12" t="s">
        <v>5137</v>
      </c>
      <c r="B1193" s="12" t="s">
        <v>5508</v>
      </c>
      <c r="C1193" s="12" t="s">
        <v>5508</v>
      </c>
      <c r="D1193" s="12" t="s">
        <v>90</v>
      </c>
      <c r="E1193" s="12" t="n">
        <v>2</v>
      </c>
      <c r="F1193" s="12" t="s">
        <v>2309</v>
      </c>
      <c r="G1193" s="12" t="s">
        <v>2310</v>
      </c>
      <c r="H1193" s="17"/>
      <c r="I1193" s="17"/>
      <c r="J1193" s="13" t="n">
        <v>94194</v>
      </c>
      <c r="K1193" s="12" t="n">
        <v>8.1</v>
      </c>
      <c r="L1193" s="12" t="s">
        <v>128</v>
      </c>
      <c r="M1193" s="12" t="s">
        <v>5509</v>
      </c>
    </row>
    <row r="1194" customFormat="false" ht="15" hidden="false" customHeight="false" outlineLevel="0" collapsed="false">
      <c r="A1194" s="12" t="s">
        <v>5137</v>
      </c>
      <c r="B1194" s="12" t="s">
        <v>5510</v>
      </c>
      <c r="C1194" s="12" t="s">
        <v>5510</v>
      </c>
      <c r="D1194" s="12" t="s">
        <v>146</v>
      </c>
      <c r="E1194" s="12" t="n">
        <v>2</v>
      </c>
      <c r="F1194" s="12" t="s">
        <v>3105</v>
      </c>
      <c r="G1194" s="12" t="s">
        <v>2310</v>
      </c>
      <c r="H1194" s="17"/>
      <c r="I1194" s="17"/>
      <c r="J1194" s="13" t="n">
        <v>22891</v>
      </c>
      <c r="K1194" s="12" t="n">
        <v>8.4</v>
      </c>
      <c r="L1194" s="12" t="s">
        <v>292</v>
      </c>
      <c r="M1194" s="12" t="s">
        <v>5511</v>
      </c>
    </row>
    <row r="1195" customFormat="false" ht="15" hidden="false" customHeight="false" outlineLevel="0" collapsed="false">
      <c r="A1195" s="12" t="s">
        <v>5137</v>
      </c>
      <c r="B1195" s="12" t="s">
        <v>5512</v>
      </c>
      <c r="C1195" s="12" t="s">
        <v>5513</v>
      </c>
      <c r="D1195" s="12" t="s">
        <v>265</v>
      </c>
      <c r="E1195" s="12" t="n">
        <v>2</v>
      </c>
      <c r="F1195" s="12" t="s">
        <v>2309</v>
      </c>
      <c r="G1195" s="12" t="s">
        <v>2310</v>
      </c>
      <c r="H1195" s="17"/>
      <c r="I1195" s="17"/>
      <c r="J1195" s="13" t="n">
        <v>93873</v>
      </c>
      <c r="K1195" s="12" t="n">
        <v>8.1</v>
      </c>
      <c r="L1195" s="12" t="s">
        <v>128</v>
      </c>
      <c r="M1195" s="12" t="s">
        <v>5514</v>
      </c>
    </row>
    <row r="1196" customFormat="false" ht="15" hidden="false" customHeight="false" outlineLevel="0" collapsed="false">
      <c r="A1196" s="12" t="s">
        <v>5137</v>
      </c>
      <c r="B1196" s="12" t="s">
        <v>5515</v>
      </c>
      <c r="C1196" s="12" t="s">
        <v>5515</v>
      </c>
      <c r="D1196" s="12" t="s">
        <v>1103</v>
      </c>
      <c r="E1196" s="12" t="n">
        <v>2</v>
      </c>
      <c r="F1196" s="12" t="s">
        <v>2688</v>
      </c>
      <c r="G1196" s="12" t="s">
        <v>2310</v>
      </c>
      <c r="H1196" s="17"/>
      <c r="I1196" s="17"/>
      <c r="J1196" s="13" t="n">
        <v>93834</v>
      </c>
      <c r="K1196" s="12" t="n">
        <v>7.4</v>
      </c>
      <c r="L1196" s="12" t="s">
        <v>674</v>
      </c>
      <c r="M1196" s="12" t="s">
        <v>5516</v>
      </c>
    </row>
    <row r="1197" customFormat="false" ht="15" hidden="false" customHeight="false" outlineLevel="0" collapsed="false">
      <c r="A1197" s="12" t="s">
        <v>5137</v>
      </c>
      <c r="B1197" s="12" t="s">
        <v>5517</v>
      </c>
      <c r="C1197" s="12" t="s">
        <v>5517</v>
      </c>
      <c r="D1197" s="12" t="s">
        <v>146</v>
      </c>
      <c r="E1197" s="12" t="n">
        <v>1</v>
      </c>
      <c r="F1197" s="12" t="s">
        <v>5156</v>
      </c>
      <c r="G1197" s="12" t="s">
        <v>2405</v>
      </c>
      <c r="H1197" s="17"/>
      <c r="I1197" s="17"/>
      <c r="J1197" s="13" t="n">
        <v>101901</v>
      </c>
      <c r="K1197" s="12" t="n">
        <v>8.2</v>
      </c>
      <c r="L1197" s="12" t="s">
        <v>1891</v>
      </c>
      <c r="M1197" s="12" t="s">
        <v>5518</v>
      </c>
    </row>
    <row r="1198" customFormat="false" ht="15" hidden="false" customHeight="false" outlineLevel="0" collapsed="false">
      <c r="A1198" s="12" t="s">
        <v>5137</v>
      </c>
      <c r="B1198" s="12" t="s">
        <v>5519</v>
      </c>
      <c r="C1198" s="12" t="s">
        <v>5520</v>
      </c>
      <c r="D1198" s="12" t="s">
        <v>175</v>
      </c>
      <c r="E1198" s="12" t="n">
        <v>2</v>
      </c>
      <c r="F1198" s="12" t="s">
        <v>2688</v>
      </c>
      <c r="G1198" s="12" t="s">
        <v>2310</v>
      </c>
      <c r="H1198" s="17"/>
      <c r="I1198" s="17"/>
      <c r="J1198" s="13" t="n">
        <v>93407</v>
      </c>
      <c r="K1198" s="12" t="n">
        <v>5.8</v>
      </c>
      <c r="L1198" s="12" t="s">
        <v>674</v>
      </c>
      <c r="M1198" s="12" t="s">
        <v>5521</v>
      </c>
    </row>
    <row r="1199" customFormat="false" ht="15" hidden="false" customHeight="false" outlineLevel="0" collapsed="false">
      <c r="A1199" s="12" t="s">
        <v>5137</v>
      </c>
      <c r="B1199" s="12" t="s">
        <v>5522</v>
      </c>
      <c r="C1199" s="12" t="s">
        <v>5522</v>
      </c>
      <c r="D1199" s="12" t="s">
        <v>207</v>
      </c>
      <c r="E1199" s="12" t="n">
        <v>2</v>
      </c>
      <c r="F1199" s="12" t="s">
        <v>2309</v>
      </c>
      <c r="G1199" s="12" t="s">
        <v>2310</v>
      </c>
      <c r="H1199" s="17"/>
      <c r="I1199" s="17"/>
      <c r="J1199" s="13" t="n">
        <v>92220</v>
      </c>
      <c r="K1199" s="12" t="n">
        <v>8.5</v>
      </c>
      <c r="L1199" s="12" t="s">
        <v>128</v>
      </c>
      <c r="M1199" s="12" t="s">
        <v>5523</v>
      </c>
    </row>
    <row r="1200" customFormat="false" ht="15" hidden="false" customHeight="false" outlineLevel="0" collapsed="false">
      <c r="A1200" s="12" t="s">
        <v>5137</v>
      </c>
      <c r="B1200" s="12" t="s">
        <v>5524</v>
      </c>
      <c r="C1200" s="12" t="s">
        <v>5524</v>
      </c>
      <c r="D1200" s="12" t="s">
        <v>152</v>
      </c>
      <c r="E1200" s="12" t="n">
        <v>1</v>
      </c>
      <c r="F1200" s="12" t="s">
        <v>5156</v>
      </c>
      <c r="G1200" s="12" t="s">
        <v>2405</v>
      </c>
      <c r="H1200" s="17"/>
      <c r="I1200" s="17"/>
      <c r="J1200" s="13" t="n">
        <v>100282</v>
      </c>
      <c r="K1200" s="12" t="n">
        <v>8.3</v>
      </c>
      <c r="L1200" s="12" t="s">
        <v>1891</v>
      </c>
      <c r="M1200" s="12" t="s">
        <v>5525</v>
      </c>
    </row>
    <row r="1201" customFormat="false" ht="15" hidden="false" customHeight="false" outlineLevel="0" collapsed="false">
      <c r="A1201" s="12" t="s">
        <v>5137</v>
      </c>
      <c r="B1201" s="12" t="s">
        <v>5526</v>
      </c>
      <c r="C1201" s="12" t="s">
        <v>5526</v>
      </c>
      <c r="D1201" s="12" t="s">
        <v>505</v>
      </c>
      <c r="E1201" s="12" t="n">
        <v>2</v>
      </c>
      <c r="F1201" s="12" t="s">
        <v>2309</v>
      </c>
      <c r="G1201" s="12" t="s">
        <v>2310</v>
      </c>
      <c r="H1201" s="17"/>
      <c r="I1201" s="17"/>
      <c r="J1201" s="13" t="n">
        <v>92017</v>
      </c>
      <c r="K1201" s="12" t="n">
        <v>7.9</v>
      </c>
      <c r="L1201" s="12" t="s">
        <v>128</v>
      </c>
      <c r="M1201" s="12" t="s">
        <v>5527</v>
      </c>
    </row>
    <row r="1202" customFormat="false" ht="15" hidden="false" customHeight="false" outlineLevel="0" collapsed="false">
      <c r="A1202" s="12" t="s">
        <v>5137</v>
      </c>
      <c r="B1202" s="12" t="s">
        <v>5528</v>
      </c>
      <c r="C1202" s="12" t="s">
        <v>5529</v>
      </c>
      <c r="D1202" s="12" t="s">
        <v>286</v>
      </c>
      <c r="E1202" s="12" t="n">
        <v>2</v>
      </c>
      <c r="F1202" s="12" t="s">
        <v>3105</v>
      </c>
      <c r="G1202" s="12" t="s">
        <v>2310</v>
      </c>
      <c r="H1202" s="17"/>
      <c r="I1202" s="17"/>
      <c r="J1202" s="13" t="n">
        <v>35555</v>
      </c>
      <c r="K1202" s="12" t="n">
        <v>7.7</v>
      </c>
      <c r="L1202" s="12" t="s">
        <v>292</v>
      </c>
      <c r="M1202" s="12" t="s">
        <v>5530</v>
      </c>
    </row>
    <row r="1203" customFormat="false" ht="15" hidden="false" customHeight="false" outlineLevel="0" collapsed="false">
      <c r="A1203" s="12" t="s">
        <v>5137</v>
      </c>
      <c r="B1203" s="12" t="s">
        <v>5531</v>
      </c>
      <c r="C1203" s="12" t="s">
        <v>5531</v>
      </c>
      <c r="D1203" s="12" t="s">
        <v>202</v>
      </c>
      <c r="E1203" s="12" t="n">
        <v>2</v>
      </c>
      <c r="F1203" s="12" t="s">
        <v>3105</v>
      </c>
      <c r="G1203" s="12" t="s">
        <v>2310</v>
      </c>
      <c r="H1203" s="17"/>
      <c r="I1203" s="17"/>
      <c r="J1203" s="13" t="n">
        <v>44635</v>
      </c>
      <c r="K1203" s="12" t="n">
        <v>7.4</v>
      </c>
      <c r="L1203" s="12" t="s">
        <v>292</v>
      </c>
      <c r="M1203" s="12" t="s">
        <v>5532</v>
      </c>
    </row>
    <row r="1204" customFormat="false" ht="15" hidden="false" customHeight="false" outlineLevel="0" collapsed="false">
      <c r="A1204" s="12" t="s">
        <v>5137</v>
      </c>
      <c r="B1204" s="12" t="s">
        <v>5533</v>
      </c>
      <c r="C1204" s="12" t="s">
        <v>5534</v>
      </c>
      <c r="D1204" s="12" t="s">
        <v>1103</v>
      </c>
      <c r="E1204" s="12" t="n">
        <v>2</v>
      </c>
      <c r="F1204" s="12" t="s">
        <v>2688</v>
      </c>
      <c r="G1204" s="12" t="s">
        <v>2310</v>
      </c>
      <c r="H1204" s="17"/>
      <c r="I1204" s="17"/>
      <c r="J1204" s="13" t="n">
        <v>91649</v>
      </c>
      <c r="K1204" s="12" t="n">
        <v>7.7</v>
      </c>
      <c r="L1204" s="12" t="s">
        <v>674</v>
      </c>
      <c r="M1204" s="12" t="s">
        <v>5535</v>
      </c>
    </row>
    <row r="1205" customFormat="false" ht="15" hidden="false" customHeight="false" outlineLevel="0" collapsed="false">
      <c r="A1205" s="12" t="s">
        <v>5137</v>
      </c>
      <c r="B1205" s="12" t="s">
        <v>5536</v>
      </c>
      <c r="C1205" s="12" t="s">
        <v>5537</v>
      </c>
      <c r="D1205" s="12" t="s">
        <v>146</v>
      </c>
      <c r="E1205" s="12" t="n">
        <v>2</v>
      </c>
      <c r="F1205" s="12" t="s">
        <v>2309</v>
      </c>
      <c r="G1205" s="12" t="s">
        <v>2310</v>
      </c>
      <c r="H1205" s="17"/>
      <c r="I1205" s="17"/>
      <c r="J1205" s="13" t="n">
        <v>88785</v>
      </c>
      <c r="K1205" s="12" t="n">
        <v>8.1</v>
      </c>
      <c r="L1205" s="12" t="s">
        <v>128</v>
      </c>
      <c r="M1205" s="12" t="s">
        <v>5538</v>
      </c>
    </row>
    <row r="1206" customFormat="false" ht="15" hidden="false" customHeight="false" outlineLevel="0" collapsed="false">
      <c r="A1206" s="12" t="s">
        <v>5137</v>
      </c>
      <c r="B1206" s="12" t="s">
        <v>5539</v>
      </c>
      <c r="C1206" s="12" t="s">
        <v>5540</v>
      </c>
      <c r="D1206" s="12" t="s">
        <v>286</v>
      </c>
      <c r="E1206" s="12" t="n">
        <v>1</v>
      </c>
      <c r="F1206" s="12" t="s">
        <v>5156</v>
      </c>
      <c r="G1206" s="12" t="s">
        <v>2405</v>
      </c>
      <c r="H1206" s="17"/>
      <c r="I1206" s="17"/>
      <c r="J1206" s="13" t="n">
        <v>96379</v>
      </c>
      <c r="K1206" s="12" t="n">
        <v>7.8</v>
      </c>
      <c r="L1206" s="12" t="s">
        <v>1891</v>
      </c>
      <c r="M1206" s="12" t="s">
        <v>5541</v>
      </c>
    </row>
    <row r="1207" customFormat="false" ht="15" hidden="false" customHeight="false" outlineLevel="0" collapsed="false">
      <c r="A1207" s="12" t="s">
        <v>5137</v>
      </c>
      <c r="B1207" s="12" t="s">
        <v>5542</v>
      </c>
      <c r="C1207" s="12" t="s">
        <v>5543</v>
      </c>
      <c r="D1207" s="12" t="s">
        <v>152</v>
      </c>
      <c r="E1207" s="12" t="n">
        <v>2</v>
      </c>
      <c r="F1207" s="12" t="s">
        <v>3105</v>
      </c>
      <c r="G1207" s="12" t="s">
        <v>2310</v>
      </c>
      <c r="H1207" s="17"/>
      <c r="I1207" s="17"/>
      <c r="J1207" s="13" t="n">
        <v>54393</v>
      </c>
      <c r="K1207" s="12" t="n">
        <v>8.5</v>
      </c>
      <c r="L1207" s="12" t="s">
        <v>292</v>
      </c>
      <c r="M1207" s="12" t="s">
        <v>5544</v>
      </c>
    </row>
    <row r="1208" customFormat="false" ht="15" hidden="false" customHeight="false" outlineLevel="0" collapsed="false">
      <c r="A1208" s="12" t="s">
        <v>5137</v>
      </c>
      <c r="B1208" s="12" t="s">
        <v>5545</v>
      </c>
      <c r="C1208" s="12" t="s">
        <v>5546</v>
      </c>
      <c r="D1208" s="12" t="s">
        <v>214</v>
      </c>
      <c r="E1208" s="12" t="n">
        <v>2</v>
      </c>
      <c r="F1208" s="12" t="s">
        <v>3105</v>
      </c>
      <c r="G1208" s="12" t="s">
        <v>2310</v>
      </c>
      <c r="H1208" s="17"/>
      <c r="I1208" s="17"/>
      <c r="J1208" s="13" t="n">
        <v>21850</v>
      </c>
      <c r="K1208" s="12" t="n">
        <v>7.1</v>
      </c>
      <c r="L1208" s="12" t="s">
        <v>292</v>
      </c>
      <c r="M1208" s="12" t="s">
        <v>5547</v>
      </c>
    </row>
    <row r="1209" customFormat="false" ht="15" hidden="false" customHeight="false" outlineLevel="0" collapsed="false">
      <c r="A1209" s="12" t="s">
        <v>5137</v>
      </c>
      <c r="B1209" s="12" t="s">
        <v>5548</v>
      </c>
      <c r="C1209" s="12" t="s">
        <v>5549</v>
      </c>
      <c r="D1209" s="12" t="s">
        <v>251</v>
      </c>
      <c r="E1209" s="12" t="n">
        <v>1</v>
      </c>
      <c r="F1209" s="12" t="s">
        <v>5156</v>
      </c>
      <c r="G1209" s="12" t="s">
        <v>2405</v>
      </c>
      <c r="H1209" s="17"/>
      <c r="I1209" s="17"/>
      <c r="J1209" s="13" t="n">
        <v>94082</v>
      </c>
      <c r="K1209" s="12" t="n">
        <v>7.1</v>
      </c>
      <c r="L1209" s="12" t="s">
        <v>1891</v>
      </c>
      <c r="M1209" s="12" t="s">
        <v>5550</v>
      </c>
    </row>
    <row r="1210" customFormat="false" ht="15" hidden="false" customHeight="false" outlineLevel="0" collapsed="false">
      <c r="A1210" s="12" t="s">
        <v>5137</v>
      </c>
      <c r="B1210" s="12" t="s">
        <v>5551</v>
      </c>
      <c r="C1210" s="12" t="s">
        <v>5552</v>
      </c>
      <c r="D1210" s="12" t="s">
        <v>207</v>
      </c>
      <c r="E1210" s="12" t="n">
        <v>2</v>
      </c>
      <c r="F1210" s="12" t="s">
        <v>5179</v>
      </c>
      <c r="G1210" s="12" t="s">
        <v>2310</v>
      </c>
      <c r="H1210" s="17"/>
      <c r="I1210" s="17"/>
      <c r="J1210" s="13" t="n">
        <v>83834</v>
      </c>
      <c r="K1210" s="12" t="n">
        <v>8.6</v>
      </c>
      <c r="L1210" s="12" t="s">
        <v>2232</v>
      </c>
      <c r="M1210" s="12" t="s">
        <v>5553</v>
      </c>
    </row>
    <row r="1211" customFormat="false" ht="15" hidden="false" customHeight="false" outlineLevel="0" collapsed="false">
      <c r="A1211" s="12" t="s">
        <v>5137</v>
      </c>
      <c r="B1211" s="12" t="s">
        <v>5554</v>
      </c>
      <c r="C1211" s="12" t="s">
        <v>5555</v>
      </c>
      <c r="D1211" s="12" t="s">
        <v>505</v>
      </c>
      <c r="E1211" s="12" t="n">
        <v>2</v>
      </c>
      <c r="F1211" s="12" t="s">
        <v>2309</v>
      </c>
      <c r="G1211" s="12" t="s">
        <v>2310</v>
      </c>
      <c r="H1211" s="17"/>
      <c r="I1211" s="17"/>
      <c r="J1211" s="13" t="n">
        <v>83347</v>
      </c>
      <c r="K1211" s="12" t="n">
        <v>7.4</v>
      </c>
      <c r="L1211" s="12" t="s">
        <v>128</v>
      </c>
      <c r="M1211" s="12" t="s">
        <v>5556</v>
      </c>
    </row>
    <row r="1212" customFormat="false" ht="15" hidden="false" customHeight="false" outlineLevel="0" collapsed="false">
      <c r="A1212" s="12" t="s">
        <v>5137</v>
      </c>
      <c r="B1212" s="12" t="s">
        <v>5557</v>
      </c>
      <c r="C1212" s="12" t="s">
        <v>5558</v>
      </c>
      <c r="D1212" s="12" t="s">
        <v>500</v>
      </c>
      <c r="E1212" s="12" t="n">
        <v>2</v>
      </c>
      <c r="F1212" s="12" t="s">
        <v>3105</v>
      </c>
      <c r="G1212" s="12" t="s">
        <v>2310</v>
      </c>
      <c r="H1212" s="17"/>
      <c r="I1212" s="17"/>
      <c r="J1212" s="13" t="n">
        <v>24914</v>
      </c>
      <c r="K1212" s="12" t="n">
        <v>8</v>
      </c>
      <c r="L1212" s="12" t="s">
        <v>292</v>
      </c>
      <c r="M1212" s="12" t="s">
        <v>5559</v>
      </c>
    </row>
    <row r="1213" customFormat="false" ht="15" hidden="false" customHeight="false" outlineLevel="0" collapsed="false">
      <c r="A1213" s="12" t="s">
        <v>5137</v>
      </c>
      <c r="B1213" s="12" t="s">
        <v>5560</v>
      </c>
      <c r="C1213" s="12" t="s">
        <v>5561</v>
      </c>
      <c r="D1213" s="12" t="s">
        <v>251</v>
      </c>
      <c r="E1213" s="12" t="n">
        <v>2</v>
      </c>
      <c r="F1213" s="12" t="s">
        <v>2309</v>
      </c>
      <c r="G1213" s="12" t="s">
        <v>2310</v>
      </c>
      <c r="H1213" s="17"/>
      <c r="I1213" s="17"/>
      <c r="J1213" s="13" t="n">
        <v>83272</v>
      </c>
      <c r="K1213" s="12" t="n">
        <v>7.6</v>
      </c>
      <c r="L1213" s="12" t="s">
        <v>128</v>
      </c>
      <c r="M1213" s="12" t="s">
        <v>5562</v>
      </c>
    </row>
    <row r="1214" customFormat="false" ht="15" hidden="false" customHeight="false" outlineLevel="0" collapsed="false">
      <c r="A1214" s="12" t="s">
        <v>5137</v>
      </c>
      <c r="B1214" s="12" t="s">
        <v>5563</v>
      </c>
      <c r="C1214" s="12" t="s">
        <v>5564</v>
      </c>
      <c r="D1214" s="12" t="s">
        <v>1103</v>
      </c>
      <c r="E1214" s="12" t="n">
        <v>2</v>
      </c>
      <c r="F1214" s="12" t="s">
        <v>2688</v>
      </c>
      <c r="G1214" s="12" t="s">
        <v>2310</v>
      </c>
      <c r="H1214" s="17"/>
      <c r="I1214" s="17"/>
      <c r="J1214" s="13" t="n">
        <v>81676</v>
      </c>
      <c r="K1214" s="12" t="n">
        <v>7.7</v>
      </c>
      <c r="L1214" s="12" t="s">
        <v>674</v>
      </c>
      <c r="M1214" s="12" t="s">
        <v>5565</v>
      </c>
    </row>
    <row r="1215" customFormat="false" ht="15" hidden="false" customHeight="false" outlineLevel="0" collapsed="false">
      <c r="A1215" s="12" t="s">
        <v>5137</v>
      </c>
      <c r="B1215" s="12" t="s">
        <v>5566</v>
      </c>
      <c r="C1215" s="12" t="s">
        <v>5567</v>
      </c>
      <c r="D1215" s="12" t="s">
        <v>127</v>
      </c>
      <c r="E1215" s="12" t="n">
        <v>2</v>
      </c>
      <c r="F1215" s="12" t="s">
        <v>3105</v>
      </c>
      <c r="G1215" s="12" t="s">
        <v>2310</v>
      </c>
      <c r="H1215" s="17"/>
      <c r="I1215" s="17"/>
      <c r="J1215" s="13" t="n">
        <v>33620</v>
      </c>
      <c r="K1215" s="12" t="n">
        <v>7.2</v>
      </c>
      <c r="L1215" s="12" t="s">
        <v>292</v>
      </c>
      <c r="M1215" s="12" t="s">
        <v>5568</v>
      </c>
    </row>
    <row r="1216" customFormat="false" ht="15" hidden="false" customHeight="false" outlineLevel="0" collapsed="false">
      <c r="A1216" s="12" t="s">
        <v>5137</v>
      </c>
      <c r="B1216" s="12" t="s">
        <v>5569</v>
      </c>
      <c r="C1216" s="12" t="s">
        <v>5569</v>
      </c>
      <c r="D1216" s="12" t="s">
        <v>1103</v>
      </c>
      <c r="E1216" s="12" t="n">
        <v>2</v>
      </c>
      <c r="F1216" s="12" t="s">
        <v>2688</v>
      </c>
      <c r="G1216" s="12" t="s">
        <v>2310</v>
      </c>
      <c r="H1216" s="17"/>
      <c r="I1216" s="17"/>
      <c r="J1216" s="13" t="n">
        <v>76730</v>
      </c>
      <c r="K1216" s="12" t="n">
        <v>6.7</v>
      </c>
      <c r="L1216" s="12" t="s">
        <v>674</v>
      </c>
      <c r="M1216" s="12" t="s">
        <v>5570</v>
      </c>
    </row>
    <row r="1217" customFormat="false" ht="15" hidden="false" customHeight="false" outlineLevel="0" collapsed="false">
      <c r="A1217" s="12" t="s">
        <v>5137</v>
      </c>
      <c r="B1217" s="12" t="s">
        <v>5571</v>
      </c>
      <c r="C1217" s="12" t="s">
        <v>5572</v>
      </c>
      <c r="D1217" s="12" t="s">
        <v>265</v>
      </c>
      <c r="E1217" s="12" t="n">
        <v>2</v>
      </c>
      <c r="F1217" s="12" t="s">
        <v>2309</v>
      </c>
      <c r="G1217" s="12" t="s">
        <v>2310</v>
      </c>
      <c r="H1217" s="17"/>
      <c r="I1217" s="17"/>
      <c r="J1217" s="13" t="n">
        <v>75161</v>
      </c>
      <c r="K1217" s="12" t="n">
        <v>7.6</v>
      </c>
      <c r="L1217" s="12" t="s">
        <v>128</v>
      </c>
      <c r="M1217" s="12" t="s">
        <v>5573</v>
      </c>
    </row>
    <row r="1218" customFormat="false" ht="15" hidden="false" customHeight="false" outlineLevel="0" collapsed="false">
      <c r="A1218" s="12" t="s">
        <v>5137</v>
      </c>
      <c r="B1218" s="12" t="s">
        <v>5574</v>
      </c>
      <c r="C1218" s="12" t="s">
        <v>5574</v>
      </c>
      <c r="D1218" s="12" t="s">
        <v>500</v>
      </c>
      <c r="E1218" s="12" t="n">
        <v>2</v>
      </c>
      <c r="F1218" s="12" t="s">
        <v>3105</v>
      </c>
      <c r="G1218" s="12" t="s">
        <v>2310</v>
      </c>
      <c r="H1218" s="17"/>
      <c r="I1218" s="17"/>
      <c r="J1218" s="13" t="n">
        <v>51158</v>
      </c>
      <c r="K1218" s="12" t="n">
        <v>6.8</v>
      </c>
      <c r="L1218" s="12" t="s">
        <v>292</v>
      </c>
      <c r="M1218" s="12" t="s">
        <v>5575</v>
      </c>
    </row>
    <row r="1219" customFormat="false" ht="15" hidden="false" customHeight="false" outlineLevel="0" collapsed="false">
      <c r="A1219" s="12" t="s">
        <v>5137</v>
      </c>
      <c r="B1219" s="12" t="s">
        <v>5576</v>
      </c>
      <c r="C1219" s="12" t="s">
        <v>5577</v>
      </c>
      <c r="D1219" s="12" t="s">
        <v>265</v>
      </c>
      <c r="E1219" s="12" t="n">
        <v>2</v>
      </c>
      <c r="F1219" s="12" t="s">
        <v>2309</v>
      </c>
      <c r="G1219" s="12" t="s">
        <v>2310</v>
      </c>
      <c r="H1219" s="17"/>
      <c r="I1219" s="17"/>
      <c r="J1219" s="13" t="n">
        <v>73514</v>
      </c>
      <c r="K1219" s="12" t="n">
        <v>7.8</v>
      </c>
      <c r="L1219" s="12" t="s">
        <v>128</v>
      </c>
      <c r="M1219" s="12" t="s">
        <v>5578</v>
      </c>
    </row>
    <row r="1220" customFormat="false" ht="15" hidden="false" customHeight="false" outlineLevel="0" collapsed="false">
      <c r="A1220" s="12" t="s">
        <v>5137</v>
      </c>
      <c r="B1220" s="12" t="s">
        <v>5579</v>
      </c>
      <c r="C1220" s="12" t="s">
        <v>5579</v>
      </c>
      <c r="D1220" s="12" t="s">
        <v>158</v>
      </c>
      <c r="E1220" s="12" t="n">
        <v>1</v>
      </c>
      <c r="F1220" s="12" t="s">
        <v>5156</v>
      </c>
      <c r="G1220" s="12" t="s">
        <v>2405</v>
      </c>
      <c r="H1220" s="17"/>
      <c r="I1220" s="17"/>
      <c r="J1220" s="13" t="n">
        <v>86104</v>
      </c>
      <c r="K1220" s="12" t="n">
        <v>7.7</v>
      </c>
      <c r="L1220" s="12" t="s">
        <v>1891</v>
      </c>
      <c r="M1220" s="12" t="s">
        <v>5580</v>
      </c>
    </row>
    <row r="1221" customFormat="false" ht="15" hidden="false" customHeight="false" outlineLevel="0" collapsed="false">
      <c r="A1221" s="12" t="s">
        <v>5137</v>
      </c>
      <c r="B1221" s="12" t="s">
        <v>5581</v>
      </c>
      <c r="C1221" s="12" t="s">
        <v>5581</v>
      </c>
      <c r="D1221" s="12" t="s">
        <v>118</v>
      </c>
      <c r="E1221" s="12" t="n">
        <v>2</v>
      </c>
      <c r="F1221" s="12" t="s">
        <v>2688</v>
      </c>
      <c r="G1221" s="12" t="s">
        <v>2310</v>
      </c>
      <c r="H1221" s="17"/>
      <c r="I1221" s="17"/>
      <c r="J1221" s="13" t="n">
        <v>72784</v>
      </c>
      <c r="K1221" s="12" t="n">
        <v>7.4</v>
      </c>
      <c r="L1221" s="12" t="s">
        <v>674</v>
      </c>
      <c r="M1221" s="12" t="s">
        <v>5582</v>
      </c>
    </row>
    <row r="1222" customFormat="false" ht="15" hidden="false" customHeight="false" outlineLevel="0" collapsed="false">
      <c r="A1222" s="12" t="s">
        <v>5137</v>
      </c>
      <c r="B1222" s="12" t="s">
        <v>5583</v>
      </c>
      <c r="C1222" s="12" t="s">
        <v>5584</v>
      </c>
      <c r="D1222" s="12" t="s">
        <v>175</v>
      </c>
      <c r="E1222" s="12" t="n">
        <v>1</v>
      </c>
      <c r="F1222" s="12" t="s">
        <v>5156</v>
      </c>
      <c r="G1222" s="12" t="s">
        <v>2405</v>
      </c>
      <c r="H1222" s="17"/>
      <c r="I1222" s="17"/>
      <c r="J1222" s="13" t="n">
        <v>85929</v>
      </c>
      <c r="K1222" s="12" t="n">
        <v>8.9</v>
      </c>
      <c r="L1222" s="12" t="s">
        <v>1891</v>
      </c>
      <c r="M1222" s="12" t="s">
        <v>5585</v>
      </c>
    </row>
    <row r="1223" customFormat="false" ht="15" hidden="false" customHeight="false" outlineLevel="0" collapsed="false">
      <c r="A1223" s="12" t="s">
        <v>5137</v>
      </c>
      <c r="B1223" s="12" t="s">
        <v>5586</v>
      </c>
      <c r="C1223" s="12" t="s">
        <v>5586</v>
      </c>
      <c r="D1223" s="12" t="s">
        <v>127</v>
      </c>
      <c r="E1223" s="12" t="n">
        <v>2</v>
      </c>
      <c r="F1223" s="12" t="s">
        <v>3105</v>
      </c>
      <c r="G1223" s="12" t="s">
        <v>2310</v>
      </c>
      <c r="H1223" s="17"/>
      <c r="I1223" s="17"/>
      <c r="J1223" s="13" t="n">
        <v>53383</v>
      </c>
      <c r="K1223" s="12" t="n">
        <v>6.5</v>
      </c>
      <c r="L1223" s="12" t="s">
        <v>292</v>
      </c>
      <c r="M1223" s="12" t="s">
        <v>5587</v>
      </c>
    </row>
    <row r="1224" customFormat="false" ht="15" hidden="false" customHeight="false" outlineLevel="0" collapsed="false">
      <c r="A1224" s="12" t="s">
        <v>5137</v>
      </c>
      <c r="B1224" s="12" t="s">
        <v>5588</v>
      </c>
      <c r="C1224" s="12" t="s">
        <v>5589</v>
      </c>
      <c r="D1224" s="12" t="s">
        <v>251</v>
      </c>
      <c r="E1224" s="12" t="n">
        <v>2</v>
      </c>
      <c r="F1224" s="12" t="s">
        <v>2688</v>
      </c>
      <c r="G1224" s="12" t="s">
        <v>2310</v>
      </c>
      <c r="H1224" s="17"/>
      <c r="I1224" s="17"/>
      <c r="J1224" s="13" t="n">
        <v>72639</v>
      </c>
      <c r="K1224" s="12" t="n">
        <v>7.8</v>
      </c>
      <c r="L1224" s="12" t="s">
        <v>674</v>
      </c>
      <c r="M1224" s="12" t="s">
        <v>5590</v>
      </c>
    </row>
    <row r="1225" customFormat="false" ht="15" hidden="false" customHeight="false" outlineLevel="0" collapsed="false">
      <c r="A1225" s="12" t="s">
        <v>5137</v>
      </c>
      <c r="B1225" s="12" t="s">
        <v>5591</v>
      </c>
      <c r="C1225" s="12" t="s">
        <v>5591</v>
      </c>
      <c r="D1225" s="12" t="s">
        <v>500</v>
      </c>
      <c r="E1225" s="12" t="n">
        <v>2</v>
      </c>
      <c r="F1225" s="12" t="s">
        <v>5173</v>
      </c>
      <c r="G1225" s="12" t="s">
        <v>2310</v>
      </c>
      <c r="H1225" s="17"/>
      <c r="I1225" s="17"/>
      <c r="J1225" s="13" t="n">
        <v>48230</v>
      </c>
      <c r="K1225" s="12" t="n">
        <v>5.5</v>
      </c>
      <c r="L1225" s="12" t="s">
        <v>1834</v>
      </c>
      <c r="M1225" s="12" t="s">
        <v>5592</v>
      </c>
    </row>
    <row r="1226" customFormat="false" ht="15" hidden="false" customHeight="false" outlineLevel="0" collapsed="false">
      <c r="A1226" s="12" t="s">
        <v>5137</v>
      </c>
      <c r="B1226" s="12" t="s">
        <v>5593</v>
      </c>
      <c r="C1226" s="12" t="s">
        <v>5594</v>
      </c>
      <c r="D1226" s="12" t="s">
        <v>396</v>
      </c>
      <c r="E1226" s="12" t="n">
        <v>2</v>
      </c>
      <c r="F1226" s="12" t="s">
        <v>3105</v>
      </c>
      <c r="G1226" s="12" t="s">
        <v>2310</v>
      </c>
      <c r="H1226" s="17"/>
      <c r="I1226" s="17"/>
      <c r="J1226" s="13" t="n">
        <v>30257</v>
      </c>
      <c r="K1226" s="12" t="n">
        <v>7.6</v>
      </c>
      <c r="L1226" s="12" t="s">
        <v>292</v>
      </c>
      <c r="M1226" s="12" t="s">
        <v>5595</v>
      </c>
    </row>
    <row r="1227" customFormat="false" ht="15" hidden="false" customHeight="false" outlineLevel="0" collapsed="false">
      <c r="A1227" s="12" t="s">
        <v>5137</v>
      </c>
      <c r="B1227" s="12" t="s">
        <v>5596</v>
      </c>
      <c r="C1227" s="12" t="s">
        <v>5597</v>
      </c>
      <c r="D1227" s="12" t="s">
        <v>207</v>
      </c>
      <c r="E1227" s="12" t="n">
        <v>2</v>
      </c>
      <c r="F1227" s="12" t="s">
        <v>2309</v>
      </c>
      <c r="G1227" s="12" t="s">
        <v>2310</v>
      </c>
      <c r="H1227" s="17"/>
      <c r="I1227" s="17"/>
      <c r="J1227" s="13" t="n">
        <v>72147</v>
      </c>
      <c r="K1227" s="12" t="n">
        <v>9.1</v>
      </c>
      <c r="L1227" s="12" t="s">
        <v>128</v>
      </c>
      <c r="M1227" s="12" t="s">
        <v>5598</v>
      </c>
    </row>
    <row r="1228" customFormat="false" ht="15" hidden="false" customHeight="false" outlineLevel="0" collapsed="false">
      <c r="A1228" s="12" t="s">
        <v>5137</v>
      </c>
      <c r="B1228" s="12" t="s">
        <v>5599</v>
      </c>
      <c r="C1228" s="12" t="s">
        <v>5599</v>
      </c>
      <c r="D1228" s="12" t="s">
        <v>101</v>
      </c>
      <c r="E1228" s="12" t="n">
        <v>2</v>
      </c>
      <c r="F1228" s="12" t="s">
        <v>2688</v>
      </c>
      <c r="G1228" s="12" t="s">
        <v>2310</v>
      </c>
      <c r="H1228" s="17"/>
      <c r="I1228" s="17"/>
      <c r="J1228" s="13" t="n">
        <v>70956</v>
      </c>
      <c r="K1228" s="12" t="n">
        <v>8.3</v>
      </c>
      <c r="L1228" s="12" t="s">
        <v>1891</v>
      </c>
      <c r="M1228" s="12" t="s">
        <v>5600</v>
      </c>
    </row>
    <row r="1229" customFormat="false" ht="15" hidden="false" customHeight="false" outlineLevel="0" collapsed="false">
      <c r="A1229" s="12" t="s">
        <v>5137</v>
      </c>
      <c r="B1229" s="12" t="s">
        <v>5601</v>
      </c>
      <c r="C1229" s="12" t="s">
        <v>5602</v>
      </c>
      <c r="D1229" s="12" t="s">
        <v>146</v>
      </c>
      <c r="E1229" s="12" t="n">
        <v>2</v>
      </c>
      <c r="F1229" s="12" t="s">
        <v>3105</v>
      </c>
      <c r="G1229" s="12" t="s">
        <v>2310</v>
      </c>
      <c r="H1229" s="17"/>
      <c r="I1229" s="17"/>
      <c r="J1229" s="13" t="n">
        <v>38226</v>
      </c>
      <c r="K1229" s="12" t="n">
        <v>7.4</v>
      </c>
      <c r="L1229" s="12" t="s">
        <v>292</v>
      </c>
      <c r="M1229" s="12" t="s">
        <v>5603</v>
      </c>
    </row>
    <row r="1230" customFormat="false" ht="15" hidden="false" customHeight="false" outlineLevel="0" collapsed="false">
      <c r="A1230" s="12" t="s">
        <v>5137</v>
      </c>
      <c r="B1230" s="12" t="s">
        <v>5604</v>
      </c>
      <c r="C1230" s="12" t="s">
        <v>5604</v>
      </c>
      <c r="D1230" s="12" t="s">
        <v>127</v>
      </c>
      <c r="E1230" s="12" t="n">
        <v>2</v>
      </c>
      <c r="F1230" s="12" t="s">
        <v>3105</v>
      </c>
      <c r="G1230" s="12" t="s">
        <v>2310</v>
      </c>
      <c r="H1230" s="17"/>
      <c r="I1230" s="17"/>
      <c r="J1230" s="13" t="n">
        <v>48351</v>
      </c>
      <c r="K1230" s="12" t="n">
        <v>7</v>
      </c>
      <c r="L1230" s="12" t="s">
        <v>292</v>
      </c>
      <c r="M1230" s="12" t="s">
        <v>5605</v>
      </c>
    </row>
    <row r="1231" customFormat="false" ht="15" hidden="false" customHeight="false" outlineLevel="0" collapsed="false">
      <c r="A1231" s="12" t="s">
        <v>5137</v>
      </c>
      <c r="B1231" s="12" t="s">
        <v>5606</v>
      </c>
      <c r="C1231" s="12" t="s">
        <v>5606</v>
      </c>
      <c r="D1231" s="12" t="s">
        <v>175</v>
      </c>
      <c r="E1231" s="12" t="n">
        <v>2</v>
      </c>
      <c r="F1231" s="12" t="s">
        <v>2688</v>
      </c>
      <c r="G1231" s="12" t="s">
        <v>2310</v>
      </c>
      <c r="H1231" s="17"/>
      <c r="I1231" s="17"/>
      <c r="J1231" s="13" t="n">
        <v>69693</v>
      </c>
      <c r="K1231" s="12" t="n">
        <v>7.7</v>
      </c>
      <c r="L1231" s="12" t="s">
        <v>674</v>
      </c>
      <c r="M1231" s="12" t="s">
        <v>5607</v>
      </c>
    </row>
    <row r="1232" customFormat="false" ht="15" hidden="false" customHeight="false" outlineLevel="0" collapsed="false">
      <c r="A1232" s="12" t="s">
        <v>5137</v>
      </c>
      <c r="B1232" s="12" t="s">
        <v>5608</v>
      </c>
      <c r="C1232" s="12" t="s">
        <v>5609</v>
      </c>
      <c r="D1232" s="12" t="s">
        <v>118</v>
      </c>
      <c r="E1232" s="12" t="n">
        <v>2</v>
      </c>
      <c r="F1232" s="12" t="s">
        <v>2688</v>
      </c>
      <c r="G1232" s="12" t="s">
        <v>2310</v>
      </c>
      <c r="H1232" s="17"/>
      <c r="I1232" s="17"/>
      <c r="J1232" s="13" t="n">
        <v>69333</v>
      </c>
      <c r="K1232" s="12" t="n">
        <v>7.3</v>
      </c>
      <c r="L1232" s="12" t="s">
        <v>674</v>
      </c>
      <c r="M1232" s="12" t="s">
        <v>5610</v>
      </c>
    </row>
    <row r="1233" customFormat="false" ht="15" hidden="false" customHeight="false" outlineLevel="0" collapsed="false">
      <c r="A1233" s="12" t="s">
        <v>5137</v>
      </c>
      <c r="B1233" s="12" t="s">
        <v>5611</v>
      </c>
      <c r="C1233" s="12" t="s">
        <v>5611</v>
      </c>
      <c r="D1233" s="12" t="s">
        <v>101</v>
      </c>
      <c r="E1233" s="12" t="n">
        <v>2</v>
      </c>
      <c r="F1233" s="12" t="s">
        <v>2688</v>
      </c>
      <c r="G1233" s="12" t="s">
        <v>2310</v>
      </c>
      <c r="H1233" s="17"/>
      <c r="I1233" s="17"/>
      <c r="J1233" s="13" t="n">
        <v>69012</v>
      </c>
      <c r="K1233" s="12" t="n">
        <v>7.8</v>
      </c>
      <c r="L1233" s="12" t="s">
        <v>674</v>
      </c>
      <c r="M1233" s="12" t="s">
        <v>5612</v>
      </c>
    </row>
    <row r="1234" customFormat="false" ht="15" hidden="false" customHeight="false" outlineLevel="0" collapsed="false">
      <c r="A1234" s="12" t="s">
        <v>5137</v>
      </c>
      <c r="B1234" s="12" t="s">
        <v>5613</v>
      </c>
      <c r="C1234" s="12" t="s">
        <v>5613</v>
      </c>
      <c r="D1234" s="12" t="s">
        <v>214</v>
      </c>
      <c r="E1234" s="12" t="n">
        <v>2</v>
      </c>
      <c r="F1234" s="12" t="s">
        <v>3105</v>
      </c>
      <c r="G1234" s="12" t="s">
        <v>2310</v>
      </c>
      <c r="H1234" s="17"/>
      <c r="I1234" s="17"/>
      <c r="J1234" s="13" t="n">
        <v>22790</v>
      </c>
      <c r="K1234" s="12" t="n">
        <v>6.8</v>
      </c>
      <c r="L1234" s="12" t="s">
        <v>292</v>
      </c>
      <c r="M1234" s="12" t="s">
        <v>5614</v>
      </c>
    </row>
    <row r="1235" customFormat="false" ht="15" hidden="false" customHeight="false" outlineLevel="0" collapsed="false">
      <c r="A1235" s="12" t="s">
        <v>5137</v>
      </c>
      <c r="B1235" s="12" t="s">
        <v>5615</v>
      </c>
      <c r="C1235" s="12" t="s">
        <v>5616</v>
      </c>
      <c r="D1235" s="12" t="s">
        <v>111</v>
      </c>
      <c r="E1235" s="12" t="n">
        <v>2</v>
      </c>
      <c r="F1235" s="12" t="s">
        <v>3105</v>
      </c>
      <c r="G1235" s="12" t="s">
        <v>2310</v>
      </c>
      <c r="H1235" s="17"/>
      <c r="I1235" s="17"/>
      <c r="J1235" s="13" t="n">
        <v>1563</v>
      </c>
      <c r="K1235" s="12" t="n">
        <v>3.4</v>
      </c>
      <c r="L1235" s="12" t="s">
        <v>292</v>
      </c>
      <c r="M1235" s="12" t="s">
        <v>5617</v>
      </c>
    </row>
    <row r="1236" customFormat="false" ht="15" hidden="false" customHeight="false" outlineLevel="0" collapsed="false">
      <c r="A1236" s="12" t="s">
        <v>5137</v>
      </c>
      <c r="B1236" s="12" t="s">
        <v>5618</v>
      </c>
      <c r="C1236" s="12" t="s">
        <v>5619</v>
      </c>
      <c r="D1236" s="12" t="s">
        <v>505</v>
      </c>
      <c r="E1236" s="12" t="n">
        <v>2</v>
      </c>
      <c r="F1236" s="12" t="s">
        <v>2309</v>
      </c>
      <c r="G1236" s="12" t="s">
        <v>2310</v>
      </c>
      <c r="H1236" s="17"/>
      <c r="I1236" s="17"/>
      <c r="J1236" s="13" t="n">
        <v>68659</v>
      </c>
      <c r="K1236" s="12" t="n">
        <v>7.6</v>
      </c>
      <c r="L1236" s="12" t="s">
        <v>128</v>
      </c>
      <c r="M1236" s="12" t="s">
        <v>5620</v>
      </c>
    </row>
    <row r="1237" customFormat="false" ht="15" hidden="false" customHeight="false" outlineLevel="0" collapsed="false">
      <c r="A1237" s="12" t="s">
        <v>5137</v>
      </c>
      <c r="B1237" s="12" t="s">
        <v>5621</v>
      </c>
      <c r="C1237" s="12" t="s">
        <v>5622</v>
      </c>
      <c r="D1237" s="12" t="s">
        <v>358</v>
      </c>
      <c r="E1237" s="12" t="n">
        <v>1</v>
      </c>
      <c r="F1237" s="12" t="s">
        <v>5156</v>
      </c>
      <c r="G1237" s="12" t="s">
        <v>2405</v>
      </c>
      <c r="H1237" s="17"/>
      <c r="I1237" s="17"/>
      <c r="J1237" s="13" t="n">
        <v>77182</v>
      </c>
      <c r="K1237" s="12" t="n">
        <v>8.6</v>
      </c>
      <c r="L1237" s="12" t="s">
        <v>1891</v>
      </c>
      <c r="M1237" s="12" t="s">
        <v>5623</v>
      </c>
    </row>
    <row r="1238" customFormat="false" ht="15" hidden="false" customHeight="false" outlineLevel="0" collapsed="false">
      <c r="A1238" s="12" t="s">
        <v>5137</v>
      </c>
      <c r="B1238" s="12" t="s">
        <v>5624</v>
      </c>
      <c r="C1238" s="12" t="s">
        <v>5625</v>
      </c>
      <c r="D1238" s="12" t="s">
        <v>127</v>
      </c>
      <c r="E1238" s="12" t="n">
        <v>2</v>
      </c>
      <c r="F1238" s="12" t="s">
        <v>5173</v>
      </c>
      <c r="G1238" s="12" t="s">
        <v>2310</v>
      </c>
      <c r="H1238" s="17"/>
      <c r="I1238" s="17"/>
      <c r="J1238" s="13" t="n">
        <v>46957</v>
      </c>
      <c r="K1238" s="12" t="n">
        <v>7.6</v>
      </c>
      <c r="L1238" s="12" t="s">
        <v>1834</v>
      </c>
      <c r="M1238" s="12" t="s">
        <v>5626</v>
      </c>
    </row>
    <row r="1239" customFormat="false" ht="15" hidden="false" customHeight="false" outlineLevel="0" collapsed="false">
      <c r="A1239" s="12" t="s">
        <v>5137</v>
      </c>
      <c r="B1239" s="12" t="s">
        <v>5627</v>
      </c>
      <c r="C1239" s="12" t="s">
        <v>5628</v>
      </c>
      <c r="D1239" s="12" t="s">
        <v>1103</v>
      </c>
      <c r="E1239" s="12" t="n">
        <v>2</v>
      </c>
      <c r="F1239" s="12" t="s">
        <v>2688</v>
      </c>
      <c r="G1239" s="12" t="s">
        <v>2310</v>
      </c>
      <c r="H1239" s="17"/>
      <c r="I1239" s="17"/>
      <c r="J1239" s="13" t="n">
        <v>66619</v>
      </c>
      <c r="K1239" s="12" t="n">
        <v>8.1</v>
      </c>
      <c r="L1239" s="12" t="s">
        <v>674</v>
      </c>
      <c r="M1239" s="12" t="s">
        <v>5629</v>
      </c>
    </row>
    <row r="1240" customFormat="false" ht="15" hidden="false" customHeight="false" outlineLevel="0" collapsed="false">
      <c r="A1240" s="12" t="s">
        <v>5137</v>
      </c>
      <c r="B1240" s="12" t="s">
        <v>5630</v>
      </c>
      <c r="C1240" s="12" t="s">
        <v>5630</v>
      </c>
      <c r="D1240" s="12" t="s">
        <v>101</v>
      </c>
      <c r="E1240" s="12" t="n">
        <v>2</v>
      </c>
      <c r="F1240" s="12" t="s">
        <v>2309</v>
      </c>
      <c r="G1240" s="12" t="s">
        <v>2310</v>
      </c>
      <c r="H1240" s="17"/>
      <c r="I1240" s="17"/>
      <c r="J1240" s="13" t="n">
        <v>66310</v>
      </c>
      <c r="K1240" s="12" t="n">
        <v>8.2</v>
      </c>
      <c r="L1240" s="12" t="s">
        <v>128</v>
      </c>
      <c r="M1240" s="12" t="s">
        <v>5631</v>
      </c>
    </row>
    <row r="1241" customFormat="false" ht="15" hidden="false" customHeight="false" outlineLevel="0" collapsed="false">
      <c r="A1241" s="12" t="s">
        <v>5137</v>
      </c>
      <c r="B1241" s="12" t="s">
        <v>5632</v>
      </c>
      <c r="C1241" s="12" t="s">
        <v>5632</v>
      </c>
      <c r="D1241" s="12" t="s">
        <v>202</v>
      </c>
      <c r="E1241" s="12" t="n">
        <v>2</v>
      </c>
      <c r="F1241" s="12" t="s">
        <v>3105</v>
      </c>
      <c r="G1241" s="12" t="s">
        <v>2310</v>
      </c>
      <c r="H1241" s="17"/>
      <c r="I1241" s="17"/>
      <c r="J1241" s="13" t="n">
        <v>16027</v>
      </c>
      <c r="K1241" s="12" t="n">
        <v>7.2</v>
      </c>
      <c r="L1241" s="12" t="s">
        <v>292</v>
      </c>
      <c r="M1241" s="12" t="s">
        <v>5633</v>
      </c>
    </row>
    <row r="1242" customFormat="false" ht="15" hidden="false" customHeight="false" outlineLevel="0" collapsed="false">
      <c r="A1242" s="12" t="s">
        <v>5137</v>
      </c>
      <c r="B1242" s="12" t="s">
        <v>5634</v>
      </c>
      <c r="C1242" s="12" t="s">
        <v>5634</v>
      </c>
      <c r="D1242" s="12" t="s">
        <v>500</v>
      </c>
      <c r="E1242" s="12" t="n">
        <v>2</v>
      </c>
      <c r="F1242" s="12" t="s">
        <v>3105</v>
      </c>
      <c r="G1242" s="12" t="s">
        <v>2310</v>
      </c>
      <c r="H1242" s="17"/>
      <c r="I1242" s="17"/>
      <c r="J1242" s="13" t="n">
        <v>27356</v>
      </c>
      <c r="K1242" s="12" t="n">
        <v>7.5</v>
      </c>
      <c r="L1242" s="12" t="s">
        <v>292</v>
      </c>
      <c r="M1242" s="12" t="s">
        <v>5635</v>
      </c>
    </row>
    <row r="1243" customFormat="false" ht="15" hidden="false" customHeight="false" outlineLevel="0" collapsed="false">
      <c r="A1243" s="12" t="s">
        <v>5137</v>
      </c>
      <c r="B1243" s="12" t="s">
        <v>5636</v>
      </c>
      <c r="C1243" s="12" t="s">
        <v>5637</v>
      </c>
      <c r="D1243" s="12" t="s">
        <v>207</v>
      </c>
      <c r="E1243" s="12" t="n">
        <v>2</v>
      </c>
      <c r="F1243" s="12" t="s">
        <v>3105</v>
      </c>
      <c r="G1243" s="12" t="s">
        <v>2310</v>
      </c>
      <c r="H1243" s="17"/>
      <c r="I1243" s="17"/>
      <c r="J1243" s="13" t="n">
        <v>42604</v>
      </c>
      <c r="K1243" s="12" t="n">
        <v>7.2</v>
      </c>
      <c r="L1243" s="12" t="s">
        <v>292</v>
      </c>
      <c r="M1243" s="12" t="s">
        <v>5638</v>
      </c>
    </row>
    <row r="1244" customFormat="false" ht="15" hidden="false" customHeight="false" outlineLevel="0" collapsed="false">
      <c r="A1244" s="12" t="s">
        <v>5137</v>
      </c>
      <c r="B1244" s="12" t="s">
        <v>5639</v>
      </c>
      <c r="C1244" s="12" t="s">
        <v>5640</v>
      </c>
      <c r="D1244" s="12" t="s">
        <v>358</v>
      </c>
      <c r="E1244" s="12" t="n">
        <v>2</v>
      </c>
      <c r="F1244" s="12" t="s">
        <v>3105</v>
      </c>
      <c r="G1244" s="12" t="s">
        <v>2310</v>
      </c>
      <c r="H1244" s="17"/>
      <c r="I1244" s="17"/>
      <c r="J1244" s="13" t="n">
        <v>30529</v>
      </c>
      <c r="K1244" s="12" t="n">
        <v>6.6</v>
      </c>
      <c r="L1244" s="12" t="s">
        <v>292</v>
      </c>
      <c r="M1244" s="12" t="s">
        <v>5641</v>
      </c>
    </row>
    <row r="1245" customFormat="false" ht="15" hidden="false" customHeight="false" outlineLevel="0" collapsed="false">
      <c r="A1245" s="12" t="s">
        <v>5137</v>
      </c>
      <c r="B1245" s="12" t="s">
        <v>5642</v>
      </c>
      <c r="C1245" s="12" t="s">
        <v>5643</v>
      </c>
      <c r="D1245" s="12" t="s">
        <v>1103</v>
      </c>
      <c r="E1245" s="12" t="n">
        <v>2</v>
      </c>
      <c r="F1245" s="12" t="s">
        <v>2688</v>
      </c>
      <c r="G1245" s="12" t="s">
        <v>2310</v>
      </c>
      <c r="H1245" s="17"/>
      <c r="I1245" s="17"/>
      <c r="J1245" s="13" t="n">
        <v>62678</v>
      </c>
      <c r="K1245" s="12" t="n">
        <v>7.6</v>
      </c>
      <c r="L1245" s="12" t="s">
        <v>674</v>
      </c>
      <c r="M1245" s="12" t="s">
        <v>5644</v>
      </c>
    </row>
    <row r="1246" customFormat="false" ht="15" hidden="false" customHeight="false" outlineLevel="0" collapsed="false">
      <c r="A1246" s="12" t="s">
        <v>5137</v>
      </c>
      <c r="B1246" s="12" t="s">
        <v>5645</v>
      </c>
      <c r="C1246" s="12" t="s">
        <v>5645</v>
      </c>
      <c r="D1246" s="12" t="s">
        <v>1103</v>
      </c>
      <c r="E1246" s="12" t="n">
        <v>2</v>
      </c>
      <c r="F1246" s="12" t="s">
        <v>3105</v>
      </c>
      <c r="G1246" s="12" t="s">
        <v>2310</v>
      </c>
      <c r="H1246" s="17"/>
      <c r="I1246" s="17"/>
      <c r="J1246" s="13" t="n">
        <v>28317</v>
      </c>
      <c r="K1246" s="12" t="n">
        <v>7.4</v>
      </c>
      <c r="L1246" s="12" t="s">
        <v>292</v>
      </c>
      <c r="M1246" s="12" t="s">
        <v>5646</v>
      </c>
    </row>
    <row r="1247" customFormat="false" ht="15" hidden="false" customHeight="false" outlineLevel="0" collapsed="false">
      <c r="A1247" s="12" t="s">
        <v>5137</v>
      </c>
      <c r="B1247" s="12" t="s">
        <v>5647</v>
      </c>
      <c r="C1247" s="12" t="s">
        <v>5648</v>
      </c>
      <c r="D1247" s="12" t="s">
        <v>146</v>
      </c>
      <c r="E1247" s="12" t="n">
        <v>1</v>
      </c>
      <c r="F1247" s="12" t="s">
        <v>5156</v>
      </c>
      <c r="G1247" s="12" t="s">
        <v>2405</v>
      </c>
      <c r="H1247" s="17"/>
      <c r="I1247" s="17"/>
      <c r="J1247" s="13" t="n">
        <v>69776</v>
      </c>
      <c r="K1247" s="12" t="n">
        <v>8.1</v>
      </c>
      <c r="L1247" s="12" t="s">
        <v>1891</v>
      </c>
      <c r="M1247" s="12" t="s">
        <v>5649</v>
      </c>
    </row>
    <row r="1248" customFormat="false" ht="15" hidden="false" customHeight="false" outlineLevel="0" collapsed="false">
      <c r="A1248" s="12" t="s">
        <v>5137</v>
      </c>
      <c r="B1248" s="12" t="s">
        <v>5650</v>
      </c>
      <c r="C1248" s="12" t="s">
        <v>5650</v>
      </c>
      <c r="D1248" s="12" t="s">
        <v>146</v>
      </c>
      <c r="E1248" s="12" t="n">
        <v>2</v>
      </c>
      <c r="F1248" s="12" t="s">
        <v>3105</v>
      </c>
      <c r="G1248" s="12" t="s">
        <v>2310</v>
      </c>
      <c r="H1248" s="17"/>
      <c r="I1248" s="17"/>
      <c r="J1248" s="13" t="n">
        <v>31417</v>
      </c>
      <c r="K1248" s="12" t="n">
        <v>6.8</v>
      </c>
      <c r="L1248" s="12" t="s">
        <v>292</v>
      </c>
      <c r="M1248" s="12" t="s">
        <v>5651</v>
      </c>
    </row>
    <row r="1249" customFormat="false" ht="15" hidden="false" customHeight="false" outlineLevel="0" collapsed="false">
      <c r="A1249" s="12" t="s">
        <v>5137</v>
      </c>
      <c r="B1249" s="12" t="s">
        <v>5652</v>
      </c>
      <c r="C1249" s="12" t="s">
        <v>5652</v>
      </c>
      <c r="D1249" s="12" t="s">
        <v>189</v>
      </c>
      <c r="E1249" s="12" t="n">
        <v>2</v>
      </c>
      <c r="F1249" s="12" t="s">
        <v>3105</v>
      </c>
      <c r="G1249" s="12" t="s">
        <v>2310</v>
      </c>
      <c r="H1249" s="17"/>
      <c r="I1249" s="17"/>
      <c r="J1249" s="13" t="n">
        <v>25002</v>
      </c>
      <c r="K1249" s="12" t="n">
        <v>5.5</v>
      </c>
      <c r="L1249" s="12" t="s">
        <v>292</v>
      </c>
      <c r="M1249" s="12" t="s">
        <v>5653</v>
      </c>
    </row>
    <row r="1250" customFormat="false" ht="15" hidden="false" customHeight="false" outlineLevel="0" collapsed="false">
      <c r="A1250" s="12" t="s">
        <v>5137</v>
      </c>
      <c r="B1250" s="12" t="s">
        <v>5654</v>
      </c>
      <c r="C1250" s="12" t="s">
        <v>5655</v>
      </c>
      <c r="D1250" s="12" t="s">
        <v>101</v>
      </c>
      <c r="E1250" s="12" t="n">
        <v>2</v>
      </c>
      <c r="F1250" s="12" t="s">
        <v>2688</v>
      </c>
      <c r="G1250" s="12" t="s">
        <v>2310</v>
      </c>
      <c r="H1250" s="17"/>
      <c r="I1250" s="17"/>
      <c r="J1250" s="13" t="n">
        <v>58834</v>
      </c>
      <c r="K1250" s="12" t="n">
        <v>6.2</v>
      </c>
      <c r="L1250" s="12" t="s">
        <v>674</v>
      </c>
      <c r="M1250" s="12" t="s">
        <v>5656</v>
      </c>
    </row>
    <row r="1251" customFormat="false" ht="15" hidden="false" customHeight="false" outlineLevel="0" collapsed="false">
      <c r="A1251" s="12" t="s">
        <v>5137</v>
      </c>
      <c r="B1251" s="12" t="s">
        <v>5657</v>
      </c>
      <c r="C1251" s="12" t="s">
        <v>5657</v>
      </c>
      <c r="D1251" s="12" t="s">
        <v>286</v>
      </c>
      <c r="E1251" s="12" t="n">
        <v>2</v>
      </c>
      <c r="F1251" s="12" t="s">
        <v>3105</v>
      </c>
      <c r="G1251" s="12" t="s">
        <v>2310</v>
      </c>
      <c r="H1251" s="17"/>
      <c r="I1251" s="17"/>
      <c r="J1251" s="13" t="n">
        <v>31921</v>
      </c>
      <c r="K1251" s="12" t="n">
        <v>7.4</v>
      </c>
      <c r="L1251" s="12" t="s">
        <v>292</v>
      </c>
      <c r="M1251" s="12" t="s">
        <v>5658</v>
      </c>
    </row>
    <row r="1252" customFormat="false" ht="15" hidden="false" customHeight="false" outlineLevel="0" collapsed="false">
      <c r="A1252" s="12" t="s">
        <v>5137</v>
      </c>
      <c r="B1252" s="12" t="s">
        <v>3122</v>
      </c>
      <c r="C1252" s="12" t="s">
        <v>5659</v>
      </c>
      <c r="D1252" s="12" t="s">
        <v>1103</v>
      </c>
      <c r="E1252" s="12" t="n">
        <v>2</v>
      </c>
      <c r="F1252" s="12" t="s">
        <v>2688</v>
      </c>
      <c r="G1252" s="12" t="s">
        <v>2310</v>
      </c>
      <c r="H1252" s="17"/>
      <c r="I1252" s="17"/>
      <c r="J1252" s="13" t="n">
        <v>57979</v>
      </c>
      <c r="K1252" s="12" t="n">
        <v>7.2</v>
      </c>
      <c r="L1252" s="12" t="s">
        <v>674</v>
      </c>
      <c r="M1252" s="12" t="s">
        <v>5660</v>
      </c>
    </row>
    <row r="1253" customFormat="false" ht="15" hidden="false" customHeight="false" outlineLevel="0" collapsed="false">
      <c r="A1253" s="12" t="s">
        <v>5137</v>
      </c>
      <c r="B1253" s="12" t="s">
        <v>5661</v>
      </c>
      <c r="C1253" s="12" t="s">
        <v>5661</v>
      </c>
      <c r="D1253" s="12" t="s">
        <v>118</v>
      </c>
      <c r="E1253" s="12" t="n">
        <v>2</v>
      </c>
      <c r="F1253" s="12" t="s">
        <v>2688</v>
      </c>
      <c r="G1253" s="12" t="s">
        <v>2310</v>
      </c>
      <c r="H1253" s="17"/>
      <c r="I1253" s="17"/>
      <c r="J1253" s="13" t="n">
        <v>57047</v>
      </c>
      <c r="K1253" s="12" t="n">
        <v>8.1</v>
      </c>
      <c r="L1253" s="12" t="s">
        <v>674</v>
      </c>
      <c r="M1253" s="12" t="s">
        <v>5662</v>
      </c>
    </row>
    <row r="1254" customFormat="false" ht="15" hidden="false" customHeight="false" outlineLevel="0" collapsed="false">
      <c r="A1254" s="12" t="s">
        <v>5137</v>
      </c>
      <c r="B1254" s="12" t="s">
        <v>5663</v>
      </c>
      <c r="C1254" s="12" t="s">
        <v>5664</v>
      </c>
      <c r="D1254" s="12" t="s">
        <v>118</v>
      </c>
      <c r="E1254" s="12" t="n">
        <v>1</v>
      </c>
      <c r="F1254" s="12" t="s">
        <v>5156</v>
      </c>
      <c r="G1254" s="12" t="s">
        <v>2405</v>
      </c>
      <c r="H1254" s="17"/>
      <c r="I1254" s="17"/>
      <c r="J1254" s="13" t="n">
        <v>65740</v>
      </c>
      <c r="K1254" s="12" t="n">
        <v>8.2</v>
      </c>
      <c r="L1254" s="12" t="s">
        <v>1891</v>
      </c>
      <c r="M1254" s="12" t="s">
        <v>5665</v>
      </c>
    </row>
    <row r="1255" customFormat="false" ht="15" hidden="false" customHeight="false" outlineLevel="0" collapsed="false">
      <c r="A1255" s="12" t="s">
        <v>5137</v>
      </c>
      <c r="B1255" s="12" t="s">
        <v>5666</v>
      </c>
      <c r="C1255" s="12" t="s">
        <v>5667</v>
      </c>
      <c r="D1255" s="12" t="s">
        <v>1103</v>
      </c>
      <c r="E1255" s="12" t="n">
        <v>2</v>
      </c>
      <c r="F1255" s="12" t="s">
        <v>3105</v>
      </c>
      <c r="G1255" s="12" t="s">
        <v>2310</v>
      </c>
      <c r="H1255" s="17"/>
      <c r="I1255" s="17"/>
      <c r="J1255" s="13" t="n">
        <v>13634</v>
      </c>
      <c r="K1255" s="12" t="n">
        <v>6.9</v>
      </c>
      <c r="L1255" s="12" t="s">
        <v>292</v>
      </c>
      <c r="M1255" s="12" t="s">
        <v>5668</v>
      </c>
    </row>
    <row r="1256" customFormat="false" ht="15" hidden="false" customHeight="false" outlineLevel="0" collapsed="false">
      <c r="A1256" s="12" t="s">
        <v>5137</v>
      </c>
      <c r="B1256" s="12" t="s">
        <v>5669</v>
      </c>
      <c r="C1256" s="12" t="s">
        <v>5669</v>
      </c>
      <c r="D1256" s="12" t="s">
        <v>140</v>
      </c>
      <c r="E1256" s="12" t="n">
        <v>1</v>
      </c>
      <c r="F1256" s="12" t="s">
        <v>5156</v>
      </c>
      <c r="G1256" s="12" t="s">
        <v>2405</v>
      </c>
      <c r="H1256" s="17"/>
      <c r="I1256" s="17"/>
      <c r="J1256" s="13" t="n">
        <v>65323</v>
      </c>
      <c r="K1256" s="12" t="n">
        <v>7.5</v>
      </c>
      <c r="L1256" s="12" t="s">
        <v>1891</v>
      </c>
      <c r="M1256" s="12" t="s">
        <v>5670</v>
      </c>
    </row>
    <row r="1257" customFormat="false" ht="15" hidden="false" customHeight="false" outlineLevel="0" collapsed="false">
      <c r="A1257" s="12" t="s">
        <v>5137</v>
      </c>
      <c r="B1257" s="12" t="s">
        <v>5671</v>
      </c>
      <c r="C1257" s="12" t="s">
        <v>5672</v>
      </c>
      <c r="D1257" s="12" t="s">
        <v>101</v>
      </c>
      <c r="E1257" s="12" t="n">
        <v>2</v>
      </c>
      <c r="F1257" s="12" t="s">
        <v>3105</v>
      </c>
      <c r="G1257" s="12" t="s">
        <v>2310</v>
      </c>
      <c r="H1257" s="17"/>
      <c r="I1257" s="17"/>
      <c r="J1257" s="13" t="n">
        <v>1176</v>
      </c>
      <c r="K1257" s="12" t="n">
        <v>7</v>
      </c>
      <c r="L1257" s="12" t="s">
        <v>292</v>
      </c>
      <c r="M1257" s="12" t="s">
        <v>5673</v>
      </c>
    </row>
    <row r="1258" customFormat="false" ht="15" hidden="false" customHeight="false" outlineLevel="0" collapsed="false">
      <c r="A1258" s="12" t="s">
        <v>5137</v>
      </c>
      <c r="B1258" s="12" t="s">
        <v>5674</v>
      </c>
      <c r="C1258" s="12" t="s">
        <v>5675</v>
      </c>
      <c r="D1258" s="12" t="s">
        <v>396</v>
      </c>
      <c r="E1258" s="12" t="n">
        <v>2</v>
      </c>
      <c r="F1258" s="12" t="s">
        <v>3105</v>
      </c>
      <c r="G1258" s="12" t="s">
        <v>2310</v>
      </c>
      <c r="H1258" s="17"/>
      <c r="I1258" s="17"/>
      <c r="J1258" s="13" t="n">
        <v>13694</v>
      </c>
      <c r="K1258" s="12" t="n">
        <v>7.1</v>
      </c>
      <c r="L1258" s="12" t="s">
        <v>292</v>
      </c>
      <c r="M1258" s="12" t="s">
        <v>5676</v>
      </c>
    </row>
    <row r="1259" customFormat="false" ht="15" hidden="false" customHeight="false" outlineLevel="0" collapsed="false">
      <c r="A1259" s="12" t="s">
        <v>5137</v>
      </c>
      <c r="B1259" s="12" t="s">
        <v>5677</v>
      </c>
      <c r="C1259" s="12" t="s">
        <v>5678</v>
      </c>
      <c r="D1259" s="12" t="s">
        <v>251</v>
      </c>
      <c r="E1259" s="12" t="n">
        <v>2</v>
      </c>
      <c r="F1259" s="12" t="s">
        <v>2309</v>
      </c>
      <c r="G1259" s="12" t="s">
        <v>2310</v>
      </c>
      <c r="H1259" s="17"/>
      <c r="I1259" s="17"/>
      <c r="J1259" s="13" t="n">
        <v>54906</v>
      </c>
      <c r="K1259" s="12" t="n">
        <v>7.5</v>
      </c>
      <c r="L1259" s="12" t="s">
        <v>128</v>
      </c>
      <c r="M1259" s="12" t="s">
        <v>5679</v>
      </c>
    </row>
    <row r="1260" customFormat="false" ht="15" hidden="false" customHeight="false" outlineLevel="0" collapsed="false">
      <c r="A1260" s="12" t="s">
        <v>5137</v>
      </c>
      <c r="B1260" s="12" t="s">
        <v>5680</v>
      </c>
      <c r="C1260" s="12" t="s">
        <v>5681</v>
      </c>
      <c r="D1260" s="12" t="s">
        <v>90</v>
      </c>
      <c r="E1260" s="12" t="n">
        <v>1</v>
      </c>
      <c r="F1260" s="12" t="s">
        <v>5156</v>
      </c>
      <c r="G1260" s="12" t="s">
        <v>2405</v>
      </c>
      <c r="H1260" s="17"/>
      <c r="I1260" s="17"/>
      <c r="J1260" s="13" t="n">
        <v>61570</v>
      </c>
      <c r="K1260" s="12" t="n">
        <v>8.7</v>
      </c>
      <c r="L1260" s="12" t="s">
        <v>1891</v>
      </c>
      <c r="M1260" s="12" t="s">
        <v>5682</v>
      </c>
    </row>
    <row r="1261" customFormat="false" ht="15" hidden="false" customHeight="false" outlineLevel="0" collapsed="false">
      <c r="A1261" s="12" t="s">
        <v>5137</v>
      </c>
      <c r="C1261" s="12" t="s">
        <v>5683</v>
      </c>
      <c r="D1261" s="12" t="s">
        <v>146</v>
      </c>
      <c r="E1261" s="12" t="n">
        <v>2</v>
      </c>
      <c r="F1261" s="12" t="s">
        <v>3105</v>
      </c>
      <c r="G1261" s="12" t="s">
        <v>2310</v>
      </c>
      <c r="H1261" s="17"/>
      <c r="I1261" s="17"/>
      <c r="J1261" s="13" t="n">
        <v>11860</v>
      </c>
      <c r="K1261" s="12" t="n">
        <v>7.3</v>
      </c>
      <c r="L1261" s="12" t="s">
        <v>292</v>
      </c>
      <c r="M1261" s="12" t="s">
        <v>5684</v>
      </c>
    </row>
    <row r="1262" customFormat="false" ht="15" hidden="false" customHeight="false" outlineLevel="0" collapsed="false">
      <c r="A1262" s="12" t="s">
        <v>5137</v>
      </c>
      <c r="B1262" s="12" t="s">
        <v>5685</v>
      </c>
      <c r="C1262" s="12" t="s">
        <v>5685</v>
      </c>
      <c r="D1262" s="12" t="s">
        <v>90</v>
      </c>
      <c r="E1262" s="12" t="n">
        <v>2</v>
      </c>
      <c r="F1262" s="12" t="s">
        <v>2688</v>
      </c>
      <c r="G1262" s="12" t="s">
        <v>2310</v>
      </c>
      <c r="H1262" s="17"/>
      <c r="I1262" s="17"/>
      <c r="J1262" s="13" t="n">
        <v>54301</v>
      </c>
      <c r="K1262" s="12" t="n">
        <v>7.4</v>
      </c>
      <c r="L1262" s="12" t="s">
        <v>674</v>
      </c>
      <c r="M1262" s="12" t="s">
        <v>5686</v>
      </c>
    </row>
    <row r="1263" customFormat="false" ht="15" hidden="false" customHeight="false" outlineLevel="0" collapsed="false">
      <c r="A1263" s="12" t="s">
        <v>5137</v>
      </c>
      <c r="C1263" s="12" t="s">
        <v>5687</v>
      </c>
      <c r="D1263" s="12" t="s">
        <v>251</v>
      </c>
      <c r="E1263" s="12" t="n">
        <v>2</v>
      </c>
      <c r="F1263" s="12" t="s">
        <v>5173</v>
      </c>
      <c r="G1263" s="12" t="s">
        <v>2310</v>
      </c>
      <c r="H1263" s="17"/>
      <c r="I1263" s="17"/>
      <c r="J1263" s="13" t="n">
        <v>27512</v>
      </c>
      <c r="K1263" s="12" t="n">
        <v>6.2</v>
      </c>
      <c r="L1263" s="12" t="s">
        <v>1834</v>
      </c>
      <c r="M1263" s="12" t="s">
        <v>5688</v>
      </c>
    </row>
    <row r="1264" customFormat="false" ht="15" hidden="false" customHeight="false" outlineLevel="0" collapsed="false">
      <c r="A1264" s="12" t="s">
        <v>5137</v>
      </c>
      <c r="B1264" s="12" t="s">
        <v>5689</v>
      </c>
      <c r="C1264" s="12" t="s">
        <v>5690</v>
      </c>
      <c r="D1264" s="12" t="s">
        <v>111</v>
      </c>
      <c r="E1264" s="12" t="n">
        <v>2</v>
      </c>
      <c r="F1264" s="12" t="s">
        <v>3105</v>
      </c>
      <c r="G1264" s="12" t="s">
        <v>2310</v>
      </c>
      <c r="H1264" s="17"/>
      <c r="I1264" s="17"/>
      <c r="J1264" s="13" t="n">
        <v>26180</v>
      </c>
      <c r="K1264" s="12" t="n">
        <v>7.1</v>
      </c>
      <c r="L1264" s="12" t="s">
        <v>292</v>
      </c>
      <c r="M1264" s="12" t="s">
        <v>5691</v>
      </c>
    </row>
    <row r="1265" customFormat="false" ht="15" hidden="false" customHeight="false" outlineLevel="0" collapsed="false">
      <c r="A1265" s="12" t="s">
        <v>5137</v>
      </c>
      <c r="C1265" s="12" t="s">
        <v>5692</v>
      </c>
      <c r="D1265" s="12" t="s">
        <v>500</v>
      </c>
      <c r="E1265" s="12" t="n">
        <v>2</v>
      </c>
      <c r="F1265" s="12" t="s">
        <v>3105</v>
      </c>
      <c r="G1265" s="12" t="s">
        <v>2310</v>
      </c>
      <c r="H1265" s="17"/>
      <c r="I1265" s="17"/>
      <c r="J1265" s="13" t="n">
        <v>12437</v>
      </c>
      <c r="K1265" s="12" t="n">
        <v>7.1</v>
      </c>
      <c r="L1265" s="12" t="s">
        <v>292</v>
      </c>
      <c r="M1265" s="12" t="s">
        <v>5693</v>
      </c>
    </row>
    <row r="1266" customFormat="false" ht="15" hidden="false" customHeight="false" outlineLevel="0" collapsed="false">
      <c r="A1266" s="12" t="s">
        <v>5137</v>
      </c>
      <c r="B1266" s="12" t="s">
        <v>5694</v>
      </c>
      <c r="C1266" s="12" t="s">
        <v>5695</v>
      </c>
      <c r="D1266" s="12" t="s">
        <v>273</v>
      </c>
      <c r="E1266" s="12" t="n">
        <v>2</v>
      </c>
      <c r="F1266" s="12" t="s">
        <v>3105</v>
      </c>
      <c r="G1266" s="12" t="s">
        <v>2310</v>
      </c>
      <c r="H1266" s="17"/>
      <c r="I1266" s="17"/>
      <c r="J1266" s="13" t="n">
        <v>9291</v>
      </c>
      <c r="K1266" s="12" t="n">
        <v>7.5</v>
      </c>
      <c r="L1266" s="12" t="s">
        <v>292</v>
      </c>
      <c r="M1266" s="12" t="s">
        <v>5696</v>
      </c>
    </row>
    <row r="1267" customFormat="false" ht="15" hidden="false" customHeight="false" outlineLevel="0" collapsed="false">
      <c r="A1267" s="12" t="s">
        <v>5137</v>
      </c>
      <c r="C1267" s="12" t="s">
        <v>5697</v>
      </c>
      <c r="D1267" s="12" t="s">
        <v>140</v>
      </c>
      <c r="E1267" s="12" t="n">
        <v>2</v>
      </c>
      <c r="F1267" s="12" t="s">
        <v>3105</v>
      </c>
      <c r="G1267" s="12" t="s">
        <v>2310</v>
      </c>
      <c r="H1267" s="17"/>
      <c r="I1267" s="17"/>
      <c r="J1267" s="13" t="n">
        <v>7788</v>
      </c>
      <c r="K1267" s="12" t="n">
        <v>7.3</v>
      </c>
      <c r="L1267" s="12" t="s">
        <v>292</v>
      </c>
      <c r="M1267" s="12" t="s">
        <v>5698</v>
      </c>
    </row>
    <row r="1268" customFormat="false" ht="15" hidden="false" customHeight="false" outlineLevel="0" collapsed="false">
      <c r="A1268" s="12" t="s">
        <v>5137</v>
      </c>
      <c r="B1268" s="12" t="s">
        <v>5699</v>
      </c>
      <c r="C1268" s="12" t="s">
        <v>5700</v>
      </c>
      <c r="D1268" s="12" t="s">
        <v>505</v>
      </c>
      <c r="E1268" s="12" t="n">
        <v>2</v>
      </c>
      <c r="F1268" s="12" t="s">
        <v>2309</v>
      </c>
      <c r="G1268" s="12" t="s">
        <v>2310</v>
      </c>
      <c r="H1268" s="17"/>
      <c r="I1268" s="17"/>
      <c r="J1268" s="13" t="n">
        <v>52376</v>
      </c>
      <c r="K1268" s="12" t="n">
        <v>7.5</v>
      </c>
      <c r="L1268" s="12" t="s">
        <v>128</v>
      </c>
      <c r="M1268" s="12" t="s">
        <v>5701</v>
      </c>
    </row>
    <row r="1269" customFormat="false" ht="15" hidden="false" customHeight="false" outlineLevel="0" collapsed="false">
      <c r="A1269" s="12" t="s">
        <v>5137</v>
      </c>
      <c r="B1269" s="12" t="s">
        <v>5702</v>
      </c>
      <c r="C1269" s="12" t="s">
        <v>5702</v>
      </c>
      <c r="D1269" s="12" t="s">
        <v>158</v>
      </c>
      <c r="E1269" s="12" t="n">
        <v>1</v>
      </c>
      <c r="F1269" s="12" t="s">
        <v>5156</v>
      </c>
      <c r="G1269" s="12" t="s">
        <v>2405</v>
      </c>
      <c r="H1269" s="17"/>
      <c r="I1269" s="17"/>
      <c r="J1269" s="13" t="n">
        <v>57324</v>
      </c>
      <c r="K1269" s="12" t="n">
        <v>8.7</v>
      </c>
      <c r="L1269" s="12" t="s">
        <v>1891</v>
      </c>
      <c r="M1269" s="12" t="s">
        <v>5703</v>
      </c>
    </row>
    <row r="1270" customFormat="false" ht="15" hidden="false" customHeight="false" outlineLevel="0" collapsed="false">
      <c r="A1270" s="12" t="s">
        <v>5137</v>
      </c>
      <c r="B1270" s="12" t="s">
        <v>5704</v>
      </c>
      <c r="C1270" s="12" t="s">
        <v>5704</v>
      </c>
      <c r="D1270" s="12" t="s">
        <v>111</v>
      </c>
      <c r="E1270" s="12" t="n">
        <v>2</v>
      </c>
      <c r="F1270" s="12" t="s">
        <v>3105</v>
      </c>
      <c r="G1270" s="12" t="s">
        <v>2310</v>
      </c>
      <c r="H1270" s="17"/>
      <c r="I1270" s="17"/>
      <c r="J1270" s="13" t="n">
        <v>19656</v>
      </c>
      <c r="K1270" s="12" t="n">
        <v>6.4</v>
      </c>
      <c r="L1270" s="12" t="s">
        <v>292</v>
      </c>
      <c r="M1270" s="12" t="s">
        <v>5705</v>
      </c>
    </row>
    <row r="1271" customFormat="false" ht="15" hidden="false" customHeight="false" outlineLevel="0" collapsed="false">
      <c r="A1271" s="12" t="s">
        <v>5137</v>
      </c>
      <c r="B1271" s="12" t="s">
        <v>5706</v>
      </c>
      <c r="C1271" s="12" t="s">
        <v>5707</v>
      </c>
      <c r="D1271" s="12" t="s">
        <v>101</v>
      </c>
      <c r="E1271" s="12" t="n">
        <v>2</v>
      </c>
      <c r="F1271" s="12" t="s">
        <v>2309</v>
      </c>
      <c r="G1271" s="12" t="s">
        <v>2310</v>
      </c>
      <c r="H1271" s="17"/>
      <c r="I1271" s="17"/>
      <c r="J1271" s="13" t="n">
        <v>52156</v>
      </c>
      <c r="K1271" s="12" t="n">
        <v>7.9</v>
      </c>
      <c r="L1271" s="12" t="s">
        <v>128</v>
      </c>
      <c r="M1271" s="12" t="s">
        <v>5708</v>
      </c>
    </row>
    <row r="1272" customFormat="false" ht="15" hidden="false" customHeight="false" outlineLevel="0" collapsed="false">
      <c r="A1272" s="12" t="s">
        <v>5137</v>
      </c>
      <c r="B1272" s="12" t="s">
        <v>5709</v>
      </c>
      <c r="C1272" s="12" t="s">
        <v>5709</v>
      </c>
      <c r="D1272" s="12" t="s">
        <v>207</v>
      </c>
      <c r="E1272" s="12" t="n">
        <v>2</v>
      </c>
      <c r="F1272" s="12" t="s">
        <v>2309</v>
      </c>
      <c r="G1272" s="12" t="s">
        <v>2310</v>
      </c>
      <c r="H1272" s="17"/>
      <c r="I1272" s="17"/>
      <c r="J1272" s="13" t="n">
        <v>52076</v>
      </c>
      <c r="K1272" s="12" t="n">
        <v>8.5</v>
      </c>
      <c r="L1272" s="12" t="s">
        <v>128</v>
      </c>
      <c r="M1272" s="12" t="s">
        <v>5710</v>
      </c>
    </row>
    <row r="1273" customFormat="false" ht="15" hidden="false" customHeight="false" outlineLevel="0" collapsed="false">
      <c r="A1273" s="12" t="s">
        <v>5137</v>
      </c>
      <c r="C1273" s="12" t="s">
        <v>5711</v>
      </c>
      <c r="D1273" s="12" t="s">
        <v>273</v>
      </c>
      <c r="E1273" s="12" t="n">
        <v>2</v>
      </c>
      <c r="F1273" s="12" t="s">
        <v>3105</v>
      </c>
      <c r="G1273" s="12" t="s">
        <v>2310</v>
      </c>
      <c r="H1273" s="17"/>
      <c r="I1273" s="17"/>
      <c r="J1273" s="13" t="n">
        <v>63</v>
      </c>
      <c r="K1273" s="12" t="n">
        <v>5.6</v>
      </c>
      <c r="L1273" s="12" t="s">
        <v>292</v>
      </c>
      <c r="M1273" s="12" t="s">
        <v>5712</v>
      </c>
    </row>
    <row r="1274" customFormat="false" ht="15" hidden="false" customHeight="false" outlineLevel="0" collapsed="false">
      <c r="A1274" s="12" t="s">
        <v>5137</v>
      </c>
      <c r="B1274" s="12" t="s">
        <v>5713</v>
      </c>
      <c r="C1274" s="12" t="s">
        <v>5714</v>
      </c>
      <c r="D1274" s="12" t="s">
        <v>214</v>
      </c>
      <c r="E1274" s="12" t="n">
        <v>1</v>
      </c>
      <c r="F1274" s="12" t="s">
        <v>5156</v>
      </c>
      <c r="G1274" s="12" t="s">
        <v>2405</v>
      </c>
      <c r="H1274" s="17"/>
      <c r="I1274" s="17"/>
      <c r="J1274" s="13" t="n">
        <v>56298</v>
      </c>
      <c r="K1274" s="12" t="n">
        <v>8.4</v>
      </c>
      <c r="L1274" s="12" t="s">
        <v>1891</v>
      </c>
      <c r="M1274" s="12" t="s">
        <v>5715</v>
      </c>
    </row>
    <row r="1275" customFormat="false" ht="15" hidden="false" customHeight="false" outlineLevel="0" collapsed="false">
      <c r="A1275" s="12" t="s">
        <v>5137</v>
      </c>
      <c r="B1275" s="12" t="s">
        <v>5716</v>
      </c>
      <c r="C1275" s="12" t="s">
        <v>5716</v>
      </c>
      <c r="D1275" s="12" t="s">
        <v>251</v>
      </c>
      <c r="E1275" s="12" t="n">
        <v>2</v>
      </c>
      <c r="F1275" s="12" t="s">
        <v>2688</v>
      </c>
      <c r="G1275" s="12" t="s">
        <v>2310</v>
      </c>
      <c r="H1275" s="17"/>
      <c r="I1275" s="17"/>
      <c r="J1275" s="13" t="n">
        <v>51287</v>
      </c>
      <c r="K1275" s="12" t="n">
        <v>7.4</v>
      </c>
      <c r="L1275" s="12" t="s">
        <v>674</v>
      </c>
      <c r="M1275" s="12" t="s">
        <v>5717</v>
      </c>
    </row>
    <row r="1276" customFormat="false" ht="15" hidden="false" customHeight="false" outlineLevel="0" collapsed="false">
      <c r="A1276" s="12" t="s">
        <v>5137</v>
      </c>
      <c r="B1276" s="12" t="s">
        <v>5718</v>
      </c>
      <c r="C1276" s="12" t="s">
        <v>5719</v>
      </c>
      <c r="D1276" s="12" t="s">
        <v>321</v>
      </c>
      <c r="E1276" s="12" t="n">
        <v>2</v>
      </c>
      <c r="F1276" s="12" t="s">
        <v>3105</v>
      </c>
      <c r="G1276" s="12" t="s">
        <v>2310</v>
      </c>
      <c r="H1276" s="17"/>
      <c r="I1276" s="17"/>
      <c r="J1276" s="13" t="n">
        <v>4508</v>
      </c>
      <c r="K1276" s="12" t="n">
        <v>7.2</v>
      </c>
      <c r="L1276" s="12" t="s">
        <v>292</v>
      </c>
      <c r="M1276" s="12" t="s">
        <v>5720</v>
      </c>
    </row>
    <row r="1277" customFormat="false" ht="15" hidden="false" customHeight="false" outlineLevel="0" collapsed="false">
      <c r="A1277" s="12" t="s">
        <v>5137</v>
      </c>
      <c r="B1277" s="12" t="s">
        <v>5721</v>
      </c>
      <c r="C1277" s="12" t="s">
        <v>5722</v>
      </c>
      <c r="D1277" s="12" t="s">
        <v>500</v>
      </c>
      <c r="E1277" s="12" t="n">
        <v>2</v>
      </c>
      <c r="F1277" s="12" t="s">
        <v>3105</v>
      </c>
      <c r="G1277" s="12" t="s">
        <v>2310</v>
      </c>
      <c r="H1277" s="17"/>
      <c r="I1277" s="17"/>
      <c r="J1277" s="13" t="n">
        <v>15285</v>
      </c>
      <c r="K1277" s="12" t="n">
        <v>7.2</v>
      </c>
      <c r="L1277" s="12" t="s">
        <v>292</v>
      </c>
      <c r="M1277" s="12" t="s">
        <v>5723</v>
      </c>
    </row>
    <row r="1278" customFormat="false" ht="15" hidden="false" customHeight="false" outlineLevel="0" collapsed="false">
      <c r="A1278" s="12" t="s">
        <v>5137</v>
      </c>
      <c r="B1278" s="12" t="s">
        <v>5724</v>
      </c>
      <c r="C1278" s="12" t="s">
        <v>1775</v>
      </c>
      <c r="D1278" s="12" t="s">
        <v>118</v>
      </c>
      <c r="E1278" s="12" t="n">
        <v>2</v>
      </c>
      <c r="F1278" s="12" t="s">
        <v>2688</v>
      </c>
      <c r="G1278" s="12" t="s">
        <v>2310</v>
      </c>
      <c r="H1278" s="17"/>
      <c r="I1278" s="17"/>
      <c r="J1278" s="13" t="n">
        <v>50690</v>
      </c>
      <c r="K1278" s="12" t="n">
        <v>4.2</v>
      </c>
      <c r="L1278" s="12" t="s">
        <v>674</v>
      </c>
      <c r="M1278" s="12" t="s">
        <v>5725</v>
      </c>
    </row>
    <row r="1279" customFormat="false" ht="15" hidden="false" customHeight="false" outlineLevel="0" collapsed="false">
      <c r="A1279" s="12" t="s">
        <v>5137</v>
      </c>
      <c r="B1279" s="12" t="s">
        <v>5726</v>
      </c>
      <c r="C1279" s="12" t="s">
        <v>5727</v>
      </c>
      <c r="D1279" s="12" t="s">
        <v>158</v>
      </c>
      <c r="E1279" s="12" t="n">
        <v>2</v>
      </c>
      <c r="F1279" s="12" t="s">
        <v>3105</v>
      </c>
      <c r="G1279" s="12" t="s">
        <v>2310</v>
      </c>
      <c r="H1279" s="17"/>
      <c r="I1279" s="17"/>
      <c r="J1279" s="13" t="n">
        <v>20438</v>
      </c>
      <c r="K1279" s="12" t="n">
        <v>6.8</v>
      </c>
      <c r="L1279" s="12" t="s">
        <v>292</v>
      </c>
      <c r="M1279" s="12" t="s">
        <v>5728</v>
      </c>
    </row>
    <row r="1280" customFormat="false" ht="15" hidden="false" customHeight="false" outlineLevel="0" collapsed="false">
      <c r="A1280" s="12" t="s">
        <v>5137</v>
      </c>
      <c r="B1280" s="12" t="s">
        <v>5729</v>
      </c>
      <c r="C1280" s="12" t="s">
        <v>5730</v>
      </c>
      <c r="D1280" s="12" t="s">
        <v>183</v>
      </c>
      <c r="E1280" s="12" t="n">
        <v>2</v>
      </c>
      <c r="F1280" s="12" t="s">
        <v>3105</v>
      </c>
      <c r="G1280" s="12" t="s">
        <v>2310</v>
      </c>
      <c r="H1280" s="17"/>
      <c r="I1280" s="17"/>
      <c r="J1280" s="13" t="n">
        <v>14691</v>
      </c>
      <c r="K1280" s="12" t="n">
        <v>8.1</v>
      </c>
      <c r="L1280" s="12" t="s">
        <v>292</v>
      </c>
      <c r="M1280" s="12" t="s">
        <v>5731</v>
      </c>
    </row>
    <row r="1281" customFormat="false" ht="15" hidden="false" customHeight="false" outlineLevel="0" collapsed="false">
      <c r="A1281" s="12" t="s">
        <v>5137</v>
      </c>
      <c r="B1281" s="12" t="s">
        <v>5732</v>
      </c>
      <c r="C1281" s="12" t="s">
        <v>5733</v>
      </c>
      <c r="D1281" s="12" t="s">
        <v>118</v>
      </c>
      <c r="E1281" s="12" t="n">
        <v>2</v>
      </c>
      <c r="F1281" s="12" t="s">
        <v>2688</v>
      </c>
      <c r="G1281" s="12" t="s">
        <v>2310</v>
      </c>
      <c r="H1281" s="17"/>
      <c r="I1281" s="17"/>
      <c r="J1281" s="13" t="n">
        <v>48306</v>
      </c>
      <c r="K1281" s="12" t="n">
        <v>7.7</v>
      </c>
      <c r="L1281" s="12" t="s">
        <v>674</v>
      </c>
      <c r="M1281" s="12" t="s">
        <v>5734</v>
      </c>
    </row>
    <row r="1282" customFormat="false" ht="15" hidden="false" customHeight="false" outlineLevel="0" collapsed="false">
      <c r="A1282" s="12" t="s">
        <v>5137</v>
      </c>
      <c r="B1282" s="12" t="s">
        <v>5735</v>
      </c>
      <c r="C1282" s="12" t="s">
        <v>5736</v>
      </c>
      <c r="D1282" s="12" t="s">
        <v>118</v>
      </c>
      <c r="E1282" s="12" t="n">
        <v>2</v>
      </c>
      <c r="F1282" s="12" t="s">
        <v>2688</v>
      </c>
      <c r="G1282" s="12" t="s">
        <v>2310</v>
      </c>
      <c r="H1282" s="17"/>
      <c r="I1282" s="17"/>
      <c r="J1282" s="13" t="n">
        <v>48270</v>
      </c>
      <c r="K1282" s="12" t="n">
        <v>6.7</v>
      </c>
      <c r="L1282" s="12" t="s">
        <v>674</v>
      </c>
      <c r="M1282" s="12" t="s">
        <v>5737</v>
      </c>
    </row>
    <row r="1283" customFormat="false" ht="15" hidden="false" customHeight="false" outlineLevel="0" collapsed="false">
      <c r="A1283" s="12" t="s">
        <v>5137</v>
      </c>
      <c r="B1283" s="12" t="s">
        <v>5738</v>
      </c>
      <c r="C1283" s="12" t="s">
        <v>5738</v>
      </c>
      <c r="D1283" s="12" t="s">
        <v>111</v>
      </c>
      <c r="E1283" s="12" t="n">
        <v>2</v>
      </c>
      <c r="F1283" s="12" t="s">
        <v>3105</v>
      </c>
      <c r="G1283" s="12" t="s">
        <v>2310</v>
      </c>
      <c r="H1283" s="17"/>
      <c r="I1283" s="17"/>
      <c r="J1283" s="13" t="n">
        <v>9570</v>
      </c>
      <c r="K1283" s="12" t="n">
        <v>6.7</v>
      </c>
      <c r="L1283" s="12" t="s">
        <v>292</v>
      </c>
      <c r="M1283" s="12" t="s">
        <v>5739</v>
      </c>
    </row>
    <row r="1284" customFormat="false" ht="15" hidden="false" customHeight="false" outlineLevel="0" collapsed="false">
      <c r="A1284" s="12" t="s">
        <v>5137</v>
      </c>
      <c r="B1284" s="12" t="s">
        <v>5740</v>
      </c>
      <c r="C1284" s="12" t="s">
        <v>5740</v>
      </c>
      <c r="D1284" s="12" t="s">
        <v>111</v>
      </c>
      <c r="E1284" s="12" t="n">
        <v>2</v>
      </c>
      <c r="F1284" s="12" t="s">
        <v>3105</v>
      </c>
      <c r="G1284" s="12" t="s">
        <v>2310</v>
      </c>
      <c r="H1284" s="17"/>
      <c r="I1284" s="17"/>
      <c r="J1284" s="13" t="n">
        <v>14845</v>
      </c>
      <c r="K1284" s="12" t="n">
        <v>5.9</v>
      </c>
      <c r="L1284" s="12" t="s">
        <v>292</v>
      </c>
      <c r="M1284" s="12" t="s">
        <v>5741</v>
      </c>
    </row>
    <row r="1285" customFormat="false" ht="15" hidden="false" customHeight="false" outlineLevel="0" collapsed="false">
      <c r="A1285" s="12" t="s">
        <v>5137</v>
      </c>
      <c r="B1285" s="12" t="s">
        <v>5742</v>
      </c>
      <c r="C1285" s="12" t="s">
        <v>5743</v>
      </c>
      <c r="D1285" s="12" t="s">
        <v>214</v>
      </c>
      <c r="E1285" s="12" t="n">
        <v>2</v>
      </c>
      <c r="F1285" s="12" t="s">
        <v>3105</v>
      </c>
      <c r="G1285" s="12" t="s">
        <v>2310</v>
      </c>
      <c r="H1285" s="17"/>
      <c r="I1285" s="17"/>
      <c r="J1285" s="13" t="n">
        <v>7148</v>
      </c>
      <c r="K1285" s="12" t="n">
        <v>7.3</v>
      </c>
      <c r="L1285" s="12" t="s">
        <v>292</v>
      </c>
      <c r="M1285" s="12" t="s">
        <v>5744</v>
      </c>
    </row>
    <row r="1286" customFormat="false" ht="15" hidden="false" customHeight="false" outlineLevel="0" collapsed="false">
      <c r="A1286" s="12" t="s">
        <v>5137</v>
      </c>
      <c r="B1286" s="12" t="s">
        <v>5745</v>
      </c>
      <c r="C1286" s="12" t="s">
        <v>5746</v>
      </c>
      <c r="D1286" s="12" t="s">
        <v>396</v>
      </c>
      <c r="E1286" s="12" t="n">
        <v>1</v>
      </c>
      <c r="F1286" s="12" t="s">
        <v>5156</v>
      </c>
      <c r="G1286" s="12" t="s">
        <v>2405</v>
      </c>
      <c r="H1286" s="17"/>
      <c r="I1286" s="17"/>
      <c r="J1286" s="13" t="n">
        <v>53184</v>
      </c>
      <c r="K1286" s="12" t="n">
        <v>7.2</v>
      </c>
      <c r="L1286" s="12" t="s">
        <v>1891</v>
      </c>
      <c r="M1286" s="12" t="s">
        <v>5747</v>
      </c>
    </row>
    <row r="1287" customFormat="false" ht="15" hidden="false" customHeight="false" outlineLevel="0" collapsed="false">
      <c r="A1287" s="12" t="s">
        <v>5137</v>
      </c>
      <c r="B1287" s="12" t="s">
        <v>5748</v>
      </c>
      <c r="C1287" s="12" t="s">
        <v>5749</v>
      </c>
      <c r="D1287" s="12" t="s">
        <v>396</v>
      </c>
      <c r="E1287" s="12" t="n">
        <v>2</v>
      </c>
      <c r="F1287" s="12" t="s">
        <v>3105</v>
      </c>
      <c r="G1287" s="12" t="s">
        <v>2310</v>
      </c>
      <c r="H1287" s="17"/>
      <c r="I1287" s="17"/>
      <c r="J1287" s="13" t="n">
        <v>6644</v>
      </c>
      <c r="K1287" s="12" t="n">
        <v>7.5</v>
      </c>
      <c r="L1287" s="12" t="s">
        <v>292</v>
      </c>
      <c r="M1287" s="12" t="s">
        <v>5750</v>
      </c>
    </row>
    <row r="1288" customFormat="false" ht="15" hidden="false" customHeight="false" outlineLevel="0" collapsed="false">
      <c r="A1288" s="12" t="s">
        <v>5137</v>
      </c>
      <c r="B1288" s="12" t="s">
        <v>5751</v>
      </c>
      <c r="C1288" s="12" t="s">
        <v>5751</v>
      </c>
      <c r="D1288" s="12" t="s">
        <v>183</v>
      </c>
      <c r="E1288" s="12" t="n">
        <v>2</v>
      </c>
      <c r="F1288" s="12" t="s">
        <v>3105</v>
      </c>
      <c r="G1288" s="12" t="s">
        <v>2310</v>
      </c>
      <c r="H1288" s="17"/>
      <c r="I1288" s="17"/>
      <c r="J1288" s="13" t="n">
        <v>19514</v>
      </c>
      <c r="K1288" s="12" t="n">
        <v>8</v>
      </c>
      <c r="L1288" s="12" t="s">
        <v>292</v>
      </c>
      <c r="M1288" s="12" t="s">
        <v>5752</v>
      </c>
    </row>
    <row r="1289" customFormat="false" ht="15" hidden="false" customHeight="false" outlineLevel="0" collapsed="false">
      <c r="A1289" s="12" t="s">
        <v>5137</v>
      </c>
      <c r="B1289" s="12" t="s">
        <v>5753</v>
      </c>
      <c r="C1289" s="12" t="s">
        <v>5753</v>
      </c>
      <c r="D1289" s="12" t="s">
        <v>183</v>
      </c>
      <c r="E1289" s="12" t="n">
        <v>2</v>
      </c>
      <c r="F1289" s="12" t="s">
        <v>2309</v>
      </c>
      <c r="G1289" s="12" t="s">
        <v>2310</v>
      </c>
      <c r="H1289" s="17"/>
      <c r="I1289" s="17"/>
      <c r="J1289" s="13" t="n">
        <v>47297</v>
      </c>
      <c r="K1289" s="12" t="n">
        <v>8.3</v>
      </c>
      <c r="L1289" s="12" t="s">
        <v>128</v>
      </c>
      <c r="M1289" s="12" t="s">
        <v>5754</v>
      </c>
    </row>
    <row r="1290" customFormat="false" ht="15" hidden="false" customHeight="false" outlineLevel="0" collapsed="false">
      <c r="A1290" s="12" t="s">
        <v>5137</v>
      </c>
      <c r="B1290" s="12" t="s">
        <v>5755</v>
      </c>
      <c r="C1290" s="12" t="s">
        <v>5755</v>
      </c>
      <c r="D1290" s="12" t="s">
        <v>101</v>
      </c>
      <c r="E1290" s="12" t="n">
        <v>2</v>
      </c>
      <c r="F1290" s="12" t="s">
        <v>2688</v>
      </c>
      <c r="G1290" s="12" t="s">
        <v>2310</v>
      </c>
      <c r="H1290" s="17"/>
      <c r="I1290" s="17"/>
      <c r="J1290" s="13" t="n">
        <v>46506</v>
      </c>
      <c r="K1290" s="12" t="n">
        <v>7.8</v>
      </c>
      <c r="L1290" s="12" t="s">
        <v>674</v>
      </c>
      <c r="M1290" s="12" t="s">
        <v>5756</v>
      </c>
    </row>
    <row r="1291" customFormat="false" ht="15" hidden="false" customHeight="false" outlineLevel="0" collapsed="false">
      <c r="A1291" s="12" t="s">
        <v>5137</v>
      </c>
      <c r="B1291" s="12" t="s">
        <v>5757</v>
      </c>
      <c r="C1291" s="12" t="s">
        <v>5758</v>
      </c>
      <c r="D1291" s="12" t="s">
        <v>175</v>
      </c>
      <c r="E1291" s="12" t="n">
        <v>2</v>
      </c>
      <c r="F1291" s="12" t="s">
        <v>2309</v>
      </c>
      <c r="G1291" s="12" t="s">
        <v>2310</v>
      </c>
      <c r="H1291" s="17"/>
      <c r="I1291" s="17"/>
      <c r="J1291" s="13" t="n">
        <v>46300</v>
      </c>
      <c r="K1291" s="12" t="n">
        <v>7.7</v>
      </c>
      <c r="L1291" s="12" t="s">
        <v>128</v>
      </c>
      <c r="M1291" s="12" t="s">
        <v>5759</v>
      </c>
    </row>
    <row r="1292" customFormat="false" ht="15" hidden="false" customHeight="false" outlineLevel="0" collapsed="false">
      <c r="A1292" s="12" t="s">
        <v>5137</v>
      </c>
      <c r="B1292" s="12" t="s">
        <v>5760</v>
      </c>
      <c r="C1292" s="12" t="s">
        <v>5760</v>
      </c>
      <c r="D1292" s="12" t="s">
        <v>183</v>
      </c>
      <c r="E1292" s="12" t="n">
        <v>2</v>
      </c>
      <c r="F1292" s="12" t="s">
        <v>3105</v>
      </c>
      <c r="G1292" s="12" t="s">
        <v>2310</v>
      </c>
      <c r="H1292" s="17"/>
      <c r="I1292" s="17"/>
      <c r="J1292" s="13" t="n">
        <v>12474</v>
      </c>
      <c r="K1292" s="12" t="n">
        <v>5.5</v>
      </c>
      <c r="L1292" s="12" t="s">
        <v>292</v>
      </c>
      <c r="M1292" s="12" t="s">
        <v>5761</v>
      </c>
    </row>
    <row r="1293" customFormat="false" ht="15" hidden="false" customHeight="false" outlineLevel="0" collapsed="false">
      <c r="A1293" s="12" t="s">
        <v>5137</v>
      </c>
      <c r="B1293" s="12" t="s">
        <v>5762</v>
      </c>
      <c r="C1293" s="12" t="s">
        <v>5763</v>
      </c>
      <c r="D1293" s="12" t="s">
        <v>118</v>
      </c>
      <c r="E1293" s="12" t="n">
        <v>2</v>
      </c>
      <c r="F1293" s="12" t="s">
        <v>2309</v>
      </c>
      <c r="G1293" s="12" t="s">
        <v>2310</v>
      </c>
      <c r="H1293" s="17"/>
      <c r="I1293" s="17"/>
      <c r="J1293" s="13" t="n">
        <v>45307</v>
      </c>
      <c r="K1293" s="12" t="n">
        <v>7.6</v>
      </c>
      <c r="L1293" s="12" t="s">
        <v>128</v>
      </c>
      <c r="M1293" s="12" t="s">
        <v>5764</v>
      </c>
    </row>
    <row r="1294" customFormat="false" ht="15" hidden="false" customHeight="false" outlineLevel="0" collapsed="false">
      <c r="A1294" s="12" t="s">
        <v>5137</v>
      </c>
      <c r="B1294" s="12" t="s">
        <v>5765</v>
      </c>
      <c r="C1294" s="12" t="s">
        <v>5766</v>
      </c>
      <c r="D1294" s="12" t="s">
        <v>202</v>
      </c>
      <c r="E1294" s="12" t="n">
        <v>2</v>
      </c>
      <c r="F1294" s="12" t="s">
        <v>3105</v>
      </c>
      <c r="G1294" s="12" t="s">
        <v>2310</v>
      </c>
      <c r="H1294" s="17"/>
      <c r="I1294" s="17"/>
      <c r="J1294" s="13" t="n">
        <v>5974</v>
      </c>
      <c r="K1294" s="12" t="n">
        <v>6</v>
      </c>
      <c r="L1294" s="12" t="s">
        <v>292</v>
      </c>
      <c r="M1294" s="12" t="s">
        <v>5767</v>
      </c>
    </row>
    <row r="1295" customFormat="false" ht="15" hidden="false" customHeight="false" outlineLevel="0" collapsed="false">
      <c r="A1295" s="12" t="s">
        <v>5137</v>
      </c>
      <c r="B1295" s="12" t="s">
        <v>5768</v>
      </c>
      <c r="C1295" s="12" t="s">
        <v>5768</v>
      </c>
      <c r="D1295" s="12" t="s">
        <v>118</v>
      </c>
      <c r="E1295" s="12" t="n">
        <v>2</v>
      </c>
      <c r="F1295" s="12" t="s">
        <v>2688</v>
      </c>
      <c r="G1295" s="12" t="s">
        <v>2310</v>
      </c>
      <c r="H1295" s="17"/>
      <c r="I1295" s="17"/>
      <c r="J1295" s="13" t="n">
        <v>44551</v>
      </c>
      <c r="K1295" s="12" t="n">
        <v>7.5</v>
      </c>
      <c r="L1295" s="12" t="s">
        <v>674</v>
      </c>
      <c r="M1295" s="12" t="s">
        <v>5769</v>
      </c>
    </row>
    <row r="1296" customFormat="false" ht="15" hidden="false" customHeight="false" outlineLevel="0" collapsed="false">
      <c r="A1296" s="12" t="s">
        <v>5137</v>
      </c>
      <c r="C1296" s="12" t="s">
        <v>5770</v>
      </c>
      <c r="D1296" s="12" t="s">
        <v>396</v>
      </c>
      <c r="E1296" s="12" t="n">
        <v>2</v>
      </c>
      <c r="F1296" s="12" t="s">
        <v>3105</v>
      </c>
      <c r="G1296" s="12" t="s">
        <v>2310</v>
      </c>
      <c r="H1296" s="17"/>
      <c r="I1296" s="17"/>
      <c r="J1296" s="13" t="n">
        <v>150</v>
      </c>
      <c r="K1296" s="12" t="n">
        <v>5.5</v>
      </c>
      <c r="L1296" s="12" t="s">
        <v>292</v>
      </c>
      <c r="M1296" s="12" t="s">
        <v>5771</v>
      </c>
    </row>
    <row r="1297" customFormat="false" ht="15" hidden="false" customHeight="false" outlineLevel="0" collapsed="false">
      <c r="A1297" s="12" t="s">
        <v>5137</v>
      </c>
      <c r="B1297" s="12" t="s">
        <v>5772</v>
      </c>
      <c r="C1297" s="12" t="s">
        <v>5772</v>
      </c>
      <c r="D1297" s="12" t="s">
        <v>118</v>
      </c>
      <c r="E1297" s="12" t="n">
        <v>2</v>
      </c>
      <c r="F1297" s="12" t="s">
        <v>2688</v>
      </c>
      <c r="G1297" s="12" t="s">
        <v>2310</v>
      </c>
      <c r="H1297" s="17"/>
      <c r="I1297" s="17"/>
      <c r="J1297" s="13" t="n">
        <v>44313</v>
      </c>
      <c r="K1297" s="12" t="n">
        <v>7.2</v>
      </c>
      <c r="L1297" s="12" t="s">
        <v>674</v>
      </c>
      <c r="M1297" s="12" t="s">
        <v>5773</v>
      </c>
    </row>
    <row r="1298" customFormat="false" ht="15" hidden="false" customHeight="false" outlineLevel="0" collapsed="false">
      <c r="A1298" s="12" t="s">
        <v>5137</v>
      </c>
      <c r="C1298" s="12" t="s">
        <v>5774</v>
      </c>
      <c r="D1298" s="12" t="s">
        <v>127</v>
      </c>
      <c r="E1298" s="12" t="n">
        <v>2</v>
      </c>
      <c r="F1298" s="12" t="s">
        <v>3105</v>
      </c>
      <c r="G1298" s="12" t="s">
        <v>2310</v>
      </c>
      <c r="H1298" s="17"/>
      <c r="I1298" s="17"/>
      <c r="J1298" s="13" t="n">
        <v>3718</v>
      </c>
      <c r="K1298" s="12" t="n">
        <v>6.9</v>
      </c>
      <c r="L1298" s="12" t="s">
        <v>292</v>
      </c>
      <c r="M1298" s="12" t="s">
        <v>5775</v>
      </c>
    </row>
    <row r="1299" customFormat="false" ht="15" hidden="false" customHeight="false" outlineLevel="0" collapsed="false">
      <c r="A1299" s="12" t="s">
        <v>5137</v>
      </c>
      <c r="B1299" s="12" t="s">
        <v>5776</v>
      </c>
      <c r="C1299" s="12" t="s">
        <v>5777</v>
      </c>
      <c r="D1299" s="12" t="s">
        <v>111</v>
      </c>
      <c r="E1299" s="12" t="n">
        <v>2</v>
      </c>
      <c r="F1299" s="12" t="s">
        <v>3105</v>
      </c>
      <c r="G1299" s="12" t="s">
        <v>2310</v>
      </c>
      <c r="H1299" s="17"/>
      <c r="I1299" s="17"/>
      <c r="J1299" s="13" t="n">
        <v>7998</v>
      </c>
      <c r="K1299" s="12" t="n">
        <v>7</v>
      </c>
      <c r="L1299" s="12" t="s">
        <v>292</v>
      </c>
      <c r="M1299" s="12" t="s">
        <v>5778</v>
      </c>
    </row>
    <row r="1300" customFormat="false" ht="15" hidden="false" customHeight="false" outlineLevel="0" collapsed="false">
      <c r="A1300" s="12" t="s">
        <v>5137</v>
      </c>
      <c r="B1300" s="12" t="s">
        <v>5779</v>
      </c>
      <c r="C1300" s="12" t="s">
        <v>5780</v>
      </c>
      <c r="D1300" s="12" t="s">
        <v>90</v>
      </c>
      <c r="E1300" s="12" t="n">
        <v>2</v>
      </c>
      <c r="F1300" s="12" t="s">
        <v>2688</v>
      </c>
      <c r="G1300" s="12" t="s">
        <v>2310</v>
      </c>
      <c r="H1300" s="17"/>
      <c r="I1300" s="17"/>
      <c r="J1300" s="13" t="n">
        <v>44059</v>
      </c>
      <c r="K1300" s="12" t="n">
        <v>8.3</v>
      </c>
      <c r="L1300" s="12" t="s">
        <v>674</v>
      </c>
      <c r="M1300" s="12" t="s">
        <v>5781</v>
      </c>
    </row>
    <row r="1301" customFormat="false" ht="15" hidden="false" customHeight="false" outlineLevel="0" collapsed="false">
      <c r="A1301" s="12" t="s">
        <v>5137</v>
      </c>
      <c r="B1301" s="12" t="s">
        <v>5782</v>
      </c>
      <c r="C1301" s="12" t="s">
        <v>5782</v>
      </c>
      <c r="D1301" s="12" t="s">
        <v>183</v>
      </c>
      <c r="E1301" s="12" t="n">
        <v>1</v>
      </c>
      <c r="F1301" s="12" t="s">
        <v>5156</v>
      </c>
      <c r="G1301" s="12" t="s">
        <v>2405</v>
      </c>
      <c r="H1301" s="17"/>
      <c r="I1301" s="17"/>
      <c r="J1301" s="13" t="n">
        <v>47657</v>
      </c>
      <c r="K1301" s="12" t="n">
        <v>8.3</v>
      </c>
      <c r="L1301" s="12" t="s">
        <v>1891</v>
      </c>
      <c r="M1301" s="12" t="s">
        <v>5783</v>
      </c>
    </row>
    <row r="1302" customFormat="false" ht="15" hidden="false" customHeight="false" outlineLevel="0" collapsed="false">
      <c r="A1302" s="12" t="s">
        <v>5137</v>
      </c>
      <c r="B1302" s="12" t="s">
        <v>5784</v>
      </c>
      <c r="C1302" s="12" t="s">
        <v>5785</v>
      </c>
      <c r="D1302" s="12" t="s">
        <v>189</v>
      </c>
      <c r="E1302" s="12" t="n">
        <v>2</v>
      </c>
      <c r="F1302" s="12" t="s">
        <v>3105</v>
      </c>
      <c r="G1302" s="12" t="s">
        <v>2310</v>
      </c>
      <c r="H1302" s="17"/>
      <c r="I1302" s="17"/>
      <c r="J1302" s="13" t="n">
        <v>11819</v>
      </c>
      <c r="K1302" s="12" t="n">
        <v>7</v>
      </c>
      <c r="L1302" s="12" t="s">
        <v>292</v>
      </c>
      <c r="M1302" s="12" t="s">
        <v>5786</v>
      </c>
    </row>
    <row r="1303" customFormat="false" ht="15" hidden="false" customHeight="false" outlineLevel="0" collapsed="false">
      <c r="A1303" s="12" t="s">
        <v>5137</v>
      </c>
      <c r="B1303" s="12" t="s">
        <v>5787</v>
      </c>
      <c r="C1303" s="12" t="s">
        <v>5787</v>
      </c>
      <c r="D1303" s="12" t="s">
        <v>152</v>
      </c>
      <c r="E1303" s="12" t="n">
        <v>1</v>
      </c>
      <c r="F1303" s="12" t="s">
        <v>5156</v>
      </c>
      <c r="G1303" s="12" t="s">
        <v>2405</v>
      </c>
      <c r="H1303" s="17"/>
      <c r="I1303" s="17"/>
      <c r="J1303" s="13" t="n">
        <v>47497</v>
      </c>
      <c r="K1303" s="12" t="n">
        <v>7.7</v>
      </c>
      <c r="L1303" s="12" t="s">
        <v>1891</v>
      </c>
      <c r="M1303" s="12" t="s">
        <v>5788</v>
      </c>
    </row>
    <row r="1304" customFormat="false" ht="15" hidden="false" customHeight="false" outlineLevel="0" collapsed="false">
      <c r="A1304" s="12" t="s">
        <v>5137</v>
      </c>
      <c r="C1304" s="12" t="s">
        <v>5789</v>
      </c>
      <c r="D1304" s="12" t="s">
        <v>265</v>
      </c>
      <c r="E1304" s="12" t="n">
        <v>2</v>
      </c>
      <c r="F1304" s="12" t="s">
        <v>5173</v>
      </c>
      <c r="G1304" s="12" t="s">
        <v>2310</v>
      </c>
      <c r="H1304" s="17"/>
      <c r="I1304" s="17"/>
      <c r="J1304" s="13" t="n">
        <v>21396</v>
      </c>
      <c r="K1304" s="12" t="n">
        <v>8.4</v>
      </c>
      <c r="L1304" s="12" t="s">
        <v>1834</v>
      </c>
      <c r="M1304" s="12" t="s">
        <v>5790</v>
      </c>
    </row>
    <row r="1305" customFormat="false" ht="15" hidden="false" customHeight="false" outlineLevel="0" collapsed="false">
      <c r="A1305" s="12" t="s">
        <v>5137</v>
      </c>
      <c r="B1305" s="12" t="s">
        <v>5791</v>
      </c>
      <c r="C1305" s="12" t="s">
        <v>5792</v>
      </c>
      <c r="D1305" s="12" t="s">
        <v>90</v>
      </c>
      <c r="E1305" s="12" t="n">
        <v>2</v>
      </c>
      <c r="F1305" s="12" t="s">
        <v>2688</v>
      </c>
      <c r="G1305" s="12" t="s">
        <v>2310</v>
      </c>
      <c r="H1305" s="17"/>
      <c r="I1305" s="17"/>
      <c r="J1305" s="13" t="n">
        <v>40883</v>
      </c>
      <c r="K1305" s="12" t="n">
        <v>5.3</v>
      </c>
      <c r="L1305" s="12" t="s">
        <v>674</v>
      </c>
      <c r="M1305" s="12" t="s">
        <v>5793</v>
      </c>
    </row>
    <row r="1306" customFormat="false" ht="15" hidden="false" customHeight="false" outlineLevel="0" collapsed="false">
      <c r="A1306" s="12" t="s">
        <v>5137</v>
      </c>
      <c r="B1306" s="12" t="s">
        <v>5794</v>
      </c>
      <c r="C1306" s="12" t="s">
        <v>5795</v>
      </c>
      <c r="D1306" s="12" t="s">
        <v>202</v>
      </c>
      <c r="E1306" s="12" t="n">
        <v>1</v>
      </c>
      <c r="F1306" s="12" t="s">
        <v>5156</v>
      </c>
      <c r="G1306" s="12" t="s">
        <v>2405</v>
      </c>
      <c r="H1306" s="17"/>
      <c r="I1306" s="17"/>
      <c r="J1306" s="13" t="n">
        <v>46217</v>
      </c>
      <c r="K1306" s="12" t="n">
        <v>8.1</v>
      </c>
      <c r="L1306" s="12" t="s">
        <v>1891</v>
      </c>
      <c r="M1306" s="12" t="s">
        <v>5796</v>
      </c>
    </row>
    <row r="1307" customFormat="false" ht="15" hidden="false" customHeight="false" outlineLevel="0" collapsed="false">
      <c r="A1307" s="12" t="s">
        <v>5137</v>
      </c>
      <c r="C1307" s="12" t="s">
        <v>5797</v>
      </c>
      <c r="D1307" s="12" t="s">
        <v>140</v>
      </c>
      <c r="E1307" s="12" t="n">
        <v>2</v>
      </c>
      <c r="F1307" s="12" t="s">
        <v>3105</v>
      </c>
      <c r="G1307" s="12" t="s">
        <v>2310</v>
      </c>
      <c r="H1307" s="17"/>
      <c r="I1307" s="17"/>
      <c r="J1307" s="13" t="n">
        <v>2240</v>
      </c>
      <c r="K1307" s="12" t="n">
        <v>5.5</v>
      </c>
      <c r="L1307" s="12" t="s">
        <v>292</v>
      </c>
      <c r="M1307" s="12" t="s">
        <v>5798</v>
      </c>
    </row>
    <row r="1308" customFormat="false" ht="15" hidden="false" customHeight="false" outlineLevel="0" collapsed="false">
      <c r="A1308" s="12" t="s">
        <v>5137</v>
      </c>
      <c r="B1308" s="12" t="s">
        <v>5799</v>
      </c>
      <c r="C1308" s="12" t="s">
        <v>5799</v>
      </c>
      <c r="D1308" s="12" t="s">
        <v>214</v>
      </c>
      <c r="E1308" s="12" t="n">
        <v>2</v>
      </c>
      <c r="F1308" s="12" t="s">
        <v>3105</v>
      </c>
      <c r="G1308" s="12" t="s">
        <v>2310</v>
      </c>
      <c r="H1308" s="17"/>
      <c r="I1308" s="17"/>
      <c r="J1308" s="13" t="n">
        <v>6306</v>
      </c>
      <c r="K1308" s="12" t="n">
        <v>6.2</v>
      </c>
      <c r="L1308" s="12" t="s">
        <v>292</v>
      </c>
      <c r="M1308" s="12" t="s">
        <v>5800</v>
      </c>
    </row>
    <row r="1309" customFormat="false" ht="15" hidden="false" customHeight="false" outlineLevel="0" collapsed="false">
      <c r="A1309" s="12" t="s">
        <v>5137</v>
      </c>
      <c r="B1309" s="12" t="s">
        <v>5801</v>
      </c>
      <c r="C1309" s="12" t="s">
        <v>5802</v>
      </c>
      <c r="D1309" s="12" t="s">
        <v>118</v>
      </c>
      <c r="E1309" s="12" t="n">
        <v>2</v>
      </c>
      <c r="F1309" s="12" t="s">
        <v>2309</v>
      </c>
      <c r="G1309" s="12" t="s">
        <v>2310</v>
      </c>
      <c r="H1309" s="17"/>
      <c r="I1309" s="17"/>
      <c r="J1309" s="13" t="n">
        <v>38815</v>
      </c>
      <c r="K1309" s="12" t="n">
        <v>8.5</v>
      </c>
      <c r="L1309" s="12" t="s">
        <v>128</v>
      </c>
      <c r="M1309" s="12" t="s">
        <v>5803</v>
      </c>
    </row>
    <row r="1310" customFormat="false" ht="15" hidden="false" customHeight="false" outlineLevel="0" collapsed="false">
      <c r="A1310" s="12" t="s">
        <v>5137</v>
      </c>
      <c r="B1310" s="12" t="s">
        <v>5804</v>
      </c>
      <c r="C1310" s="12" t="s">
        <v>5805</v>
      </c>
      <c r="D1310" s="12" t="s">
        <v>273</v>
      </c>
      <c r="E1310" s="12" t="n">
        <v>2</v>
      </c>
      <c r="F1310" s="12" t="s">
        <v>3105</v>
      </c>
      <c r="G1310" s="12" t="s">
        <v>2310</v>
      </c>
      <c r="H1310" s="17"/>
      <c r="I1310" s="17"/>
      <c r="J1310" s="13" t="n">
        <v>766</v>
      </c>
      <c r="K1310" s="12" t="n">
        <v>6.4</v>
      </c>
      <c r="L1310" s="12" t="s">
        <v>292</v>
      </c>
      <c r="M1310" s="12" t="s">
        <v>5806</v>
      </c>
    </row>
    <row r="1311" customFormat="false" ht="15" hidden="false" customHeight="false" outlineLevel="0" collapsed="false">
      <c r="A1311" s="12" t="s">
        <v>5137</v>
      </c>
      <c r="B1311" s="12" t="s">
        <v>5807</v>
      </c>
      <c r="C1311" s="12" t="s">
        <v>5807</v>
      </c>
      <c r="D1311" s="12" t="s">
        <v>90</v>
      </c>
      <c r="E1311" s="12" t="n">
        <v>2</v>
      </c>
      <c r="F1311" s="12" t="s">
        <v>2309</v>
      </c>
      <c r="G1311" s="12" t="s">
        <v>2310</v>
      </c>
      <c r="H1311" s="17"/>
      <c r="I1311" s="17"/>
      <c r="J1311" s="13" t="n">
        <v>38397</v>
      </c>
      <c r="K1311" s="12" t="n">
        <v>8.2</v>
      </c>
      <c r="L1311" s="12" t="s">
        <v>128</v>
      </c>
      <c r="M1311" s="12" t="s">
        <v>5808</v>
      </c>
    </row>
    <row r="1312" customFormat="false" ht="15" hidden="false" customHeight="false" outlineLevel="0" collapsed="false">
      <c r="A1312" s="12" t="s">
        <v>5137</v>
      </c>
      <c r="B1312" s="12" t="s">
        <v>5809</v>
      </c>
      <c r="C1312" s="12" t="s">
        <v>5809</v>
      </c>
      <c r="D1312" s="12" t="s">
        <v>1103</v>
      </c>
      <c r="E1312" s="12" t="n">
        <v>2</v>
      </c>
      <c r="F1312" s="12" t="s">
        <v>2688</v>
      </c>
      <c r="G1312" s="12" t="s">
        <v>2310</v>
      </c>
      <c r="H1312" s="17"/>
      <c r="I1312" s="17"/>
      <c r="J1312" s="13" t="n">
        <v>38038</v>
      </c>
      <c r="K1312" s="12" t="n">
        <v>7.9</v>
      </c>
      <c r="L1312" s="12" t="s">
        <v>674</v>
      </c>
      <c r="M1312" s="12" t="s">
        <v>5810</v>
      </c>
    </row>
    <row r="1313" customFormat="false" ht="15" hidden="false" customHeight="false" outlineLevel="0" collapsed="false">
      <c r="A1313" s="12" t="s">
        <v>5137</v>
      </c>
      <c r="B1313" s="12" t="s">
        <v>5811</v>
      </c>
      <c r="C1313" s="12" t="s">
        <v>5812</v>
      </c>
      <c r="D1313" s="12" t="s">
        <v>286</v>
      </c>
      <c r="E1313" s="12" t="n">
        <v>1</v>
      </c>
      <c r="F1313" s="12" t="s">
        <v>5156</v>
      </c>
      <c r="G1313" s="12" t="s">
        <v>2405</v>
      </c>
      <c r="H1313" s="17"/>
      <c r="I1313" s="17"/>
      <c r="J1313" s="13" t="n">
        <v>44400</v>
      </c>
      <c r="K1313" s="12" t="n">
        <v>7.9</v>
      </c>
      <c r="L1313" s="12" t="s">
        <v>1891</v>
      </c>
      <c r="M1313" s="12" t="s">
        <v>5813</v>
      </c>
    </row>
    <row r="1314" customFormat="false" ht="15" hidden="false" customHeight="false" outlineLevel="0" collapsed="false">
      <c r="A1314" s="12" t="s">
        <v>5137</v>
      </c>
      <c r="B1314" s="12" t="s">
        <v>5814</v>
      </c>
      <c r="C1314" s="12" t="s">
        <v>5815</v>
      </c>
      <c r="D1314" s="12" t="s">
        <v>111</v>
      </c>
      <c r="E1314" s="12" t="n">
        <v>2</v>
      </c>
      <c r="F1314" s="12" t="s">
        <v>5179</v>
      </c>
      <c r="G1314" s="12" t="s">
        <v>2310</v>
      </c>
      <c r="H1314" s="17"/>
      <c r="I1314" s="17"/>
      <c r="J1314" s="13" t="n">
        <v>37343</v>
      </c>
      <c r="K1314" s="12" t="n">
        <v>8</v>
      </c>
      <c r="L1314" s="12" t="s">
        <v>2232</v>
      </c>
      <c r="M1314" s="12" t="s">
        <v>5816</v>
      </c>
    </row>
    <row r="1315" customFormat="false" ht="15" hidden="false" customHeight="false" outlineLevel="0" collapsed="false">
      <c r="A1315" s="12" t="s">
        <v>5137</v>
      </c>
      <c r="B1315" s="12" t="s">
        <v>5817</v>
      </c>
      <c r="C1315" s="12" t="s">
        <v>5817</v>
      </c>
      <c r="D1315" s="12" t="s">
        <v>1103</v>
      </c>
      <c r="E1315" s="12" t="n">
        <v>1</v>
      </c>
      <c r="F1315" s="12" t="s">
        <v>5156</v>
      </c>
      <c r="G1315" s="12" t="s">
        <v>2405</v>
      </c>
      <c r="H1315" s="17"/>
      <c r="I1315" s="17"/>
      <c r="J1315" s="13" t="n">
        <v>43705</v>
      </c>
      <c r="K1315" s="12" t="n">
        <v>7.2</v>
      </c>
      <c r="L1315" s="12" t="s">
        <v>1891</v>
      </c>
      <c r="M1315" s="12" t="s">
        <v>5818</v>
      </c>
    </row>
    <row r="1316" customFormat="false" ht="15" hidden="false" customHeight="false" outlineLevel="0" collapsed="false">
      <c r="A1316" s="12" t="s">
        <v>5137</v>
      </c>
      <c r="B1316" s="12" t="s">
        <v>5819</v>
      </c>
      <c r="C1316" s="12" t="s">
        <v>5819</v>
      </c>
      <c r="D1316" s="12" t="s">
        <v>207</v>
      </c>
      <c r="E1316" s="12" t="n">
        <v>2</v>
      </c>
      <c r="F1316" s="12" t="s">
        <v>2688</v>
      </c>
      <c r="G1316" s="12" t="s">
        <v>2310</v>
      </c>
      <c r="H1316" s="17"/>
      <c r="I1316" s="17"/>
      <c r="J1316" s="13" t="n">
        <v>36408</v>
      </c>
      <c r="K1316" s="12" t="n">
        <v>8.3</v>
      </c>
      <c r="L1316" s="12" t="s">
        <v>674</v>
      </c>
      <c r="M1316" s="12" t="s">
        <v>5820</v>
      </c>
    </row>
    <row r="1317" customFormat="false" ht="15" hidden="false" customHeight="false" outlineLevel="0" collapsed="false">
      <c r="A1317" s="12" t="s">
        <v>5137</v>
      </c>
      <c r="B1317" s="12" t="s">
        <v>5821</v>
      </c>
      <c r="C1317" s="12" t="s">
        <v>5822</v>
      </c>
      <c r="D1317" s="12" t="s">
        <v>127</v>
      </c>
      <c r="E1317" s="12" t="n">
        <v>1</v>
      </c>
      <c r="F1317" s="12" t="s">
        <v>5156</v>
      </c>
      <c r="G1317" s="12" t="s">
        <v>2405</v>
      </c>
      <c r="H1317" s="17"/>
      <c r="I1317" s="17"/>
      <c r="J1317" s="13" t="n">
        <v>43591</v>
      </c>
      <c r="K1317" s="12" t="n">
        <v>6.7</v>
      </c>
      <c r="L1317" s="12" t="s">
        <v>1891</v>
      </c>
      <c r="M1317" s="12" t="s">
        <v>5823</v>
      </c>
    </row>
    <row r="1318" customFormat="false" ht="15" hidden="false" customHeight="false" outlineLevel="0" collapsed="false">
      <c r="A1318" s="12" t="s">
        <v>5137</v>
      </c>
      <c r="B1318" s="12" t="s">
        <v>5824</v>
      </c>
      <c r="C1318" s="12" t="s">
        <v>5825</v>
      </c>
      <c r="D1318" s="12" t="s">
        <v>101</v>
      </c>
      <c r="E1318" s="12" t="n">
        <v>2</v>
      </c>
      <c r="F1318" s="12" t="s">
        <v>2688</v>
      </c>
      <c r="G1318" s="12" t="s">
        <v>2310</v>
      </c>
      <c r="H1318" s="17"/>
      <c r="I1318" s="17"/>
      <c r="J1318" s="13" t="n">
        <v>35806</v>
      </c>
      <c r="K1318" s="12" t="n">
        <v>7.7</v>
      </c>
      <c r="L1318" s="12" t="s">
        <v>674</v>
      </c>
      <c r="M1318" s="12" t="s">
        <v>5826</v>
      </c>
    </row>
    <row r="1319" customFormat="false" ht="15" hidden="false" customHeight="false" outlineLevel="0" collapsed="false">
      <c r="A1319" s="12" t="s">
        <v>5137</v>
      </c>
      <c r="B1319" s="12" t="s">
        <v>5827</v>
      </c>
      <c r="C1319" s="12" t="s">
        <v>5828</v>
      </c>
      <c r="D1319" s="12" t="s">
        <v>146</v>
      </c>
      <c r="E1319" s="12" t="n">
        <v>1</v>
      </c>
      <c r="F1319" s="12" t="s">
        <v>5156</v>
      </c>
      <c r="G1319" s="12" t="s">
        <v>2405</v>
      </c>
      <c r="H1319" s="17"/>
      <c r="I1319" s="17"/>
      <c r="J1319" s="13" t="n">
        <v>42983</v>
      </c>
      <c r="K1319" s="12" t="n">
        <v>7</v>
      </c>
      <c r="L1319" s="12" t="s">
        <v>1891</v>
      </c>
      <c r="M1319" s="12" t="s">
        <v>5829</v>
      </c>
    </row>
    <row r="1320" customFormat="false" ht="15" hidden="false" customHeight="false" outlineLevel="0" collapsed="false">
      <c r="A1320" s="12" t="s">
        <v>5137</v>
      </c>
      <c r="B1320" s="12" t="s">
        <v>5830</v>
      </c>
      <c r="C1320" s="12" t="s">
        <v>5831</v>
      </c>
      <c r="D1320" s="12" t="s">
        <v>286</v>
      </c>
      <c r="E1320" s="12" t="n">
        <v>2</v>
      </c>
      <c r="F1320" s="12" t="s">
        <v>3105</v>
      </c>
      <c r="G1320" s="12" t="s">
        <v>2310</v>
      </c>
      <c r="H1320" s="17"/>
      <c r="I1320" s="17"/>
      <c r="J1320" s="13" t="n">
        <v>1354</v>
      </c>
      <c r="K1320" s="12" t="n">
        <v>4.8</v>
      </c>
      <c r="L1320" s="12" t="s">
        <v>292</v>
      </c>
      <c r="M1320" s="12" t="s">
        <v>5832</v>
      </c>
    </row>
    <row r="1321" customFormat="false" ht="15" hidden="false" customHeight="false" outlineLevel="0" collapsed="false">
      <c r="A1321" s="12" t="s">
        <v>5137</v>
      </c>
      <c r="B1321" s="12" t="s">
        <v>5833</v>
      </c>
      <c r="C1321" s="12" t="s">
        <v>5833</v>
      </c>
      <c r="D1321" s="12" t="s">
        <v>202</v>
      </c>
      <c r="E1321" s="12" t="n">
        <v>2</v>
      </c>
      <c r="F1321" s="12" t="s">
        <v>2309</v>
      </c>
      <c r="G1321" s="12" t="s">
        <v>2310</v>
      </c>
      <c r="H1321" s="17"/>
      <c r="I1321" s="17"/>
      <c r="J1321" s="13" t="n">
        <v>34653</v>
      </c>
      <c r="K1321" s="12" t="n">
        <v>7.7</v>
      </c>
      <c r="L1321" s="12" t="s">
        <v>128</v>
      </c>
      <c r="M1321" s="12" t="s">
        <v>5834</v>
      </c>
    </row>
    <row r="1322" customFormat="false" ht="15" hidden="false" customHeight="false" outlineLevel="0" collapsed="false">
      <c r="A1322" s="12" t="s">
        <v>5137</v>
      </c>
      <c r="B1322" s="12" t="s">
        <v>5835</v>
      </c>
      <c r="C1322" s="12" t="s">
        <v>5836</v>
      </c>
      <c r="D1322" s="12" t="s">
        <v>273</v>
      </c>
      <c r="E1322" s="12" t="n">
        <v>2</v>
      </c>
      <c r="F1322" s="12" t="s">
        <v>3105</v>
      </c>
      <c r="G1322" s="12" t="s">
        <v>2310</v>
      </c>
      <c r="H1322" s="17"/>
      <c r="I1322" s="17"/>
      <c r="J1322" s="13" t="n">
        <v>202</v>
      </c>
      <c r="K1322" s="12" t="n">
        <v>3.7</v>
      </c>
      <c r="L1322" s="12" t="s">
        <v>292</v>
      </c>
      <c r="M1322" s="12" t="s">
        <v>5837</v>
      </c>
    </row>
    <row r="1323" customFormat="false" ht="15" hidden="false" customHeight="false" outlineLevel="0" collapsed="false">
      <c r="A1323" s="12" t="s">
        <v>5137</v>
      </c>
      <c r="B1323" s="12" t="s">
        <v>5838</v>
      </c>
      <c r="C1323" s="12" t="s">
        <v>5838</v>
      </c>
      <c r="D1323" s="12" t="s">
        <v>207</v>
      </c>
      <c r="E1323" s="12" t="n">
        <v>2</v>
      </c>
      <c r="F1323" s="12" t="s">
        <v>2688</v>
      </c>
      <c r="G1323" s="12" t="s">
        <v>2310</v>
      </c>
      <c r="H1323" s="17"/>
      <c r="I1323" s="17"/>
      <c r="J1323" s="13" t="n">
        <v>34522</v>
      </c>
      <c r="K1323" s="12" t="n">
        <v>7.6</v>
      </c>
      <c r="L1323" s="12" t="s">
        <v>674</v>
      </c>
      <c r="M1323" s="12" t="s">
        <v>5839</v>
      </c>
    </row>
    <row r="1324" customFormat="false" ht="15" hidden="false" customHeight="false" outlineLevel="0" collapsed="false">
      <c r="A1324" s="12" t="s">
        <v>5137</v>
      </c>
      <c r="B1324" s="12" t="s">
        <v>5840</v>
      </c>
      <c r="C1324" s="12" t="s">
        <v>5841</v>
      </c>
      <c r="D1324" s="12" t="s">
        <v>118</v>
      </c>
      <c r="E1324" s="12" t="n">
        <v>1</v>
      </c>
      <c r="F1324" s="12" t="s">
        <v>5156</v>
      </c>
      <c r="G1324" s="12" t="s">
        <v>2405</v>
      </c>
      <c r="H1324" s="17"/>
      <c r="I1324" s="17"/>
      <c r="J1324" s="13" t="n">
        <v>40282</v>
      </c>
      <c r="K1324" s="12" t="n">
        <v>8.5</v>
      </c>
      <c r="L1324" s="12" t="s">
        <v>1891</v>
      </c>
      <c r="M1324" s="12" t="s">
        <v>5842</v>
      </c>
    </row>
    <row r="1325" customFormat="false" ht="15" hidden="false" customHeight="false" outlineLevel="0" collapsed="false">
      <c r="A1325" s="12" t="s">
        <v>5137</v>
      </c>
      <c r="B1325" s="12" t="s">
        <v>5843</v>
      </c>
      <c r="C1325" s="12" t="s">
        <v>5844</v>
      </c>
      <c r="D1325" s="12" t="s">
        <v>101</v>
      </c>
      <c r="E1325" s="12" t="n">
        <v>2</v>
      </c>
      <c r="F1325" s="12" t="s">
        <v>2688</v>
      </c>
      <c r="G1325" s="12" t="s">
        <v>2310</v>
      </c>
      <c r="H1325" s="17"/>
      <c r="I1325" s="17"/>
      <c r="J1325" s="13" t="n">
        <v>33753</v>
      </c>
      <c r="K1325" s="12" t="n">
        <v>6.6</v>
      </c>
      <c r="L1325" s="12" t="s">
        <v>674</v>
      </c>
      <c r="M1325" s="12" t="s">
        <v>5845</v>
      </c>
    </row>
    <row r="1326" customFormat="false" ht="15" hidden="false" customHeight="false" outlineLevel="0" collapsed="false">
      <c r="A1326" s="12" t="s">
        <v>5137</v>
      </c>
      <c r="C1326" s="12" t="s">
        <v>5846</v>
      </c>
      <c r="D1326" s="12" t="s">
        <v>127</v>
      </c>
      <c r="E1326" s="12" t="n">
        <v>2</v>
      </c>
      <c r="F1326" s="12" t="s">
        <v>3105</v>
      </c>
      <c r="G1326" s="12" t="s">
        <v>2310</v>
      </c>
      <c r="H1326" s="17"/>
      <c r="I1326" s="17"/>
      <c r="J1326" s="13" t="n">
        <v>1378</v>
      </c>
      <c r="K1326" s="12" t="n">
        <v>7.4</v>
      </c>
      <c r="L1326" s="12" t="s">
        <v>292</v>
      </c>
      <c r="M1326" s="12" t="s">
        <v>5847</v>
      </c>
    </row>
    <row r="1327" customFormat="false" ht="15" hidden="false" customHeight="false" outlineLevel="0" collapsed="false">
      <c r="A1327" s="12" t="s">
        <v>5137</v>
      </c>
      <c r="B1327" s="12" t="s">
        <v>5848</v>
      </c>
      <c r="C1327" s="12" t="s">
        <v>5849</v>
      </c>
      <c r="D1327" s="12" t="s">
        <v>251</v>
      </c>
      <c r="E1327" s="12" t="n">
        <v>2</v>
      </c>
      <c r="F1327" s="12" t="s">
        <v>2309</v>
      </c>
      <c r="G1327" s="12" t="s">
        <v>2310</v>
      </c>
      <c r="H1327" s="17"/>
      <c r="I1327" s="17"/>
      <c r="J1327" s="13" t="n">
        <v>31644</v>
      </c>
      <c r="K1327" s="12" t="n">
        <v>7.2</v>
      </c>
      <c r="L1327" s="12" t="s">
        <v>128</v>
      </c>
      <c r="M1327" s="12" t="s">
        <v>5850</v>
      </c>
    </row>
    <row r="1328" customFormat="false" ht="15" hidden="false" customHeight="false" outlineLevel="0" collapsed="false">
      <c r="A1328" s="12" t="s">
        <v>5137</v>
      </c>
      <c r="B1328" s="12" t="s">
        <v>5851</v>
      </c>
      <c r="C1328" s="12" t="s">
        <v>5852</v>
      </c>
      <c r="D1328" s="12" t="s">
        <v>118</v>
      </c>
      <c r="E1328" s="12" t="n">
        <v>2</v>
      </c>
      <c r="F1328" s="12" t="s">
        <v>2688</v>
      </c>
      <c r="G1328" s="12" t="s">
        <v>2310</v>
      </c>
      <c r="H1328" s="17"/>
      <c r="I1328" s="17"/>
      <c r="J1328" s="13" t="n">
        <v>31422</v>
      </c>
      <c r="K1328" s="12" t="n">
        <v>6.5</v>
      </c>
      <c r="L1328" s="12" t="s">
        <v>674</v>
      </c>
      <c r="M1328" s="12" t="s">
        <v>5853</v>
      </c>
    </row>
    <row r="1329" customFormat="false" ht="15" hidden="false" customHeight="false" outlineLevel="0" collapsed="false">
      <c r="A1329" s="12" t="s">
        <v>5137</v>
      </c>
      <c r="B1329" s="12" t="s">
        <v>5854</v>
      </c>
      <c r="C1329" s="12" t="s">
        <v>5854</v>
      </c>
      <c r="D1329" s="12" t="s">
        <v>127</v>
      </c>
      <c r="E1329" s="12" t="n">
        <v>1</v>
      </c>
      <c r="F1329" s="12" t="s">
        <v>5156</v>
      </c>
      <c r="G1329" s="12" t="s">
        <v>2405</v>
      </c>
      <c r="H1329" s="17"/>
      <c r="I1329" s="17"/>
      <c r="J1329" s="13" t="n">
        <v>37965</v>
      </c>
      <c r="K1329" s="12" t="n">
        <v>7.6</v>
      </c>
      <c r="L1329" s="12" t="s">
        <v>1891</v>
      </c>
      <c r="M1329" s="12" t="s">
        <v>5855</v>
      </c>
    </row>
    <row r="1330" customFormat="false" ht="15" hidden="false" customHeight="false" outlineLevel="0" collapsed="false">
      <c r="A1330" s="12" t="s">
        <v>5137</v>
      </c>
      <c r="B1330" s="12" t="s">
        <v>5856</v>
      </c>
      <c r="C1330" s="12" t="s">
        <v>5857</v>
      </c>
      <c r="D1330" s="12" t="s">
        <v>265</v>
      </c>
      <c r="E1330" s="12" t="n">
        <v>2</v>
      </c>
      <c r="F1330" s="12" t="s">
        <v>2309</v>
      </c>
      <c r="G1330" s="12" t="s">
        <v>2310</v>
      </c>
      <c r="H1330" s="17"/>
      <c r="I1330" s="17"/>
      <c r="J1330" s="13" t="n">
        <v>31321</v>
      </c>
      <c r="K1330" s="12" t="n">
        <v>7.8</v>
      </c>
      <c r="L1330" s="12" t="s">
        <v>128</v>
      </c>
      <c r="M1330" s="12" t="s">
        <v>5858</v>
      </c>
    </row>
    <row r="1331" customFormat="false" ht="15" hidden="false" customHeight="false" outlineLevel="0" collapsed="false">
      <c r="A1331" s="12" t="s">
        <v>5137</v>
      </c>
      <c r="B1331" s="12" t="s">
        <v>5859</v>
      </c>
      <c r="C1331" s="12" t="s">
        <v>5859</v>
      </c>
      <c r="D1331" s="12" t="s">
        <v>273</v>
      </c>
      <c r="E1331" s="12" t="n">
        <v>1</v>
      </c>
      <c r="F1331" s="12" t="s">
        <v>5156</v>
      </c>
      <c r="G1331" s="12" t="s">
        <v>2405</v>
      </c>
      <c r="H1331" s="17"/>
      <c r="I1331" s="17"/>
      <c r="J1331" s="13" t="n">
        <v>36847</v>
      </c>
      <c r="K1331" s="12" t="n">
        <v>7.3</v>
      </c>
      <c r="L1331" s="12" t="s">
        <v>1891</v>
      </c>
      <c r="M1331" s="12" t="s">
        <v>5860</v>
      </c>
    </row>
    <row r="1332" customFormat="false" ht="15" hidden="false" customHeight="false" outlineLevel="0" collapsed="false">
      <c r="A1332" s="12" t="s">
        <v>5137</v>
      </c>
      <c r="B1332" s="12" t="s">
        <v>5861</v>
      </c>
      <c r="C1332" s="12" t="s">
        <v>5861</v>
      </c>
      <c r="D1332" s="12" t="s">
        <v>101</v>
      </c>
      <c r="E1332" s="12" t="n">
        <v>2</v>
      </c>
      <c r="F1332" s="12" t="s">
        <v>2688</v>
      </c>
      <c r="G1332" s="12" t="s">
        <v>2310</v>
      </c>
      <c r="H1332" s="17"/>
      <c r="I1332" s="17"/>
      <c r="J1332" s="13" t="n">
        <v>30447</v>
      </c>
      <c r="K1332" s="12" t="n">
        <v>6.3</v>
      </c>
      <c r="L1332" s="12" t="s">
        <v>674</v>
      </c>
      <c r="M1332" s="12" t="s">
        <v>5862</v>
      </c>
    </row>
    <row r="1333" customFormat="false" ht="15" hidden="false" customHeight="false" outlineLevel="0" collapsed="false">
      <c r="A1333" s="12" t="s">
        <v>5137</v>
      </c>
      <c r="B1333" s="12" t="s">
        <v>5863</v>
      </c>
      <c r="C1333" s="12" t="s">
        <v>5864</v>
      </c>
      <c r="D1333" s="12" t="s">
        <v>358</v>
      </c>
      <c r="E1333" s="12" t="n">
        <v>1</v>
      </c>
      <c r="F1333" s="12" t="s">
        <v>5156</v>
      </c>
      <c r="G1333" s="12" t="s">
        <v>2405</v>
      </c>
      <c r="H1333" s="17"/>
      <c r="I1333" s="17"/>
      <c r="J1333" s="13" t="n">
        <v>35350</v>
      </c>
      <c r="K1333" s="12" t="n">
        <v>7</v>
      </c>
      <c r="L1333" s="12" t="s">
        <v>1891</v>
      </c>
      <c r="M1333" s="12" t="s">
        <v>5865</v>
      </c>
    </row>
    <row r="1334" customFormat="false" ht="15" hidden="false" customHeight="false" outlineLevel="0" collapsed="false">
      <c r="A1334" s="12" t="s">
        <v>5137</v>
      </c>
      <c r="B1334" s="12" t="s">
        <v>5866</v>
      </c>
      <c r="C1334" s="12" t="s">
        <v>5866</v>
      </c>
      <c r="D1334" s="12" t="s">
        <v>118</v>
      </c>
      <c r="E1334" s="12" t="n">
        <v>2</v>
      </c>
      <c r="F1334" s="12" t="s">
        <v>2688</v>
      </c>
      <c r="G1334" s="12" t="s">
        <v>2310</v>
      </c>
      <c r="H1334" s="17"/>
      <c r="I1334" s="17"/>
      <c r="J1334" s="13" t="n">
        <v>29417</v>
      </c>
      <c r="K1334" s="12" t="n">
        <v>5.7</v>
      </c>
      <c r="L1334" s="12" t="s">
        <v>674</v>
      </c>
      <c r="M1334" s="12" t="s">
        <v>5867</v>
      </c>
    </row>
    <row r="1335" customFormat="false" ht="15" hidden="false" customHeight="false" outlineLevel="0" collapsed="false">
      <c r="A1335" s="12" t="s">
        <v>5137</v>
      </c>
      <c r="B1335" s="12" t="s">
        <v>5868</v>
      </c>
      <c r="C1335" s="12" t="s">
        <v>5869</v>
      </c>
      <c r="D1335" s="12" t="s">
        <v>1103</v>
      </c>
      <c r="E1335" s="12" t="n">
        <v>2</v>
      </c>
      <c r="F1335" s="12" t="s">
        <v>2688</v>
      </c>
      <c r="G1335" s="12" t="s">
        <v>2310</v>
      </c>
      <c r="H1335" s="17"/>
      <c r="I1335" s="17"/>
      <c r="J1335" s="13" t="n">
        <v>29015</v>
      </c>
      <c r="K1335" s="12" t="n">
        <v>7.3</v>
      </c>
      <c r="L1335" s="12" t="s">
        <v>674</v>
      </c>
      <c r="M1335" s="12" t="s">
        <v>5870</v>
      </c>
    </row>
    <row r="1336" customFormat="false" ht="15" hidden="false" customHeight="false" outlineLevel="0" collapsed="false">
      <c r="A1336" s="12" t="s">
        <v>5137</v>
      </c>
      <c r="B1336" s="12" t="s">
        <v>5871</v>
      </c>
      <c r="C1336" s="12" t="s">
        <v>5871</v>
      </c>
      <c r="D1336" s="12" t="s">
        <v>265</v>
      </c>
      <c r="E1336" s="12" t="n">
        <v>2</v>
      </c>
      <c r="F1336" s="12" t="s">
        <v>2309</v>
      </c>
      <c r="G1336" s="12" t="s">
        <v>2310</v>
      </c>
      <c r="H1336" s="17"/>
      <c r="I1336" s="17"/>
      <c r="J1336" s="13" t="n">
        <v>27076</v>
      </c>
      <c r="K1336" s="12" t="n">
        <v>7.3</v>
      </c>
      <c r="L1336" s="12" t="s">
        <v>128</v>
      </c>
      <c r="M1336" s="12" t="s">
        <v>5872</v>
      </c>
    </row>
    <row r="1337" customFormat="false" ht="15" hidden="false" customHeight="false" outlineLevel="0" collapsed="false">
      <c r="A1337" s="12" t="s">
        <v>5137</v>
      </c>
      <c r="B1337" s="12" t="s">
        <v>5873</v>
      </c>
      <c r="C1337" s="12" t="s">
        <v>5874</v>
      </c>
      <c r="D1337" s="12" t="s">
        <v>1103</v>
      </c>
      <c r="E1337" s="12" t="n">
        <v>2</v>
      </c>
      <c r="F1337" s="12" t="s">
        <v>2688</v>
      </c>
      <c r="G1337" s="12" t="s">
        <v>2310</v>
      </c>
      <c r="H1337" s="17"/>
      <c r="I1337" s="17"/>
      <c r="J1337" s="13" t="n">
        <v>25217</v>
      </c>
      <c r="K1337" s="12" t="n">
        <v>7.9</v>
      </c>
      <c r="L1337" s="12" t="s">
        <v>674</v>
      </c>
      <c r="M1337" s="12" t="s">
        <v>5875</v>
      </c>
    </row>
    <row r="1338" customFormat="false" ht="15" hidden="false" customHeight="false" outlineLevel="0" collapsed="false">
      <c r="A1338" s="12" t="s">
        <v>5137</v>
      </c>
      <c r="B1338" s="12" t="s">
        <v>5876</v>
      </c>
      <c r="C1338" s="12" t="s">
        <v>5876</v>
      </c>
      <c r="D1338" s="12" t="s">
        <v>189</v>
      </c>
      <c r="E1338" s="12" t="n">
        <v>1</v>
      </c>
      <c r="F1338" s="12" t="s">
        <v>5156</v>
      </c>
      <c r="G1338" s="12" t="s">
        <v>2405</v>
      </c>
      <c r="H1338" s="17"/>
      <c r="I1338" s="17"/>
      <c r="J1338" s="13" t="n">
        <v>30551</v>
      </c>
      <c r="K1338" s="12" t="n">
        <v>7.2</v>
      </c>
      <c r="L1338" s="12" t="s">
        <v>1891</v>
      </c>
      <c r="M1338" s="12" t="s">
        <v>5877</v>
      </c>
    </row>
    <row r="1339" customFormat="false" ht="15" hidden="false" customHeight="false" outlineLevel="0" collapsed="false">
      <c r="A1339" s="12" t="s">
        <v>5137</v>
      </c>
      <c r="B1339" s="12" t="s">
        <v>5878</v>
      </c>
      <c r="C1339" s="12" t="s">
        <v>5879</v>
      </c>
      <c r="D1339" s="12" t="s">
        <v>265</v>
      </c>
      <c r="E1339" s="12" t="n">
        <v>2</v>
      </c>
      <c r="F1339" s="12" t="s">
        <v>2309</v>
      </c>
      <c r="G1339" s="12" t="s">
        <v>2310</v>
      </c>
      <c r="H1339" s="17"/>
      <c r="I1339" s="17"/>
      <c r="J1339" s="13" t="n">
        <v>23384</v>
      </c>
      <c r="K1339" s="12" t="n">
        <v>7.7</v>
      </c>
      <c r="L1339" s="12" t="s">
        <v>128</v>
      </c>
      <c r="M1339" s="12" t="s">
        <v>5880</v>
      </c>
    </row>
    <row r="1340" customFormat="false" ht="15" hidden="false" customHeight="false" outlineLevel="0" collapsed="false">
      <c r="A1340" s="12" t="s">
        <v>5137</v>
      </c>
      <c r="B1340" s="12" t="s">
        <v>5881</v>
      </c>
      <c r="C1340" s="12" t="s">
        <v>5882</v>
      </c>
      <c r="D1340" s="12" t="s">
        <v>358</v>
      </c>
      <c r="E1340" s="12" t="n">
        <v>1</v>
      </c>
      <c r="F1340" s="12" t="s">
        <v>5156</v>
      </c>
      <c r="G1340" s="12" t="s">
        <v>2405</v>
      </c>
      <c r="H1340" s="17"/>
      <c r="I1340" s="17"/>
      <c r="J1340" s="13" t="n">
        <v>27798</v>
      </c>
      <c r="K1340" s="12" t="n">
        <v>7.1</v>
      </c>
      <c r="L1340" s="12" t="s">
        <v>1891</v>
      </c>
      <c r="M1340" s="12" t="s">
        <v>5883</v>
      </c>
    </row>
    <row r="1341" customFormat="false" ht="15" hidden="false" customHeight="false" outlineLevel="0" collapsed="false">
      <c r="A1341" s="12" t="s">
        <v>5137</v>
      </c>
      <c r="B1341" s="12" t="s">
        <v>5884</v>
      </c>
      <c r="C1341" s="12" t="s">
        <v>5885</v>
      </c>
      <c r="D1341" s="12" t="s">
        <v>189</v>
      </c>
      <c r="E1341" s="12" t="n">
        <v>2</v>
      </c>
      <c r="F1341" s="12" t="s">
        <v>5179</v>
      </c>
      <c r="G1341" s="12" t="s">
        <v>2310</v>
      </c>
      <c r="H1341" s="17"/>
      <c r="I1341" s="17"/>
      <c r="J1341" s="13" t="n">
        <v>22772</v>
      </c>
      <c r="K1341" s="12" t="n">
        <v>8.4</v>
      </c>
      <c r="L1341" s="12" t="s">
        <v>2232</v>
      </c>
      <c r="M1341" s="12" t="s">
        <v>5886</v>
      </c>
    </row>
    <row r="1342" customFormat="false" ht="15" hidden="false" customHeight="false" outlineLevel="0" collapsed="false">
      <c r="A1342" s="12" t="s">
        <v>5137</v>
      </c>
      <c r="B1342" s="12" t="s">
        <v>5887</v>
      </c>
      <c r="C1342" s="12" t="s">
        <v>5888</v>
      </c>
      <c r="D1342" s="12" t="s">
        <v>251</v>
      </c>
      <c r="E1342" s="12" t="n">
        <v>2</v>
      </c>
      <c r="F1342" s="12" t="s">
        <v>2688</v>
      </c>
      <c r="G1342" s="12" t="s">
        <v>2310</v>
      </c>
      <c r="H1342" s="17"/>
      <c r="I1342" s="17"/>
      <c r="J1342" s="13" t="n">
        <v>22535</v>
      </c>
      <c r="K1342" s="12" t="n">
        <v>6.7</v>
      </c>
      <c r="L1342" s="12" t="s">
        <v>674</v>
      </c>
      <c r="M1342" s="12" t="s">
        <v>5889</v>
      </c>
    </row>
    <row r="1343" customFormat="false" ht="15" hidden="false" customHeight="false" outlineLevel="0" collapsed="false">
      <c r="A1343" s="12" t="s">
        <v>5137</v>
      </c>
      <c r="B1343" s="12" t="s">
        <v>5890</v>
      </c>
      <c r="C1343" s="12" t="s">
        <v>5890</v>
      </c>
      <c r="D1343" s="12" t="s">
        <v>251</v>
      </c>
      <c r="E1343" s="12" t="n">
        <v>2</v>
      </c>
      <c r="F1343" s="12" t="s">
        <v>2688</v>
      </c>
      <c r="G1343" s="12" t="s">
        <v>2310</v>
      </c>
      <c r="H1343" s="17"/>
      <c r="I1343" s="17"/>
      <c r="J1343" s="13" t="n">
        <v>22396</v>
      </c>
      <c r="K1343" s="12" t="n">
        <v>7.2</v>
      </c>
      <c r="L1343" s="12" t="s">
        <v>674</v>
      </c>
      <c r="M1343" s="12" t="s">
        <v>5891</v>
      </c>
    </row>
    <row r="1344" customFormat="false" ht="15" hidden="false" customHeight="false" outlineLevel="0" collapsed="false">
      <c r="A1344" s="12" t="s">
        <v>5137</v>
      </c>
      <c r="B1344" s="12" t="s">
        <v>5892</v>
      </c>
      <c r="C1344" s="12" t="s">
        <v>5892</v>
      </c>
      <c r="D1344" s="12" t="s">
        <v>251</v>
      </c>
      <c r="E1344" s="12" t="n">
        <v>2</v>
      </c>
      <c r="F1344" s="12" t="s">
        <v>2688</v>
      </c>
      <c r="G1344" s="12" t="s">
        <v>2310</v>
      </c>
      <c r="H1344" s="17"/>
      <c r="I1344" s="17"/>
      <c r="J1344" s="13" t="n">
        <v>21725</v>
      </c>
      <c r="K1344" s="12" t="n">
        <v>6.8</v>
      </c>
      <c r="L1344" s="12" t="s">
        <v>674</v>
      </c>
      <c r="M1344" s="12" t="s">
        <v>5893</v>
      </c>
    </row>
    <row r="1345" customFormat="false" ht="15" hidden="false" customHeight="false" outlineLevel="0" collapsed="false">
      <c r="A1345" s="12" t="s">
        <v>5137</v>
      </c>
      <c r="B1345" s="12" t="s">
        <v>5894</v>
      </c>
      <c r="C1345" s="12" t="s">
        <v>5894</v>
      </c>
      <c r="D1345" s="12" t="s">
        <v>152</v>
      </c>
      <c r="E1345" s="12" t="n">
        <v>1</v>
      </c>
      <c r="F1345" s="12" t="s">
        <v>5156</v>
      </c>
      <c r="G1345" s="12" t="s">
        <v>2405</v>
      </c>
      <c r="H1345" s="17"/>
      <c r="I1345" s="17"/>
      <c r="J1345" s="13" t="n">
        <v>23780</v>
      </c>
      <c r="K1345" s="12" t="n">
        <v>7.2</v>
      </c>
      <c r="L1345" s="12" t="s">
        <v>1891</v>
      </c>
      <c r="M1345" s="12" t="s">
        <v>5895</v>
      </c>
    </row>
    <row r="1346" customFormat="false" ht="15" hidden="false" customHeight="false" outlineLevel="0" collapsed="false">
      <c r="A1346" s="12" t="s">
        <v>5137</v>
      </c>
      <c r="B1346" s="12" t="s">
        <v>5896</v>
      </c>
      <c r="C1346" s="12" t="s">
        <v>5897</v>
      </c>
      <c r="D1346" s="12" t="s">
        <v>286</v>
      </c>
      <c r="E1346" s="12" t="n">
        <v>1</v>
      </c>
      <c r="F1346" s="12" t="s">
        <v>5156</v>
      </c>
      <c r="G1346" s="12" t="s">
        <v>2405</v>
      </c>
      <c r="H1346" s="17"/>
      <c r="I1346" s="17"/>
      <c r="J1346" s="13" t="n">
        <v>23487</v>
      </c>
      <c r="K1346" s="12" t="n">
        <v>6.7</v>
      </c>
      <c r="L1346" s="12" t="s">
        <v>1891</v>
      </c>
      <c r="M1346" s="12" t="s">
        <v>5898</v>
      </c>
    </row>
    <row r="1347" customFormat="false" ht="15" hidden="false" customHeight="false" outlineLevel="0" collapsed="false">
      <c r="A1347" s="12" t="s">
        <v>5137</v>
      </c>
      <c r="B1347" s="12" t="s">
        <v>5899</v>
      </c>
      <c r="C1347" s="12" t="s">
        <v>5900</v>
      </c>
      <c r="D1347" s="12" t="s">
        <v>90</v>
      </c>
      <c r="E1347" s="12" t="n">
        <v>2</v>
      </c>
      <c r="F1347" s="12" t="s">
        <v>2688</v>
      </c>
      <c r="G1347" s="12" t="s">
        <v>2310</v>
      </c>
      <c r="H1347" s="17"/>
      <c r="I1347" s="17"/>
      <c r="J1347" s="13" t="n">
        <v>20858</v>
      </c>
      <c r="K1347" s="12" t="n">
        <v>6.1</v>
      </c>
      <c r="L1347" s="12" t="s">
        <v>674</v>
      </c>
      <c r="M1347" s="12" t="s">
        <v>5901</v>
      </c>
    </row>
    <row r="1348" customFormat="false" ht="15" hidden="false" customHeight="false" outlineLevel="0" collapsed="false">
      <c r="A1348" s="12" t="s">
        <v>5137</v>
      </c>
      <c r="B1348" s="12" t="s">
        <v>5902</v>
      </c>
      <c r="C1348" s="12" t="s">
        <v>5903</v>
      </c>
      <c r="D1348" s="12" t="s">
        <v>118</v>
      </c>
      <c r="E1348" s="12" t="n">
        <v>2</v>
      </c>
      <c r="F1348" s="12" t="s">
        <v>2688</v>
      </c>
      <c r="G1348" s="12" t="s">
        <v>2310</v>
      </c>
      <c r="H1348" s="17"/>
      <c r="I1348" s="17"/>
      <c r="J1348" s="13" t="n">
        <v>20815</v>
      </c>
      <c r="K1348" s="12" t="n">
        <v>6.8</v>
      </c>
      <c r="L1348" s="12" t="s">
        <v>674</v>
      </c>
      <c r="M1348" s="12" t="s">
        <v>5904</v>
      </c>
    </row>
    <row r="1349" customFormat="false" ht="15" hidden="false" customHeight="false" outlineLevel="0" collapsed="false">
      <c r="A1349" s="12" t="s">
        <v>5137</v>
      </c>
      <c r="B1349" s="12" t="s">
        <v>5905</v>
      </c>
      <c r="C1349" s="12" t="s">
        <v>5906</v>
      </c>
      <c r="D1349" s="12" t="s">
        <v>265</v>
      </c>
      <c r="E1349" s="12" t="n">
        <v>2</v>
      </c>
      <c r="F1349" s="12" t="s">
        <v>2309</v>
      </c>
      <c r="G1349" s="12" t="s">
        <v>2310</v>
      </c>
      <c r="H1349" s="17"/>
      <c r="I1349" s="17"/>
      <c r="J1349" s="13" t="n">
        <v>19867</v>
      </c>
      <c r="K1349" s="12" t="n">
        <v>7.3</v>
      </c>
      <c r="L1349" s="12" t="s">
        <v>128</v>
      </c>
      <c r="M1349" s="12" t="s">
        <v>5907</v>
      </c>
    </row>
    <row r="1350" customFormat="false" ht="15" hidden="false" customHeight="false" outlineLevel="0" collapsed="false">
      <c r="A1350" s="12" t="s">
        <v>5137</v>
      </c>
      <c r="B1350" s="12" t="s">
        <v>5908</v>
      </c>
      <c r="C1350" s="12" t="s">
        <v>5908</v>
      </c>
      <c r="D1350" s="12" t="s">
        <v>214</v>
      </c>
      <c r="E1350" s="12" t="n">
        <v>1</v>
      </c>
      <c r="F1350" s="12" t="s">
        <v>5156</v>
      </c>
      <c r="G1350" s="12" t="s">
        <v>2405</v>
      </c>
      <c r="H1350" s="17"/>
      <c r="I1350" s="17"/>
      <c r="J1350" s="13" t="n">
        <v>22664</v>
      </c>
      <c r="K1350" s="12" t="n">
        <v>6.2</v>
      </c>
      <c r="L1350" s="12" t="s">
        <v>1891</v>
      </c>
      <c r="M1350" s="12" t="s">
        <v>5909</v>
      </c>
    </row>
    <row r="1351" customFormat="false" ht="15" hidden="false" customHeight="false" outlineLevel="0" collapsed="false">
      <c r="A1351" s="12" t="s">
        <v>5137</v>
      </c>
      <c r="B1351" s="12" t="s">
        <v>5910</v>
      </c>
      <c r="C1351" s="12" t="s">
        <v>5911</v>
      </c>
      <c r="D1351" s="12" t="s">
        <v>1103</v>
      </c>
      <c r="E1351" s="12" t="n">
        <v>2</v>
      </c>
      <c r="F1351" s="12" t="s">
        <v>2688</v>
      </c>
      <c r="G1351" s="12" t="s">
        <v>2310</v>
      </c>
      <c r="H1351" s="17"/>
      <c r="I1351" s="17"/>
      <c r="J1351" s="13" t="n">
        <v>19621</v>
      </c>
      <c r="K1351" s="12" t="n">
        <v>7</v>
      </c>
      <c r="L1351" s="12" t="s">
        <v>674</v>
      </c>
      <c r="M1351" s="12" t="s">
        <v>5912</v>
      </c>
    </row>
    <row r="1352" customFormat="false" ht="15" hidden="false" customHeight="false" outlineLevel="0" collapsed="false">
      <c r="A1352" s="12" t="s">
        <v>5137</v>
      </c>
      <c r="B1352" s="12" t="s">
        <v>5913</v>
      </c>
      <c r="C1352" s="12" t="s">
        <v>5914</v>
      </c>
      <c r="D1352" s="12" t="s">
        <v>265</v>
      </c>
      <c r="E1352" s="12" t="n">
        <v>2</v>
      </c>
      <c r="F1352" s="12" t="s">
        <v>2309</v>
      </c>
      <c r="G1352" s="12" t="s">
        <v>2310</v>
      </c>
      <c r="H1352" s="17"/>
      <c r="I1352" s="17"/>
      <c r="J1352" s="13" t="n">
        <v>19545</v>
      </c>
      <c r="K1352" s="12" t="n">
        <v>6.2</v>
      </c>
      <c r="L1352" s="12" t="s">
        <v>128</v>
      </c>
      <c r="M1352" s="12" t="s">
        <v>5915</v>
      </c>
    </row>
    <row r="1353" customFormat="false" ht="15" hidden="false" customHeight="false" outlineLevel="0" collapsed="false">
      <c r="A1353" s="12" t="s">
        <v>5137</v>
      </c>
      <c r="B1353" s="12" t="s">
        <v>5916</v>
      </c>
      <c r="C1353" s="12" t="s">
        <v>5916</v>
      </c>
      <c r="D1353" s="12" t="s">
        <v>1103</v>
      </c>
      <c r="E1353" s="12" t="n">
        <v>2</v>
      </c>
      <c r="F1353" s="12" t="s">
        <v>2688</v>
      </c>
      <c r="G1353" s="12" t="s">
        <v>2310</v>
      </c>
      <c r="H1353" s="17"/>
      <c r="I1353" s="17"/>
      <c r="J1353" s="13" t="n">
        <v>19099</v>
      </c>
      <c r="K1353" s="12" t="n">
        <v>7.4</v>
      </c>
      <c r="L1353" s="12" t="s">
        <v>674</v>
      </c>
      <c r="M1353" s="12" t="s">
        <v>5917</v>
      </c>
    </row>
    <row r="1354" customFormat="false" ht="15" hidden="false" customHeight="false" outlineLevel="0" collapsed="false">
      <c r="A1354" s="12" t="s">
        <v>5137</v>
      </c>
      <c r="B1354" s="12" t="s">
        <v>5918</v>
      </c>
      <c r="C1354" s="12" t="s">
        <v>5918</v>
      </c>
      <c r="D1354" s="12" t="s">
        <v>251</v>
      </c>
      <c r="E1354" s="12" t="n">
        <v>1</v>
      </c>
      <c r="F1354" s="12" t="s">
        <v>5156</v>
      </c>
      <c r="G1354" s="12" t="s">
        <v>2405</v>
      </c>
      <c r="H1354" s="17"/>
      <c r="I1354" s="17"/>
      <c r="J1354" s="13" t="n">
        <v>22197</v>
      </c>
      <c r="K1354" s="12" t="n">
        <v>8.2</v>
      </c>
      <c r="L1354" s="12" t="s">
        <v>1891</v>
      </c>
      <c r="M1354" s="12" t="s">
        <v>5919</v>
      </c>
    </row>
    <row r="1355" customFormat="false" ht="15" hidden="false" customHeight="false" outlineLevel="0" collapsed="false">
      <c r="A1355" s="12" t="s">
        <v>5137</v>
      </c>
      <c r="B1355" s="12" t="s">
        <v>5920</v>
      </c>
      <c r="C1355" s="12" t="s">
        <v>5920</v>
      </c>
      <c r="D1355" s="12" t="s">
        <v>265</v>
      </c>
      <c r="E1355" s="12" t="n">
        <v>2</v>
      </c>
      <c r="F1355" s="12" t="s">
        <v>2309</v>
      </c>
      <c r="G1355" s="12" t="s">
        <v>2310</v>
      </c>
      <c r="H1355" s="17"/>
      <c r="I1355" s="17"/>
      <c r="J1355" s="13" t="n">
        <v>18696</v>
      </c>
      <c r="K1355" s="12" t="n">
        <v>7.4</v>
      </c>
      <c r="L1355" s="12" t="s">
        <v>128</v>
      </c>
      <c r="M1355" s="12" t="s">
        <v>5921</v>
      </c>
    </row>
    <row r="1356" customFormat="false" ht="15" hidden="false" customHeight="false" outlineLevel="0" collapsed="false">
      <c r="A1356" s="12" t="s">
        <v>5137</v>
      </c>
      <c r="B1356" s="12" t="s">
        <v>5922</v>
      </c>
      <c r="C1356" s="12" t="s">
        <v>5922</v>
      </c>
      <c r="D1356" s="12" t="s">
        <v>396</v>
      </c>
      <c r="E1356" s="12" t="n">
        <v>1</v>
      </c>
      <c r="F1356" s="12" t="s">
        <v>5156</v>
      </c>
      <c r="G1356" s="12" t="s">
        <v>2405</v>
      </c>
      <c r="H1356" s="17"/>
      <c r="I1356" s="17"/>
      <c r="J1356" s="13" t="n">
        <v>21884</v>
      </c>
      <c r="K1356" s="12" t="n">
        <v>6.6</v>
      </c>
      <c r="L1356" s="12" t="s">
        <v>1891</v>
      </c>
      <c r="M1356" s="12" t="s">
        <v>5923</v>
      </c>
    </row>
    <row r="1357" customFormat="false" ht="15" hidden="false" customHeight="false" outlineLevel="0" collapsed="false">
      <c r="A1357" s="12" t="s">
        <v>5137</v>
      </c>
      <c r="B1357" s="12" t="s">
        <v>5924</v>
      </c>
      <c r="C1357" s="12" t="s">
        <v>5925</v>
      </c>
      <c r="D1357" s="12" t="s">
        <v>118</v>
      </c>
      <c r="E1357" s="12" t="n">
        <v>2</v>
      </c>
      <c r="F1357" s="12" t="s">
        <v>2688</v>
      </c>
      <c r="G1357" s="12" t="s">
        <v>2310</v>
      </c>
      <c r="H1357" s="17"/>
      <c r="I1357" s="17"/>
      <c r="J1357" s="13" t="n">
        <v>18255</v>
      </c>
      <c r="K1357" s="12" t="n">
        <v>6.8</v>
      </c>
      <c r="L1357" s="12" t="s">
        <v>674</v>
      </c>
      <c r="M1357" s="12" t="s">
        <v>5926</v>
      </c>
    </row>
    <row r="1358" customFormat="false" ht="15" hidden="false" customHeight="false" outlineLevel="0" collapsed="false">
      <c r="A1358" s="12" t="s">
        <v>5137</v>
      </c>
      <c r="B1358" s="12" t="s">
        <v>5927</v>
      </c>
      <c r="C1358" s="12" t="s">
        <v>5928</v>
      </c>
      <c r="D1358" s="12" t="s">
        <v>101</v>
      </c>
      <c r="E1358" s="12" t="n">
        <v>2</v>
      </c>
      <c r="F1358" s="12" t="s">
        <v>2688</v>
      </c>
      <c r="G1358" s="12" t="s">
        <v>2310</v>
      </c>
      <c r="H1358" s="17"/>
      <c r="I1358" s="17"/>
      <c r="J1358" s="13" t="n">
        <v>17660</v>
      </c>
      <c r="K1358" s="12" t="n">
        <v>8.5</v>
      </c>
      <c r="L1358" s="12" t="s">
        <v>674</v>
      </c>
      <c r="M1358" s="12" t="s">
        <v>5929</v>
      </c>
    </row>
    <row r="1359" customFormat="false" ht="15" hidden="false" customHeight="false" outlineLevel="0" collapsed="false">
      <c r="A1359" s="12" t="s">
        <v>5137</v>
      </c>
      <c r="B1359" s="12" t="s">
        <v>5930</v>
      </c>
      <c r="C1359" s="12" t="s">
        <v>5931</v>
      </c>
      <c r="D1359" s="12" t="s">
        <v>265</v>
      </c>
      <c r="E1359" s="12" t="n">
        <v>2</v>
      </c>
      <c r="F1359" s="12" t="s">
        <v>2309</v>
      </c>
      <c r="G1359" s="12" t="s">
        <v>2310</v>
      </c>
      <c r="H1359" s="17"/>
      <c r="I1359" s="17"/>
      <c r="J1359" s="13" t="n">
        <v>16982</v>
      </c>
      <c r="K1359" s="12" t="n">
        <v>7.9</v>
      </c>
      <c r="L1359" s="12" t="s">
        <v>128</v>
      </c>
      <c r="M1359" s="12" t="s">
        <v>5932</v>
      </c>
    </row>
    <row r="1360" customFormat="false" ht="15" hidden="false" customHeight="false" outlineLevel="0" collapsed="false">
      <c r="A1360" s="12" t="s">
        <v>5137</v>
      </c>
      <c r="B1360" s="12" t="s">
        <v>5933</v>
      </c>
      <c r="C1360" s="12" t="s">
        <v>5934</v>
      </c>
      <c r="D1360" s="12" t="s">
        <v>265</v>
      </c>
      <c r="E1360" s="12" t="n">
        <v>2</v>
      </c>
      <c r="F1360" s="12" t="s">
        <v>2309</v>
      </c>
      <c r="G1360" s="12" t="s">
        <v>2310</v>
      </c>
      <c r="H1360" s="17"/>
      <c r="I1360" s="17"/>
      <c r="J1360" s="13" t="n">
        <v>16655</v>
      </c>
      <c r="K1360" s="12" t="n">
        <v>8.1</v>
      </c>
      <c r="L1360" s="12" t="s">
        <v>128</v>
      </c>
      <c r="M1360" s="12" t="s">
        <v>5935</v>
      </c>
    </row>
    <row r="1361" customFormat="false" ht="15" hidden="false" customHeight="false" outlineLevel="0" collapsed="false">
      <c r="A1361" s="12" t="s">
        <v>5137</v>
      </c>
      <c r="B1361" s="12" t="s">
        <v>5936</v>
      </c>
      <c r="C1361" s="12" t="s">
        <v>5937</v>
      </c>
      <c r="D1361" s="12" t="s">
        <v>183</v>
      </c>
      <c r="E1361" s="12" t="n">
        <v>1</v>
      </c>
      <c r="F1361" s="12" t="s">
        <v>5156</v>
      </c>
      <c r="G1361" s="12" t="s">
        <v>2405</v>
      </c>
      <c r="H1361" s="17"/>
      <c r="I1361" s="17"/>
      <c r="J1361" s="13" t="n">
        <v>20930</v>
      </c>
      <c r="K1361" s="12" t="n">
        <v>7.5</v>
      </c>
      <c r="L1361" s="12" t="s">
        <v>1891</v>
      </c>
      <c r="M1361" s="12" t="s">
        <v>5938</v>
      </c>
    </row>
    <row r="1362" customFormat="false" ht="15" hidden="false" customHeight="false" outlineLevel="0" collapsed="false">
      <c r="A1362" s="12" t="s">
        <v>5137</v>
      </c>
      <c r="B1362" s="12" t="s">
        <v>5939</v>
      </c>
      <c r="C1362" s="12" t="s">
        <v>5940</v>
      </c>
      <c r="D1362" s="12" t="s">
        <v>101</v>
      </c>
      <c r="E1362" s="12" t="n">
        <v>2</v>
      </c>
      <c r="F1362" s="12" t="s">
        <v>2688</v>
      </c>
      <c r="G1362" s="12" t="s">
        <v>2310</v>
      </c>
      <c r="H1362" s="17"/>
      <c r="I1362" s="17"/>
      <c r="J1362" s="13" t="n">
        <v>16443</v>
      </c>
      <c r="K1362" s="12" t="n">
        <v>6.3</v>
      </c>
      <c r="L1362" s="12" t="s">
        <v>674</v>
      </c>
      <c r="M1362" s="12" t="s">
        <v>5941</v>
      </c>
    </row>
    <row r="1363" customFormat="false" ht="15" hidden="false" customHeight="false" outlineLevel="0" collapsed="false">
      <c r="A1363" s="12" t="s">
        <v>5137</v>
      </c>
      <c r="B1363" s="12" t="s">
        <v>5942</v>
      </c>
      <c r="C1363" s="12" t="s">
        <v>5942</v>
      </c>
      <c r="D1363" s="12" t="s">
        <v>189</v>
      </c>
      <c r="E1363" s="12" t="n">
        <v>2</v>
      </c>
      <c r="F1363" s="12" t="s">
        <v>2688</v>
      </c>
      <c r="G1363" s="12" t="s">
        <v>2310</v>
      </c>
      <c r="H1363" s="17"/>
      <c r="I1363" s="17"/>
      <c r="J1363" s="13" t="n">
        <v>15965</v>
      </c>
      <c r="K1363" s="12" t="n">
        <v>7.6</v>
      </c>
      <c r="L1363" s="12" t="s">
        <v>674</v>
      </c>
      <c r="M1363" s="12" t="s">
        <v>5943</v>
      </c>
    </row>
    <row r="1364" customFormat="false" ht="15" hidden="false" customHeight="false" outlineLevel="0" collapsed="false">
      <c r="A1364" s="12" t="s">
        <v>5137</v>
      </c>
      <c r="B1364" s="12" t="s">
        <v>5944</v>
      </c>
      <c r="C1364" s="12" t="s">
        <v>5944</v>
      </c>
      <c r="D1364" s="12" t="s">
        <v>101</v>
      </c>
      <c r="E1364" s="12" t="n">
        <v>2</v>
      </c>
      <c r="F1364" s="12" t="s">
        <v>2688</v>
      </c>
      <c r="G1364" s="12" t="s">
        <v>2310</v>
      </c>
      <c r="H1364" s="17"/>
      <c r="I1364" s="17"/>
      <c r="J1364" s="13" t="n">
        <v>14982</v>
      </c>
      <c r="K1364" s="12" t="n">
        <v>6.6</v>
      </c>
      <c r="L1364" s="12" t="s">
        <v>674</v>
      </c>
      <c r="M1364" s="12" t="s">
        <v>5945</v>
      </c>
    </row>
    <row r="1365" customFormat="false" ht="15" hidden="false" customHeight="false" outlineLevel="0" collapsed="false">
      <c r="A1365" s="12" t="s">
        <v>5137</v>
      </c>
      <c r="B1365" s="12" t="s">
        <v>5946</v>
      </c>
      <c r="C1365" s="12" t="s">
        <v>5947</v>
      </c>
      <c r="D1365" s="12" t="s">
        <v>1103</v>
      </c>
      <c r="E1365" s="12" t="n">
        <v>2</v>
      </c>
      <c r="F1365" s="12" t="s">
        <v>2688</v>
      </c>
      <c r="G1365" s="12" t="s">
        <v>2310</v>
      </c>
      <c r="H1365" s="17"/>
      <c r="I1365" s="17"/>
      <c r="J1365" s="13" t="n">
        <v>14610</v>
      </c>
      <c r="K1365" s="12" t="n">
        <v>7.8</v>
      </c>
      <c r="L1365" s="12" t="s">
        <v>674</v>
      </c>
      <c r="M1365" s="12" t="s">
        <v>5948</v>
      </c>
    </row>
    <row r="1366" customFormat="false" ht="15" hidden="false" customHeight="false" outlineLevel="0" collapsed="false">
      <c r="A1366" s="12" t="s">
        <v>5137</v>
      </c>
      <c r="B1366" s="12" t="s">
        <v>5949</v>
      </c>
      <c r="C1366" s="12" t="s">
        <v>5950</v>
      </c>
      <c r="D1366" s="12" t="s">
        <v>265</v>
      </c>
      <c r="E1366" s="12" t="n">
        <v>2</v>
      </c>
      <c r="F1366" s="12" t="s">
        <v>2309</v>
      </c>
      <c r="G1366" s="12" t="s">
        <v>2310</v>
      </c>
      <c r="H1366" s="17"/>
      <c r="I1366" s="17"/>
      <c r="J1366" s="13" t="n">
        <v>13831</v>
      </c>
      <c r="K1366" s="12" t="n">
        <v>6.9</v>
      </c>
      <c r="L1366" s="12" t="s">
        <v>128</v>
      </c>
      <c r="M1366" s="12" t="s">
        <v>5951</v>
      </c>
    </row>
    <row r="1367" customFormat="false" ht="15" hidden="false" customHeight="false" outlineLevel="0" collapsed="false">
      <c r="A1367" s="12" t="s">
        <v>5137</v>
      </c>
      <c r="B1367" s="12" t="s">
        <v>5952</v>
      </c>
      <c r="C1367" s="12" t="s">
        <v>5953</v>
      </c>
      <c r="D1367" s="12" t="s">
        <v>101</v>
      </c>
      <c r="E1367" s="12" t="n">
        <v>2</v>
      </c>
      <c r="F1367" s="12" t="s">
        <v>2309</v>
      </c>
      <c r="G1367" s="12" t="s">
        <v>2310</v>
      </c>
      <c r="H1367" s="17"/>
      <c r="I1367" s="17"/>
      <c r="J1367" s="13" t="n">
        <v>13770</v>
      </c>
      <c r="K1367" s="12" t="n">
        <v>7.3</v>
      </c>
      <c r="L1367" s="12" t="s">
        <v>128</v>
      </c>
      <c r="M1367" s="12" t="s">
        <v>5954</v>
      </c>
    </row>
    <row r="1368" customFormat="false" ht="15" hidden="false" customHeight="false" outlineLevel="0" collapsed="false">
      <c r="A1368" s="12" t="s">
        <v>5137</v>
      </c>
      <c r="B1368" s="12" t="s">
        <v>5955</v>
      </c>
      <c r="C1368" s="12" t="s">
        <v>5956</v>
      </c>
      <c r="D1368" s="12" t="s">
        <v>101</v>
      </c>
      <c r="E1368" s="12" t="n">
        <v>2</v>
      </c>
      <c r="F1368" s="12" t="s">
        <v>2688</v>
      </c>
      <c r="G1368" s="12" t="s">
        <v>2310</v>
      </c>
      <c r="H1368" s="17"/>
      <c r="I1368" s="17"/>
      <c r="J1368" s="13" t="n">
        <v>13014</v>
      </c>
      <c r="K1368" s="12" t="n">
        <v>7.7</v>
      </c>
      <c r="L1368" s="12" t="s">
        <v>674</v>
      </c>
      <c r="M1368" s="12" t="s">
        <v>5957</v>
      </c>
    </row>
    <row r="1369" customFormat="false" ht="15" hidden="false" customHeight="false" outlineLevel="0" collapsed="false">
      <c r="A1369" s="12" t="s">
        <v>5137</v>
      </c>
      <c r="B1369" s="12" t="s">
        <v>5958</v>
      </c>
      <c r="C1369" s="12" t="s">
        <v>5958</v>
      </c>
      <c r="D1369" s="12" t="s">
        <v>101</v>
      </c>
      <c r="E1369" s="12" t="n">
        <v>2</v>
      </c>
      <c r="F1369" s="12" t="s">
        <v>2688</v>
      </c>
      <c r="G1369" s="12" t="s">
        <v>2310</v>
      </c>
      <c r="H1369" s="17"/>
      <c r="I1369" s="17"/>
      <c r="J1369" s="13" t="n">
        <v>12462</v>
      </c>
      <c r="K1369" s="12" t="n">
        <v>6.6</v>
      </c>
      <c r="L1369" s="12" t="s">
        <v>674</v>
      </c>
      <c r="M1369" s="12" t="s">
        <v>5959</v>
      </c>
    </row>
    <row r="1370" customFormat="false" ht="15" hidden="false" customHeight="false" outlineLevel="0" collapsed="false">
      <c r="A1370" s="12" t="s">
        <v>5137</v>
      </c>
      <c r="B1370" s="12" t="s">
        <v>5960</v>
      </c>
      <c r="C1370" s="12" t="s">
        <v>5960</v>
      </c>
      <c r="D1370" s="12" t="s">
        <v>214</v>
      </c>
      <c r="E1370" s="12" t="n">
        <v>1</v>
      </c>
      <c r="F1370" s="12" t="s">
        <v>5156</v>
      </c>
      <c r="G1370" s="12" t="s">
        <v>2405</v>
      </c>
      <c r="H1370" s="17"/>
      <c r="I1370" s="17"/>
      <c r="J1370" s="13" t="n">
        <v>15301</v>
      </c>
      <c r="K1370" s="12" t="n">
        <v>6.1</v>
      </c>
      <c r="L1370" s="12" t="s">
        <v>1891</v>
      </c>
      <c r="M1370" s="12" t="s">
        <v>5961</v>
      </c>
    </row>
    <row r="1371" customFormat="false" ht="15" hidden="false" customHeight="false" outlineLevel="0" collapsed="false">
      <c r="A1371" s="12" t="s">
        <v>5137</v>
      </c>
      <c r="B1371" s="12" t="s">
        <v>5962</v>
      </c>
      <c r="C1371" s="12" t="s">
        <v>5962</v>
      </c>
      <c r="D1371" s="12" t="s">
        <v>90</v>
      </c>
      <c r="E1371" s="12" t="n">
        <v>2</v>
      </c>
      <c r="F1371" s="12" t="s">
        <v>2688</v>
      </c>
      <c r="G1371" s="12" t="s">
        <v>2310</v>
      </c>
      <c r="H1371" s="17"/>
      <c r="I1371" s="17"/>
      <c r="J1371" s="13" t="n">
        <v>11872</v>
      </c>
      <c r="K1371" s="12" t="n">
        <v>7.3</v>
      </c>
      <c r="L1371" s="12" t="s">
        <v>674</v>
      </c>
      <c r="M1371" s="12" t="s">
        <v>5963</v>
      </c>
    </row>
    <row r="1372" customFormat="false" ht="15" hidden="false" customHeight="false" outlineLevel="0" collapsed="false">
      <c r="A1372" s="12" t="s">
        <v>5137</v>
      </c>
      <c r="B1372" s="12" t="s">
        <v>5964</v>
      </c>
      <c r="C1372" s="12" t="s">
        <v>5964</v>
      </c>
      <c r="D1372" s="12" t="s">
        <v>202</v>
      </c>
      <c r="E1372" s="12" t="n">
        <v>1</v>
      </c>
      <c r="F1372" s="12" t="s">
        <v>5156</v>
      </c>
      <c r="G1372" s="12" t="s">
        <v>2405</v>
      </c>
      <c r="H1372" s="17"/>
      <c r="I1372" s="17"/>
      <c r="J1372" s="13" t="n">
        <v>14797</v>
      </c>
      <c r="K1372" s="12" t="n">
        <v>5.8</v>
      </c>
      <c r="L1372" s="12" t="s">
        <v>1891</v>
      </c>
      <c r="M1372" s="12" t="s">
        <v>5965</v>
      </c>
    </row>
    <row r="1373" customFormat="false" ht="15" hidden="false" customHeight="false" outlineLevel="0" collapsed="false">
      <c r="A1373" s="12" t="s">
        <v>5137</v>
      </c>
      <c r="B1373" s="12" t="s">
        <v>5966</v>
      </c>
      <c r="C1373" s="12" t="s">
        <v>5967</v>
      </c>
      <c r="D1373" s="12" t="s">
        <v>90</v>
      </c>
      <c r="E1373" s="12" t="n">
        <v>2</v>
      </c>
      <c r="F1373" s="12" t="s">
        <v>2688</v>
      </c>
      <c r="G1373" s="12" t="s">
        <v>2310</v>
      </c>
      <c r="H1373" s="17"/>
      <c r="I1373" s="17"/>
      <c r="J1373" s="13" t="n">
        <v>11383</v>
      </c>
      <c r="K1373" s="12" t="n">
        <v>8.4</v>
      </c>
      <c r="L1373" s="12" t="s">
        <v>674</v>
      </c>
      <c r="M1373" s="12" t="s">
        <v>5968</v>
      </c>
    </row>
    <row r="1374" customFormat="false" ht="15" hidden="false" customHeight="false" outlineLevel="0" collapsed="false">
      <c r="A1374" s="12" t="s">
        <v>5137</v>
      </c>
      <c r="B1374" s="12" t="s">
        <v>5969</v>
      </c>
      <c r="C1374" s="12" t="s">
        <v>5970</v>
      </c>
      <c r="D1374" s="12" t="s">
        <v>505</v>
      </c>
      <c r="E1374" s="12" t="n">
        <v>2</v>
      </c>
      <c r="F1374" s="12" t="s">
        <v>2309</v>
      </c>
      <c r="G1374" s="12" t="s">
        <v>2310</v>
      </c>
      <c r="H1374" s="17"/>
      <c r="I1374" s="17"/>
      <c r="J1374" s="13" t="n">
        <v>11376</v>
      </c>
      <c r="K1374" s="12" t="n">
        <v>7.5</v>
      </c>
      <c r="L1374" s="12" t="s">
        <v>128</v>
      </c>
      <c r="M1374" s="12" t="s">
        <v>5971</v>
      </c>
    </row>
    <row r="1375" customFormat="false" ht="15" hidden="false" customHeight="false" outlineLevel="0" collapsed="false">
      <c r="A1375" s="12" t="s">
        <v>5137</v>
      </c>
      <c r="B1375" s="12" t="s">
        <v>5972</v>
      </c>
      <c r="C1375" s="12" t="s">
        <v>5972</v>
      </c>
      <c r="D1375" s="12" t="s">
        <v>111</v>
      </c>
      <c r="E1375" s="12" t="n">
        <v>2</v>
      </c>
      <c r="F1375" s="12" t="s">
        <v>2688</v>
      </c>
      <c r="G1375" s="12" t="s">
        <v>2310</v>
      </c>
      <c r="H1375" s="17"/>
      <c r="I1375" s="17"/>
      <c r="J1375" s="13" t="n">
        <v>10638</v>
      </c>
      <c r="K1375" s="12" t="n">
        <v>7.1</v>
      </c>
      <c r="L1375" s="12" t="s">
        <v>674</v>
      </c>
      <c r="M1375" s="12" t="s">
        <v>5973</v>
      </c>
    </row>
    <row r="1376" customFormat="false" ht="15" hidden="false" customHeight="false" outlineLevel="0" collapsed="false">
      <c r="A1376" s="12" t="s">
        <v>5137</v>
      </c>
      <c r="B1376" s="12" t="s">
        <v>5974</v>
      </c>
      <c r="C1376" s="12" t="s">
        <v>5975</v>
      </c>
      <c r="D1376" s="12" t="s">
        <v>118</v>
      </c>
      <c r="E1376" s="12" t="n">
        <v>2</v>
      </c>
      <c r="F1376" s="12" t="s">
        <v>2688</v>
      </c>
      <c r="G1376" s="12" t="s">
        <v>2310</v>
      </c>
      <c r="H1376" s="17"/>
      <c r="I1376" s="17"/>
      <c r="J1376" s="13" t="n">
        <v>10485</v>
      </c>
      <c r="K1376" s="12" t="n">
        <v>6.9</v>
      </c>
      <c r="L1376" s="12" t="s">
        <v>674</v>
      </c>
      <c r="M1376" s="12" t="s">
        <v>5976</v>
      </c>
    </row>
    <row r="1377" customFormat="false" ht="15" hidden="false" customHeight="false" outlineLevel="0" collapsed="false">
      <c r="A1377" s="12" t="s">
        <v>5137</v>
      </c>
      <c r="B1377" s="12" t="s">
        <v>5977</v>
      </c>
      <c r="C1377" s="12" t="s">
        <v>5978</v>
      </c>
      <c r="D1377" s="12" t="s">
        <v>90</v>
      </c>
      <c r="E1377" s="12" t="n">
        <v>2</v>
      </c>
      <c r="F1377" s="12" t="s">
        <v>2688</v>
      </c>
      <c r="G1377" s="12" t="s">
        <v>2310</v>
      </c>
      <c r="H1377" s="17"/>
      <c r="I1377" s="17"/>
      <c r="J1377" s="13" t="n">
        <v>9908</v>
      </c>
      <c r="K1377" s="12" t="n">
        <v>7.1</v>
      </c>
      <c r="L1377" s="12" t="s">
        <v>674</v>
      </c>
      <c r="M1377" s="12" t="s">
        <v>5979</v>
      </c>
    </row>
    <row r="1378" customFormat="false" ht="15" hidden="false" customHeight="false" outlineLevel="0" collapsed="false">
      <c r="A1378" s="12" t="s">
        <v>5137</v>
      </c>
      <c r="B1378" s="12" t="s">
        <v>5980</v>
      </c>
      <c r="C1378" s="12" t="s">
        <v>5981</v>
      </c>
      <c r="D1378" s="12" t="s">
        <v>1103</v>
      </c>
      <c r="E1378" s="12" t="n">
        <v>2</v>
      </c>
      <c r="F1378" s="12" t="s">
        <v>5179</v>
      </c>
      <c r="G1378" s="12" t="s">
        <v>2310</v>
      </c>
      <c r="H1378" s="17"/>
      <c r="I1378" s="17"/>
      <c r="J1378" s="13" t="n">
        <v>8762</v>
      </c>
      <c r="K1378" s="12" t="n">
        <v>9</v>
      </c>
      <c r="L1378" s="12" t="s">
        <v>2232</v>
      </c>
      <c r="M1378" s="12" t="s">
        <v>5982</v>
      </c>
    </row>
    <row r="1379" customFormat="false" ht="15" hidden="false" customHeight="false" outlineLevel="0" collapsed="false">
      <c r="A1379" s="12" t="s">
        <v>5137</v>
      </c>
      <c r="B1379" s="12" t="s">
        <v>5983</v>
      </c>
      <c r="C1379" s="12" t="s">
        <v>5984</v>
      </c>
      <c r="D1379" s="12" t="s">
        <v>175</v>
      </c>
      <c r="E1379" s="12" t="n">
        <v>2</v>
      </c>
      <c r="F1379" s="12" t="s">
        <v>2309</v>
      </c>
      <c r="G1379" s="12" t="s">
        <v>2310</v>
      </c>
      <c r="H1379" s="17"/>
      <c r="I1379" s="17"/>
      <c r="J1379" s="13" t="n">
        <v>8752</v>
      </c>
      <c r="K1379" s="12" t="n">
        <v>6.1</v>
      </c>
      <c r="L1379" s="12" t="s">
        <v>128</v>
      </c>
      <c r="M1379" s="12" t="s">
        <v>5985</v>
      </c>
    </row>
    <row r="1380" customFormat="false" ht="15" hidden="false" customHeight="false" outlineLevel="0" collapsed="false">
      <c r="A1380" s="12" t="s">
        <v>5137</v>
      </c>
      <c r="B1380" s="12" t="s">
        <v>5986</v>
      </c>
      <c r="C1380" s="12" t="s">
        <v>5987</v>
      </c>
      <c r="D1380" s="12" t="s">
        <v>265</v>
      </c>
      <c r="E1380" s="12" t="n">
        <v>2</v>
      </c>
      <c r="F1380" s="12" t="s">
        <v>2309</v>
      </c>
      <c r="G1380" s="12" t="s">
        <v>2310</v>
      </c>
      <c r="H1380" s="17"/>
      <c r="I1380" s="17"/>
      <c r="J1380" s="13" t="n">
        <v>8441</v>
      </c>
      <c r="K1380" s="12" t="n">
        <v>6.4</v>
      </c>
      <c r="L1380" s="12" t="s">
        <v>128</v>
      </c>
      <c r="M1380" s="12" t="s">
        <v>5988</v>
      </c>
    </row>
    <row r="1381" customFormat="false" ht="15" hidden="false" customHeight="false" outlineLevel="0" collapsed="false">
      <c r="A1381" s="12" t="s">
        <v>5137</v>
      </c>
      <c r="B1381" s="12" t="s">
        <v>5989</v>
      </c>
      <c r="C1381" s="12" t="s">
        <v>5989</v>
      </c>
      <c r="D1381" s="12" t="s">
        <v>158</v>
      </c>
      <c r="E1381" s="12" t="n">
        <v>1</v>
      </c>
      <c r="F1381" s="12" t="s">
        <v>5156</v>
      </c>
      <c r="G1381" s="12" t="s">
        <v>2405</v>
      </c>
      <c r="H1381" s="17"/>
      <c r="I1381" s="17"/>
      <c r="J1381" s="13" t="n">
        <v>11617</v>
      </c>
      <c r="K1381" s="12" t="n">
        <v>6.5</v>
      </c>
      <c r="L1381" s="12" t="s">
        <v>1891</v>
      </c>
      <c r="M1381" s="12" t="s">
        <v>5990</v>
      </c>
    </row>
    <row r="1382" customFormat="false" ht="15" hidden="false" customHeight="false" outlineLevel="0" collapsed="false">
      <c r="A1382" s="12" t="s">
        <v>5137</v>
      </c>
      <c r="B1382" s="12" t="s">
        <v>5991</v>
      </c>
      <c r="C1382" s="12" t="s">
        <v>5991</v>
      </c>
      <c r="D1382" s="12" t="s">
        <v>251</v>
      </c>
      <c r="E1382" s="12" t="n">
        <v>2</v>
      </c>
      <c r="F1382" s="12" t="s">
        <v>2309</v>
      </c>
      <c r="G1382" s="12" t="s">
        <v>2310</v>
      </c>
      <c r="H1382" s="17"/>
      <c r="I1382" s="17"/>
      <c r="J1382" s="13" t="n">
        <v>6683</v>
      </c>
      <c r="K1382" s="12" t="n">
        <v>6</v>
      </c>
      <c r="L1382" s="12" t="s">
        <v>128</v>
      </c>
      <c r="M1382" s="12" t="s">
        <v>5992</v>
      </c>
    </row>
    <row r="1383" customFormat="false" ht="15" hidden="false" customHeight="false" outlineLevel="0" collapsed="false">
      <c r="A1383" s="12" t="s">
        <v>5137</v>
      </c>
      <c r="B1383" s="12" t="s">
        <v>5993</v>
      </c>
      <c r="C1383" s="12" t="s">
        <v>5994</v>
      </c>
      <c r="D1383" s="12" t="s">
        <v>202</v>
      </c>
      <c r="E1383" s="12" t="n">
        <v>1</v>
      </c>
      <c r="F1383" s="12" t="s">
        <v>5156</v>
      </c>
      <c r="G1383" s="12" t="s">
        <v>2405</v>
      </c>
      <c r="H1383" s="17"/>
      <c r="I1383" s="17"/>
      <c r="J1383" s="13" t="n">
        <v>10070</v>
      </c>
      <c r="K1383" s="12" t="n">
        <v>6.1</v>
      </c>
      <c r="L1383" s="12" t="s">
        <v>1891</v>
      </c>
      <c r="M1383" s="12" t="s">
        <v>5995</v>
      </c>
    </row>
    <row r="1384" customFormat="false" ht="15" hidden="false" customHeight="false" outlineLevel="0" collapsed="false">
      <c r="A1384" s="12" t="s">
        <v>5137</v>
      </c>
      <c r="B1384" s="12" t="s">
        <v>5996</v>
      </c>
      <c r="C1384" s="12" t="s">
        <v>5997</v>
      </c>
      <c r="D1384" s="12" t="s">
        <v>90</v>
      </c>
      <c r="E1384" s="12" t="n">
        <v>2</v>
      </c>
      <c r="F1384" s="12" t="s">
        <v>2688</v>
      </c>
      <c r="G1384" s="12" t="s">
        <v>2310</v>
      </c>
      <c r="H1384" s="17"/>
      <c r="I1384" s="17"/>
      <c r="J1384" s="13" t="n">
        <v>6028</v>
      </c>
      <c r="K1384" s="12" t="n">
        <v>7.4</v>
      </c>
      <c r="L1384" s="12" t="s">
        <v>674</v>
      </c>
      <c r="M1384" s="12" t="s">
        <v>5998</v>
      </c>
    </row>
    <row r="1385" customFormat="false" ht="15" hidden="false" customHeight="false" outlineLevel="0" collapsed="false">
      <c r="A1385" s="12" t="s">
        <v>5137</v>
      </c>
      <c r="B1385" s="12" t="s">
        <v>5999</v>
      </c>
      <c r="C1385" s="12" t="s">
        <v>6000</v>
      </c>
      <c r="D1385" s="12" t="s">
        <v>265</v>
      </c>
      <c r="E1385" s="12" t="n">
        <v>2</v>
      </c>
      <c r="F1385" s="12" t="s">
        <v>2309</v>
      </c>
      <c r="G1385" s="12" t="s">
        <v>2310</v>
      </c>
      <c r="H1385" s="17"/>
      <c r="I1385" s="17"/>
      <c r="J1385" s="13" t="n">
        <v>5753</v>
      </c>
      <c r="K1385" s="12" t="n">
        <v>7.1</v>
      </c>
      <c r="L1385" s="12" t="s">
        <v>128</v>
      </c>
      <c r="M1385" s="12" t="s">
        <v>6001</v>
      </c>
    </row>
    <row r="1386" customFormat="false" ht="15" hidden="false" customHeight="false" outlineLevel="0" collapsed="false">
      <c r="A1386" s="12" t="s">
        <v>5137</v>
      </c>
      <c r="B1386" s="12" t="s">
        <v>6002</v>
      </c>
      <c r="C1386" s="12" t="s">
        <v>6003</v>
      </c>
      <c r="D1386" s="12" t="s">
        <v>101</v>
      </c>
      <c r="E1386" s="12" t="n">
        <v>2</v>
      </c>
      <c r="F1386" s="12" t="s">
        <v>2688</v>
      </c>
      <c r="G1386" s="12" t="s">
        <v>2310</v>
      </c>
      <c r="H1386" s="17"/>
      <c r="I1386" s="17"/>
      <c r="J1386" s="13" t="n">
        <v>4798</v>
      </c>
      <c r="K1386" s="12" t="n">
        <v>7.1</v>
      </c>
      <c r="L1386" s="12" t="s">
        <v>674</v>
      </c>
      <c r="M1386" s="12" t="s">
        <v>6004</v>
      </c>
    </row>
    <row r="1387" customFormat="false" ht="15" hidden="false" customHeight="false" outlineLevel="0" collapsed="false">
      <c r="A1387" s="12" t="s">
        <v>5137</v>
      </c>
      <c r="B1387" s="12" t="s">
        <v>6005</v>
      </c>
      <c r="C1387" s="12" t="s">
        <v>6006</v>
      </c>
      <c r="D1387" s="12" t="s">
        <v>101</v>
      </c>
      <c r="E1387" s="12" t="n">
        <v>1</v>
      </c>
      <c r="F1387" s="12" t="s">
        <v>5156</v>
      </c>
      <c r="G1387" s="12" t="s">
        <v>2405</v>
      </c>
      <c r="H1387" s="17"/>
      <c r="I1387" s="17"/>
      <c r="J1387" s="13" t="n">
        <v>8295</v>
      </c>
      <c r="K1387" s="12" t="n">
        <v>7.1</v>
      </c>
      <c r="L1387" s="12" t="s">
        <v>1834</v>
      </c>
      <c r="M1387" s="12" t="s">
        <v>6007</v>
      </c>
    </row>
    <row r="1388" customFormat="false" ht="15" hidden="false" customHeight="false" outlineLevel="0" collapsed="false">
      <c r="A1388" s="12" t="s">
        <v>5137</v>
      </c>
      <c r="B1388" s="12" t="s">
        <v>6008</v>
      </c>
      <c r="C1388" s="12" t="s">
        <v>6009</v>
      </c>
      <c r="D1388" s="12" t="s">
        <v>265</v>
      </c>
      <c r="E1388" s="12" t="n">
        <v>2</v>
      </c>
      <c r="F1388" s="12" t="s">
        <v>2309</v>
      </c>
      <c r="G1388" s="12" t="s">
        <v>2310</v>
      </c>
      <c r="H1388" s="17"/>
      <c r="I1388" s="17"/>
      <c r="J1388" s="13" t="n">
        <v>3928</v>
      </c>
      <c r="K1388" s="12" t="n">
        <v>7.7</v>
      </c>
      <c r="L1388" s="12" t="s">
        <v>128</v>
      </c>
      <c r="M1388" s="12" t="s">
        <v>6010</v>
      </c>
    </row>
    <row r="1389" customFormat="false" ht="15" hidden="false" customHeight="false" outlineLevel="0" collapsed="false">
      <c r="A1389" s="12" t="s">
        <v>5137</v>
      </c>
      <c r="B1389" s="12" t="s">
        <v>6011</v>
      </c>
      <c r="C1389" s="12" t="s">
        <v>6012</v>
      </c>
      <c r="D1389" s="12" t="s">
        <v>265</v>
      </c>
      <c r="E1389" s="12" t="n">
        <v>2</v>
      </c>
      <c r="F1389" s="12" t="s">
        <v>2309</v>
      </c>
      <c r="G1389" s="12" t="s">
        <v>2310</v>
      </c>
      <c r="H1389" s="17"/>
      <c r="I1389" s="17"/>
      <c r="J1389" s="13" t="n">
        <v>3828</v>
      </c>
      <c r="K1389" s="12" t="n">
        <v>7.2</v>
      </c>
      <c r="L1389" s="12" t="s">
        <v>128</v>
      </c>
      <c r="M1389" s="12" t="s">
        <v>6013</v>
      </c>
    </row>
    <row r="1390" customFormat="false" ht="15" hidden="false" customHeight="false" outlineLevel="0" collapsed="false">
      <c r="A1390" s="12" t="s">
        <v>5137</v>
      </c>
      <c r="B1390" s="12" t="s">
        <v>6014</v>
      </c>
      <c r="C1390" s="12" t="s">
        <v>6014</v>
      </c>
      <c r="D1390" s="12" t="s">
        <v>265</v>
      </c>
      <c r="E1390" s="12" t="n">
        <v>2</v>
      </c>
      <c r="F1390" s="12" t="s">
        <v>2309</v>
      </c>
      <c r="G1390" s="12" t="s">
        <v>2310</v>
      </c>
      <c r="H1390" s="17"/>
      <c r="I1390" s="17"/>
      <c r="J1390" s="13" t="n">
        <v>3759</v>
      </c>
      <c r="K1390" s="12" t="n">
        <v>8.1</v>
      </c>
      <c r="L1390" s="12" t="s">
        <v>128</v>
      </c>
      <c r="M1390" s="12" t="s">
        <v>6015</v>
      </c>
    </row>
    <row r="1391" customFormat="false" ht="15" hidden="false" customHeight="false" outlineLevel="0" collapsed="false">
      <c r="A1391" s="12" t="s">
        <v>5137</v>
      </c>
      <c r="B1391" s="12" t="s">
        <v>6016</v>
      </c>
      <c r="C1391" s="12" t="s">
        <v>6016</v>
      </c>
      <c r="D1391" s="12" t="s">
        <v>1103</v>
      </c>
      <c r="E1391" s="12" t="n">
        <v>1</v>
      </c>
      <c r="F1391" s="12" t="s">
        <v>5156</v>
      </c>
      <c r="G1391" s="12" t="s">
        <v>2405</v>
      </c>
      <c r="H1391" s="17"/>
      <c r="I1391" s="17"/>
      <c r="J1391" s="13" t="n">
        <v>7531</v>
      </c>
      <c r="K1391" s="12" t="n">
        <v>7.4</v>
      </c>
      <c r="L1391" s="12" t="s">
        <v>1891</v>
      </c>
      <c r="M1391" s="12" t="s">
        <v>6017</v>
      </c>
    </row>
    <row r="1392" customFormat="false" ht="15" hidden="false" customHeight="false" outlineLevel="0" collapsed="false">
      <c r="A1392" s="12" t="s">
        <v>5137</v>
      </c>
      <c r="B1392" s="12" t="s">
        <v>6018</v>
      </c>
      <c r="C1392" s="12" t="s">
        <v>6019</v>
      </c>
      <c r="D1392" s="12" t="s">
        <v>1103</v>
      </c>
      <c r="E1392" s="12" t="n">
        <v>2</v>
      </c>
      <c r="F1392" s="12" t="s">
        <v>2688</v>
      </c>
      <c r="G1392" s="12" t="s">
        <v>2310</v>
      </c>
      <c r="H1392" s="17"/>
      <c r="I1392" s="17"/>
      <c r="J1392" s="13" t="n">
        <v>3656</v>
      </c>
      <c r="K1392" s="12" t="n">
        <v>8.3</v>
      </c>
      <c r="L1392" s="12" t="s">
        <v>674</v>
      </c>
      <c r="M1392" s="12" t="s">
        <v>6020</v>
      </c>
    </row>
    <row r="1393" customFormat="false" ht="15" hidden="false" customHeight="false" outlineLevel="0" collapsed="false">
      <c r="A1393" s="12" t="s">
        <v>5137</v>
      </c>
      <c r="B1393" s="12" t="s">
        <v>6021</v>
      </c>
      <c r="C1393" s="12" t="s">
        <v>6022</v>
      </c>
      <c r="D1393" s="12" t="s">
        <v>265</v>
      </c>
      <c r="E1393" s="12" t="n">
        <v>2</v>
      </c>
      <c r="F1393" s="12" t="s">
        <v>2309</v>
      </c>
      <c r="G1393" s="12" t="s">
        <v>2310</v>
      </c>
      <c r="H1393" s="17"/>
      <c r="I1393" s="17"/>
      <c r="J1393" s="13" t="n">
        <v>3455</v>
      </c>
      <c r="K1393" s="12" t="n">
        <v>6.7</v>
      </c>
      <c r="L1393" s="12" t="s">
        <v>128</v>
      </c>
      <c r="M1393" s="12" t="s">
        <v>6023</v>
      </c>
    </row>
    <row r="1394" customFormat="false" ht="15" hidden="false" customHeight="false" outlineLevel="0" collapsed="false">
      <c r="A1394" s="12" t="s">
        <v>5137</v>
      </c>
      <c r="B1394" s="12" t="s">
        <v>6024</v>
      </c>
      <c r="C1394" s="12" t="s">
        <v>6025</v>
      </c>
      <c r="D1394" s="12" t="s">
        <v>90</v>
      </c>
      <c r="E1394" s="12" t="n">
        <v>2</v>
      </c>
      <c r="F1394" s="12" t="s">
        <v>2688</v>
      </c>
      <c r="G1394" s="12" t="s">
        <v>2310</v>
      </c>
      <c r="H1394" s="17"/>
      <c r="I1394" s="17"/>
      <c r="J1394" s="13" t="n">
        <v>3166</v>
      </c>
      <c r="K1394" s="12" t="n">
        <v>7.6</v>
      </c>
      <c r="L1394" s="12" t="s">
        <v>674</v>
      </c>
      <c r="M1394" s="12" t="s">
        <v>6026</v>
      </c>
    </row>
    <row r="1395" customFormat="false" ht="15" hidden="false" customHeight="false" outlineLevel="0" collapsed="false">
      <c r="A1395" s="12" t="s">
        <v>5137</v>
      </c>
      <c r="B1395" s="12" t="s">
        <v>6027</v>
      </c>
      <c r="C1395" s="12" t="s">
        <v>6027</v>
      </c>
      <c r="D1395" s="12" t="s">
        <v>265</v>
      </c>
      <c r="E1395" s="12" t="n">
        <v>2</v>
      </c>
      <c r="F1395" s="12" t="s">
        <v>2309</v>
      </c>
      <c r="G1395" s="12" t="s">
        <v>2310</v>
      </c>
      <c r="H1395" s="17"/>
      <c r="I1395" s="17"/>
      <c r="J1395" s="13" t="n">
        <v>2703</v>
      </c>
      <c r="K1395" s="12" t="n">
        <v>7.3</v>
      </c>
      <c r="L1395" s="12" t="s">
        <v>128</v>
      </c>
      <c r="M1395" s="12" t="s">
        <v>6028</v>
      </c>
    </row>
    <row r="1396" customFormat="false" ht="15" hidden="false" customHeight="false" outlineLevel="0" collapsed="false">
      <c r="A1396" s="12" t="s">
        <v>5137</v>
      </c>
      <c r="B1396" s="12" t="s">
        <v>6029</v>
      </c>
      <c r="C1396" s="12" t="s">
        <v>6030</v>
      </c>
      <c r="D1396" s="12" t="s">
        <v>101</v>
      </c>
      <c r="E1396" s="12" t="n">
        <v>2</v>
      </c>
      <c r="F1396" s="12" t="s">
        <v>2688</v>
      </c>
      <c r="G1396" s="12" t="s">
        <v>2310</v>
      </c>
      <c r="H1396" s="17"/>
      <c r="I1396" s="17"/>
      <c r="J1396" s="13" t="n">
        <v>2542</v>
      </c>
      <c r="K1396" s="12" t="n">
        <v>7.2</v>
      </c>
      <c r="L1396" s="12" t="s">
        <v>674</v>
      </c>
      <c r="M1396" s="12" t="s">
        <v>6031</v>
      </c>
    </row>
    <row r="1397" customFormat="false" ht="15" hidden="false" customHeight="false" outlineLevel="0" collapsed="false">
      <c r="A1397" s="12" t="s">
        <v>5137</v>
      </c>
      <c r="B1397" s="12" t="s">
        <v>6032</v>
      </c>
      <c r="C1397" s="12" t="s">
        <v>6033</v>
      </c>
      <c r="D1397" s="12" t="s">
        <v>265</v>
      </c>
      <c r="E1397" s="12" t="n">
        <v>2</v>
      </c>
      <c r="F1397" s="12" t="s">
        <v>2309</v>
      </c>
      <c r="G1397" s="12" t="s">
        <v>2310</v>
      </c>
      <c r="H1397" s="17"/>
      <c r="I1397" s="17"/>
      <c r="J1397" s="13" t="n">
        <v>2331</v>
      </c>
      <c r="K1397" s="12" t="n">
        <v>6.3</v>
      </c>
      <c r="L1397" s="12" t="s">
        <v>128</v>
      </c>
      <c r="M1397" s="12" t="s">
        <v>6034</v>
      </c>
    </row>
    <row r="1398" customFormat="false" ht="15" hidden="false" customHeight="false" outlineLevel="0" collapsed="false">
      <c r="A1398" s="12" t="s">
        <v>5137</v>
      </c>
      <c r="B1398" s="12" t="s">
        <v>6035</v>
      </c>
      <c r="C1398" s="12" t="s">
        <v>6035</v>
      </c>
      <c r="D1398" s="12" t="s">
        <v>152</v>
      </c>
      <c r="E1398" s="12" t="n">
        <v>1</v>
      </c>
      <c r="F1398" s="12" t="s">
        <v>5156</v>
      </c>
      <c r="G1398" s="12" t="s">
        <v>2405</v>
      </c>
      <c r="H1398" s="17"/>
      <c r="I1398" s="17"/>
      <c r="J1398" s="13" t="n">
        <v>4506</v>
      </c>
      <c r="K1398" s="12" t="n">
        <v>7.1</v>
      </c>
      <c r="L1398" s="12" t="s">
        <v>1891</v>
      </c>
      <c r="M1398" s="12" t="s">
        <v>6036</v>
      </c>
    </row>
    <row r="1399" customFormat="false" ht="15" hidden="false" customHeight="false" outlineLevel="0" collapsed="false">
      <c r="A1399" s="12" t="s">
        <v>5137</v>
      </c>
      <c r="B1399" s="12" t="s">
        <v>6037</v>
      </c>
      <c r="C1399" s="12" t="s">
        <v>6037</v>
      </c>
      <c r="D1399" s="12" t="s">
        <v>90</v>
      </c>
      <c r="E1399" s="12" t="n">
        <v>1</v>
      </c>
      <c r="F1399" s="12" t="s">
        <v>5156</v>
      </c>
      <c r="G1399" s="12" t="s">
        <v>2405</v>
      </c>
      <c r="H1399" s="17"/>
      <c r="I1399" s="17"/>
      <c r="J1399" s="13" t="n">
        <v>4187</v>
      </c>
      <c r="K1399" s="12" t="n">
        <v>7.8</v>
      </c>
      <c r="L1399" s="12" t="s">
        <v>1891</v>
      </c>
      <c r="M1399" s="12" t="s">
        <v>6038</v>
      </c>
    </row>
    <row r="1400" customFormat="false" ht="15" hidden="false" customHeight="false" outlineLevel="0" collapsed="false">
      <c r="A1400" s="12" t="s">
        <v>5137</v>
      </c>
      <c r="B1400" s="12" t="s">
        <v>6039</v>
      </c>
      <c r="C1400" s="12" t="s">
        <v>6040</v>
      </c>
      <c r="D1400" s="12" t="s">
        <v>265</v>
      </c>
      <c r="E1400" s="12" t="n">
        <v>2</v>
      </c>
      <c r="F1400" s="12" t="s">
        <v>2309</v>
      </c>
      <c r="G1400" s="12" t="s">
        <v>2310</v>
      </c>
      <c r="H1400" s="17"/>
      <c r="I1400" s="17"/>
      <c r="J1400" s="13" t="n">
        <v>1809</v>
      </c>
      <c r="K1400" s="12" t="n">
        <v>8.2</v>
      </c>
      <c r="L1400" s="12" t="s">
        <v>128</v>
      </c>
      <c r="M1400" s="12" t="s">
        <v>6041</v>
      </c>
    </row>
    <row r="1401" customFormat="false" ht="15" hidden="false" customHeight="false" outlineLevel="0" collapsed="false">
      <c r="A1401" s="12" t="s">
        <v>5137</v>
      </c>
      <c r="B1401" s="12" t="s">
        <v>6042</v>
      </c>
      <c r="C1401" s="12" t="s">
        <v>6042</v>
      </c>
      <c r="D1401" s="12" t="s">
        <v>175</v>
      </c>
      <c r="E1401" s="12" t="n">
        <v>1</v>
      </c>
      <c r="F1401" s="12" t="s">
        <v>5156</v>
      </c>
      <c r="G1401" s="12" t="s">
        <v>2405</v>
      </c>
      <c r="H1401" s="17"/>
      <c r="I1401" s="17"/>
      <c r="J1401" s="13" t="n">
        <v>3658</v>
      </c>
      <c r="K1401" s="12" t="n">
        <v>7.2</v>
      </c>
      <c r="L1401" s="12" t="s">
        <v>1891</v>
      </c>
      <c r="M1401" s="12" t="s">
        <v>6043</v>
      </c>
    </row>
    <row r="1402" customFormat="false" ht="15" hidden="false" customHeight="false" outlineLevel="0" collapsed="false">
      <c r="A1402" s="12" t="s">
        <v>5137</v>
      </c>
      <c r="B1402" s="12" t="s">
        <v>6044</v>
      </c>
      <c r="C1402" s="12" t="s">
        <v>6044</v>
      </c>
      <c r="D1402" s="12" t="s">
        <v>140</v>
      </c>
      <c r="E1402" s="12" t="n">
        <v>1</v>
      </c>
      <c r="F1402" s="12" t="s">
        <v>5156</v>
      </c>
      <c r="G1402" s="12" t="s">
        <v>2405</v>
      </c>
      <c r="H1402" s="17"/>
      <c r="I1402" s="17"/>
      <c r="J1402" s="13" t="n">
        <v>3353</v>
      </c>
      <c r="K1402" s="12" t="n">
        <v>8.4</v>
      </c>
      <c r="L1402" s="12" t="s">
        <v>1891</v>
      </c>
      <c r="M1402" s="12" t="s">
        <v>6045</v>
      </c>
    </row>
    <row r="1403" customFormat="false" ht="15" hidden="false" customHeight="false" outlineLevel="0" collapsed="false">
      <c r="A1403" s="12" t="s">
        <v>5137</v>
      </c>
      <c r="C1403" s="12" t="s">
        <v>6046</v>
      </c>
      <c r="D1403" s="12" t="s">
        <v>90</v>
      </c>
      <c r="E1403" s="12" t="n">
        <v>2</v>
      </c>
      <c r="F1403" s="12" t="s">
        <v>2688</v>
      </c>
      <c r="G1403" s="12" t="s">
        <v>2310</v>
      </c>
      <c r="H1403" s="17"/>
      <c r="I1403" s="17"/>
      <c r="J1403" s="13" t="n">
        <v>1173</v>
      </c>
      <c r="K1403" s="12" t="n">
        <v>7.3</v>
      </c>
      <c r="L1403" s="12" t="s">
        <v>674</v>
      </c>
      <c r="M1403" s="12" t="s">
        <v>6047</v>
      </c>
    </row>
    <row r="1404" customFormat="false" ht="15" hidden="false" customHeight="false" outlineLevel="0" collapsed="false">
      <c r="A1404" s="12" t="s">
        <v>5137</v>
      </c>
      <c r="B1404" s="12" t="s">
        <v>6048</v>
      </c>
      <c r="C1404" s="12" t="s">
        <v>6048</v>
      </c>
      <c r="D1404" s="12" t="s">
        <v>273</v>
      </c>
      <c r="E1404" s="12" t="n">
        <v>1</v>
      </c>
      <c r="F1404" s="12" t="s">
        <v>5156</v>
      </c>
      <c r="G1404" s="12" t="s">
        <v>2405</v>
      </c>
      <c r="H1404" s="17"/>
      <c r="I1404" s="17"/>
      <c r="J1404" s="13" t="n">
        <v>3135</v>
      </c>
      <c r="K1404" s="12" t="n">
        <v>8.2</v>
      </c>
      <c r="L1404" s="12" t="s">
        <v>1891</v>
      </c>
      <c r="M1404" s="12" t="s">
        <v>6049</v>
      </c>
    </row>
    <row r="1405" customFormat="false" ht="15" hidden="false" customHeight="false" outlineLevel="0" collapsed="false">
      <c r="A1405" s="12" t="s">
        <v>5137</v>
      </c>
      <c r="B1405" s="12" t="s">
        <v>6050</v>
      </c>
      <c r="C1405" s="12" t="s">
        <v>6050</v>
      </c>
      <c r="D1405" s="12" t="s">
        <v>265</v>
      </c>
      <c r="E1405" s="12" t="n">
        <v>2</v>
      </c>
      <c r="F1405" s="12" t="s">
        <v>2309</v>
      </c>
      <c r="G1405" s="12" t="s">
        <v>2310</v>
      </c>
      <c r="H1405" s="17"/>
      <c r="I1405" s="17"/>
      <c r="J1405" s="13" t="n">
        <v>991</v>
      </c>
      <c r="K1405" s="12" t="n">
        <v>7.1</v>
      </c>
      <c r="L1405" s="12" t="s">
        <v>128</v>
      </c>
      <c r="M1405" s="12" t="s">
        <v>6051</v>
      </c>
    </row>
    <row r="1406" customFormat="false" ht="15" hidden="false" customHeight="false" outlineLevel="0" collapsed="false">
      <c r="A1406" s="12" t="s">
        <v>5137</v>
      </c>
      <c r="B1406" s="12" t="s">
        <v>6052</v>
      </c>
      <c r="C1406" s="12" t="s">
        <v>6053</v>
      </c>
      <c r="D1406" s="12" t="s">
        <v>265</v>
      </c>
      <c r="E1406" s="12" t="n">
        <v>2</v>
      </c>
      <c r="F1406" s="12" t="s">
        <v>2309</v>
      </c>
      <c r="G1406" s="12" t="s">
        <v>2310</v>
      </c>
      <c r="H1406" s="17"/>
      <c r="I1406" s="17"/>
      <c r="J1406" s="13" t="n">
        <v>830</v>
      </c>
      <c r="K1406" s="12" t="n">
        <v>5.8</v>
      </c>
      <c r="L1406" s="12" t="s">
        <v>128</v>
      </c>
      <c r="M1406" s="12" t="s">
        <v>6054</v>
      </c>
    </row>
    <row r="1407" customFormat="false" ht="15" hidden="false" customHeight="false" outlineLevel="0" collapsed="false">
      <c r="A1407" s="12" t="s">
        <v>5137</v>
      </c>
      <c r="B1407" s="12" t="s">
        <v>6055</v>
      </c>
      <c r="C1407" s="12" t="s">
        <v>6055</v>
      </c>
      <c r="D1407" s="12" t="s">
        <v>90</v>
      </c>
      <c r="E1407" s="12" t="n">
        <v>1</v>
      </c>
      <c r="F1407" s="12" t="s">
        <v>5156</v>
      </c>
      <c r="G1407" s="12" t="s">
        <v>2405</v>
      </c>
      <c r="H1407" s="17"/>
      <c r="I1407" s="17"/>
      <c r="J1407" s="13" t="n">
        <v>2142</v>
      </c>
      <c r="K1407" s="12" t="n">
        <v>7.5</v>
      </c>
      <c r="L1407" s="12" t="s">
        <v>1891</v>
      </c>
      <c r="M1407" s="12" t="s">
        <v>6056</v>
      </c>
    </row>
    <row r="1408" customFormat="false" ht="15" hidden="false" customHeight="false" outlineLevel="0" collapsed="false">
      <c r="A1408" s="12" t="s">
        <v>5137</v>
      </c>
      <c r="B1408" s="12" t="s">
        <v>6057</v>
      </c>
      <c r="C1408" s="12" t="s">
        <v>6057</v>
      </c>
      <c r="D1408" s="12" t="s">
        <v>265</v>
      </c>
      <c r="E1408" s="12" t="n">
        <v>2</v>
      </c>
      <c r="F1408" s="12" t="s">
        <v>2309</v>
      </c>
      <c r="G1408" s="12" t="s">
        <v>2310</v>
      </c>
      <c r="H1408" s="17"/>
      <c r="I1408" s="17"/>
      <c r="J1408" s="13" t="n">
        <v>737</v>
      </c>
      <c r="K1408" s="12" t="n">
        <v>6.8</v>
      </c>
      <c r="L1408" s="12" t="s">
        <v>128</v>
      </c>
      <c r="M1408" s="12" t="s">
        <v>6058</v>
      </c>
    </row>
    <row r="1409" customFormat="false" ht="15" hidden="false" customHeight="false" outlineLevel="0" collapsed="false">
      <c r="A1409" s="12" t="s">
        <v>5137</v>
      </c>
      <c r="B1409" s="12" t="s">
        <v>6059</v>
      </c>
      <c r="C1409" s="12" t="s">
        <v>6059</v>
      </c>
      <c r="D1409" s="12" t="s">
        <v>90</v>
      </c>
      <c r="E1409" s="12" t="n">
        <v>1</v>
      </c>
      <c r="F1409" s="12" t="s">
        <v>5156</v>
      </c>
      <c r="G1409" s="12" t="s">
        <v>2405</v>
      </c>
      <c r="H1409" s="17"/>
      <c r="I1409" s="17"/>
      <c r="J1409" s="13" t="n">
        <v>2101</v>
      </c>
      <c r="K1409" s="12" t="n">
        <v>6.8</v>
      </c>
      <c r="L1409" s="12" t="s">
        <v>1834</v>
      </c>
      <c r="M1409" s="12" t="s">
        <v>6060</v>
      </c>
    </row>
    <row r="1410" customFormat="false" ht="15" hidden="false" customHeight="false" outlineLevel="0" collapsed="false">
      <c r="A1410" s="12" t="s">
        <v>5137</v>
      </c>
      <c r="B1410" s="12" t="s">
        <v>6061</v>
      </c>
      <c r="C1410" s="12" t="s">
        <v>6062</v>
      </c>
      <c r="D1410" s="12" t="s">
        <v>265</v>
      </c>
      <c r="E1410" s="12" t="n">
        <v>2</v>
      </c>
      <c r="F1410" s="12" t="s">
        <v>2309</v>
      </c>
      <c r="G1410" s="12" t="s">
        <v>2310</v>
      </c>
      <c r="H1410" s="17"/>
      <c r="I1410" s="17"/>
      <c r="J1410" s="13" t="n">
        <v>715</v>
      </c>
      <c r="K1410" s="12" t="n">
        <v>6.3</v>
      </c>
      <c r="L1410" s="12" t="s">
        <v>128</v>
      </c>
      <c r="M1410" s="12" t="s">
        <v>6063</v>
      </c>
    </row>
    <row r="1411" customFormat="false" ht="15" hidden="false" customHeight="false" outlineLevel="0" collapsed="false">
      <c r="A1411" s="12" t="s">
        <v>5137</v>
      </c>
      <c r="B1411" s="12" t="s">
        <v>6064</v>
      </c>
      <c r="C1411" s="12" t="s">
        <v>6065</v>
      </c>
      <c r="D1411" s="12" t="s">
        <v>396</v>
      </c>
      <c r="E1411" s="12" t="n">
        <v>1</v>
      </c>
      <c r="F1411" s="12" t="s">
        <v>5156</v>
      </c>
      <c r="G1411" s="12" t="s">
        <v>2405</v>
      </c>
      <c r="H1411" s="17"/>
      <c r="I1411" s="17"/>
      <c r="J1411" s="13" t="n">
        <v>1944</v>
      </c>
      <c r="K1411" s="12" t="n">
        <v>7.8</v>
      </c>
      <c r="L1411" s="12" t="s">
        <v>1891</v>
      </c>
      <c r="M1411" s="12" t="s">
        <v>6066</v>
      </c>
    </row>
    <row r="1412" customFormat="false" ht="15" hidden="false" customHeight="false" outlineLevel="0" collapsed="false">
      <c r="A1412" s="12" t="s">
        <v>5137</v>
      </c>
      <c r="B1412" s="12" t="s">
        <v>6067</v>
      </c>
      <c r="C1412" s="12" t="s">
        <v>6067</v>
      </c>
      <c r="D1412" s="12" t="s">
        <v>396</v>
      </c>
      <c r="E1412" s="12" t="n">
        <v>1</v>
      </c>
      <c r="F1412" s="12" t="s">
        <v>5156</v>
      </c>
      <c r="G1412" s="12" t="s">
        <v>2405</v>
      </c>
      <c r="H1412" s="17"/>
      <c r="I1412" s="17"/>
      <c r="J1412" s="13" t="n">
        <v>1938</v>
      </c>
      <c r="K1412" s="12" t="n">
        <v>8.3</v>
      </c>
      <c r="L1412" s="12" t="s">
        <v>1891</v>
      </c>
      <c r="M1412" s="12" t="s">
        <v>6068</v>
      </c>
    </row>
    <row r="1413" customFormat="false" ht="15" hidden="false" customHeight="false" outlineLevel="0" collapsed="false">
      <c r="A1413" s="12" t="s">
        <v>5137</v>
      </c>
      <c r="B1413" s="12" t="s">
        <v>6069</v>
      </c>
      <c r="C1413" s="12" t="s">
        <v>6070</v>
      </c>
      <c r="D1413" s="12" t="s">
        <v>183</v>
      </c>
      <c r="E1413" s="12" t="n">
        <v>2</v>
      </c>
      <c r="F1413" s="12" t="s">
        <v>2309</v>
      </c>
      <c r="G1413" s="12" t="s">
        <v>2310</v>
      </c>
      <c r="H1413" s="17"/>
      <c r="I1413" s="17"/>
      <c r="J1413" s="13" t="n">
        <v>587</v>
      </c>
      <c r="K1413" s="12" t="n">
        <v>3.9</v>
      </c>
      <c r="L1413" s="12" t="s">
        <v>128</v>
      </c>
      <c r="M1413" s="12" t="s">
        <v>6071</v>
      </c>
    </row>
    <row r="1414" customFormat="false" ht="15" hidden="false" customHeight="false" outlineLevel="0" collapsed="false">
      <c r="A1414" s="12" t="s">
        <v>5137</v>
      </c>
      <c r="B1414" s="12" t="s">
        <v>6072</v>
      </c>
      <c r="C1414" s="12" t="s">
        <v>6073</v>
      </c>
      <c r="D1414" s="12" t="s">
        <v>358</v>
      </c>
      <c r="E1414" s="12" t="n">
        <v>2</v>
      </c>
      <c r="F1414" s="12" t="s">
        <v>2309</v>
      </c>
      <c r="G1414" s="12" t="s">
        <v>2310</v>
      </c>
      <c r="H1414" s="17"/>
      <c r="I1414" s="17"/>
      <c r="J1414" s="13" t="n">
        <v>490</v>
      </c>
      <c r="K1414" s="12" t="n">
        <v>7.3</v>
      </c>
      <c r="L1414" s="12" t="s">
        <v>128</v>
      </c>
      <c r="M1414" s="12" t="s">
        <v>6074</v>
      </c>
    </row>
    <row r="1415" customFormat="false" ht="15" hidden="false" customHeight="false" outlineLevel="0" collapsed="false">
      <c r="A1415" s="12" t="s">
        <v>5137</v>
      </c>
      <c r="B1415" s="12" t="s">
        <v>6075</v>
      </c>
      <c r="C1415" s="12" t="s">
        <v>6075</v>
      </c>
      <c r="D1415" s="12" t="s">
        <v>202</v>
      </c>
      <c r="E1415" s="12" t="n">
        <v>2</v>
      </c>
      <c r="F1415" s="12" t="s">
        <v>5179</v>
      </c>
      <c r="G1415" s="12" t="s">
        <v>2310</v>
      </c>
      <c r="H1415" s="17"/>
      <c r="I1415" s="17"/>
      <c r="J1415" s="13" t="n">
        <v>433</v>
      </c>
      <c r="K1415" s="12" t="n">
        <v>6.6</v>
      </c>
      <c r="L1415" s="12" t="s">
        <v>2232</v>
      </c>
      <c r="M1415" s="12" t="s">
        <v>6076</v>
      </c>
    </row>
    <row r="1416" customFormat="false" ht="15" hidden="false" customHeight="false" outlineLevel="0" collapsed="false">
      <c r="A1416" s="12" t="s">
        <v>5137</v>
      </c>
      <c r="C1416" s="12" t="s">
        <v>6077</v>
      </c>
      <c r="D1416" s="12" t="s">
        <v>1103</v>
      </c>
      <c r="E1416" s="12" t="n">
        <v>2</v>
      </c>
      <c r="F1416" s="12" t="s">
        <v>2688</v>
      </c>
      <c r="G1416" s="12" t="s">
        <v>2310</v>
      </c>
      <c r="H1416" s="17"/>
      <c r="I1416" s="17"/>
      <c r="J1416" s="13" t="n">
        <v>381</v>
      </c>
      <c r="K1416" s="12" t="n">
        <v>5.2</v>
      </c>
      <c r="L1416" s="12" t="s">
        <v>674</v>
      </c>
      <c r="M1416" s="12" t="s">
        <v>6078</v>
      </c>
    </row>
    <row r="1417" customFormat="false" ht="15" hidden="false" customHeight="false" outlineLevel="0" collapsed="false">
      <c r="A1417" s="12" t="s">
        <v>5137</v>
      </c>
      <c r="B1417" s="12" t="s">
        <v>6079</v>
      </c>
      <c r="C1417" s="12" t="s">
        <v>6079</v>
      </c>
      <c r="D1417" s="12" t="s">
        <v>214</v>
      </c>
      <c r="E1417" s="12" t="n">
        <v>1</v>
      </c>
      <c r="F1417" s="12" t="s">
        <v>5156</v>
      </c>
      <c r="G1417" s="12" t="s">
        <v>2405</v>
      </c>
      <c r="H1417" s="17"/>
      <c r="I1417" s="17"/>
      <c r="J1417" s="13" t="n">
        <v>1018</v>
      </c>
      <c r="K1417" s="12" t="n">
        <v>8.1</v>
      </c>
      <c r="L1417" s="12" t="s">
        <v>1891</v>
      </c>
      <c r="M1417" s="12" t="s">
        <v>6080</v>
      </c>
    </row>
    <row r="1418" customFormat="false" ht="15" hidden="false" customHeight="false" outlineLevel="0" collapsed="false">
      <c r="A1418" s="12" t="s">
        <v>5137</v>
      </c>
      <c r="B1418" s="12" t="s">
        <v>6081</v>
      </c>
      <c r="C1418" s="12" t="s">
        <v>6081</v>
      </c>
      <c r="D1418" s="12" t="s">
        <v>207</v>
      </c>
      <c r="E1418" s="12" t="n">
        <v>1</v>
      </c>
      <c r="F1418" s="12" t="s">
        <v>5156</v>
      </c>
      <c r="G1418" s="12" t="s">
        <v>2405</v>
      </c>
      <c r="H1418" s="17"/>
      <c r="I1418" s="17"/>
      <c r="J1418" s="13" t="n">
        <v>933</v>
      </c>
      <c r="K1418" s="12" t="n">
        <v>8.6</v>
      </c>
      <c r="L1418" s="12" t="s">
        <v>1891</v>
      </c>
      <c r="M1418" s="12" t="s">
        <v>6082</v>
      </c>
    </row>
    <row r="1419" customFormat="false" ht="15" hidden="false" customHeight="false" outlineLevel="0" collapsed="false">
      <c r="A1419" s="12" t="s">
        <v>5137</v>
      </c>
      <c r="B1419" s="12" t="s">
        <v>6083</v>
      </c>
      <c r="C1419" s="12" t="s">
        <v>6084</v>
      </c>
      <c r="D1419" s="12" t="s">
        <v>175</v>
      </c>
      <c r="E1419" s="12" t="n">
        <v>2</v>
      </c>
      <c r="F1419" s="12" t="s">
        <v>5179</v>
      </c>
      <c r="G1419" s="12" t="s">
        <v>2310</v>
      </c>
      <c r="H1419" s="17"/>
      <c r="I1419" s="17"/>
      <c r="J1419" s="13" t="n">
        <v>183</v>
      </c>
      <c r="K1419" s="12" t="n">
        <v>6.5</v>
      </c>
      <c r="L1419" s="12" t="s">
        <v>2232</v>
      </c>
      <c r="M1419" s="12" t="s">
        <v>6085</v>
      </c>
    </row>
    <row r="1420" customFormat="false" ht="15" hidden="false" customHeight="false" outlineLevel="0" collapsed="false">
      <c r="A1420" s="12" t="s">
        <v>5137</v>
      </c>
      <c r="B1420" s="12" t="s">
        <v>6086</v>
      </c>
      <c r="C1420" s="12" t="s">
        <v>6086</v>
      </c>
      <c r="D1420" s="12" t="s">
        <v>265</v>
      </c>
      <c r="E1420" s="12" t="n">
        <v>2</v>
      </c>
      <c r="F1420" s="12" t="s">
        <v>2309</v>
      </c>
      <c r="G1420" s="12" t="s">
        <v>2310</v>
      </c>
      <c r="H1420" s="17"/>
      <c r="I1420" s="17"/>
      <c r="J1420" s="13" t="n">
        <v>180</v>
      </c>
      <c r="K1420" s="12" t="n">
        <v>7.8</v>
      </c>
      <c r="L1420" s="12" t="s">
        <v>128</v>
      </c>
      <c r="M1420" s="12" t="s">
        <v>6087</v>
      </c>
    </row>
    <row r="1421" customFormat="false" ht="15" hidden="false" customHeight="false" outlineLevel="0" collapsed="false">
      <c r="A1421" s="12" t="s">
        <v>5137</v>
      </c>
      <c r="B1421" s="12" t="s">
        <v>6088</v>
      </c>
      <c r="C1421" s="12" t="s">
        <v>6089</v>
      </c>
      <c r="D1421" s="12" t="s">
        <v>265</v>
      </c>
      <c r="E1421" s="12" t="n">
        <v>2</v>
      </c>
      <c r="F1421" s="12" t="s">
        <v>2309</v>
      </c>
      <c r="G1421" s="12" t="s">
        <v>2310</v>
      </c>
      <c r="H1421" s="17"/>
      <c r="I1421" s="17"/>
      <c r="J1421" s="13" t="n">
        <v>126</v>
      </c>
      <c r="K1421" s="12" t="n">
        <v>7.4</v>
      </c>
      <c r="L1421" s="12" t="s">
        <v>128</v>
      </c>
      <c r="M1421" s="12" t="s">
        <v>6090</v>
      </c>
    </row>
    <row r="1422" customFormat="false" ht="15" hidden="false" customHeight="false" outlineLevel="0" collapsed="false">
      <c r="A1422" s="12" t="s">
        <v>5137</v>
      </c>
      <c r="B1422" s="12" t="s">
        <v>6091</v>
      </c>
      <c r="C1422" s="12" t="s">
        <v>6091</v>
      </c>
      <c r="D1422" s="12" t="s">
        <v>140</v>
      </c>
      <c r="E1422" s="12" t="n">
        <v>1</v>
      </c>
      <c r="F1422" s="12" t="s">
        <v>5156</v>
      </c>
      <c r="G1422" s="12" t="s">
        <v>2405</v>
      </c>
      <c r="H1422" s="17"/>
      <c r="I1422" s="17"/>
      <c r="J1422" s="13" t="n">
        <v>709</v>
      </c>
      <c r="K1422" s="12" t="n">
        <v>6.9</v>
      </c>
      <c r="L1422" s="12" t="s">
        <v>1891</v>
      </c>
      <c r="M1422" s="12" t="s">
        <v>6092</v>
      </c>
    </row>
    <row r="1423" customFormat="false" ht="15" hidden="false" customHeight="false" outlineLevel="0" collapsed="false">
      <c r="A1423" s="12" t="s">
        <v>5137</v>
      </c>
      <c r="B1423" s="12" t="s">
        <v>6093</v>
      </c>
      <c r="C1423" s="12" t="s">
        <v>6094</v>
      </c>
      <c r="D1423" s="12" t="s">
        <v>265</v>
      </c>
      <c r="E1423" s="12" t="n">
        <v>2</v>
      </c>
      <c r="F1423" s="12" t="s">
        <v>2309</v>
      </c>
      <c r="G1423" s="12" t="s">
        <v>2310</v>
      </c>
      <c r="H1423" s="17"/>
      <c r="I1423" s="17"/>
      <c r="J1423" s="13" t="n">
        <v>52</v>
      </c>
      <c r="K1423" s="12" t="n">
        <v>5.6</v>
      </c>
      <c r="L1423" s="12" t="s">
        <v>128</v>
      </c>
      <c r="M1423" s="12" t="s">
        <v>6095</v>
      </c>
    </row>
    <row r="1424" customFormat="false" ht="15" hidden="false" customHeight="false" outlineLevel="0" collapsed="false">
      <c r="A1424" s="12" t="s">
        <v>5137</v>
      </c>
      <c r="B1424" s="12" t="s">
        <v>6096</v>
      </c>
      <c r="C1424" s="12" t="s">
        <v>6096</v>
      </c>
      <c r="D1424" s="12" t="s">
        <v>140</v>
      </c>
      <c r="E1424" s="12" t="n">
        <v>1</v>
      </c>
      <c r="F1424" s="12" t="s">
        <v>5156</v>
      </c>
      <c r="G1424" s="12" t="s">
        <v>2405</v>
      </c>
      <c r="H1424" s="17"/>
      <c r="I1424" s="17"/>
      <c r="J1424" s="13" t="n">
        <v>581</v>
      </c>
      <c r="K1424" s="12" t="n">
        <v>8.4</v>
      </c>
      <c r="L1424" s="12" t="s">
        <v>1891</v>
      </c>
      <c r="M1424" s="12" t="s">
        <v>6097</v>
      </c>
    </row>
    <row r="1425" customFormat="false" ht="15" hidden="false" customHeight="false" outlineLevel="0" collapsed="false">
      <c r="A1425" s="12" t="s">
        <v>5137</v>
      </c>
      <c r="B1425" s="12" t="s">
        <v>6098</v>
      </c>
      <c r="C1425" s="12" t="s">
        <v>6098</v>
      </c>
      <c r="D1425" s="12" t="s">
        <v>500</v>
      </c>
      <c r="E1425" s="12" t="n">
        <v>2</v>
      </c>
      <c r="F1425" s="12" t="s">
        <v>5179</v>
      </c>
      <c r="G1425" s="12" t="s">
        <v>2310</v>
      </c>
      <c r="H1425" s="17"/>
      <c r="I1425" s="17"/>
      <c r="J1425" s="13" t="n">
        <v>14</v>
      </c>
      <c r="K1425" s="12" t="n">
        <v>8.2</v>
      </c>
      <c r="L1425" s="12" t="s">
        <v>2232</v>
      </c>
      <c r="M1425" s="12" t="s">
        <v>6099</v>
      </c>
    </row>
    <row r="1426" customFormat="false" ht="15" hidden="false" customHeight="false" outlineLevel="0" collapsed="false">
      <c r="A1426" s="12" t="s">
        <v>5137</v>
      </c>
      <c r="B1426" s="12" t="s">
        <v>6100</v>
      </c>
      <c r="C1426" s="12" t="s">
        <v>6101</v>
      </c>
      <c r="D1426" s="12" t="s">
        <v>396</v>
      </c>
      <c r="E1426" s="12" t="n">
        <v>1</v>
      </c>
      <c r="F1426" s="12" t="s">
        <v>5156</v>
      </c>
      <c r="G1426" s="12" t="s">
        <v>2405</v>
      </c>
      <c r="H1426" s="17"/>
      <c r="I1426" s="17"/>
      <c r="J1426" s="13" t="n">
        <v>569</v>
      </c>
      <c r="K1426" s="12" t="n">
        <v>6.8</v>
      </c>
      <c r="L1426" s="12" t="s">
        <v>1891</v>
      </c>
      <c r="M1426" s="12" t="s">
        <v>6102</v>
      </c>
    </row>
    <row r="1427" customFormat="false" ht="15" hidden="false" customHeight="false" outlineLevel="0" collapsed="false">
      <c r="A1427" s="12" t="s">
        <v>5137</v>
      </c>
      <c r="B1427" s="12" t="s">
        <v>6103</v>
      </c>
      <c r="C1427" s="12" t="s">
        <v>6104</v>
      </c>
      <c r="D1427" s="12" t="s">
        <v>202</v>
      </c>
      <c r="E1427" s="12" t="n">
        <v>1</v>
      </c>
      <c r="F1427" s="12" t="s">
        <v>5156</v>
      </c>
      <c r="G1427" s="12" t="s">
        <v>2405</v>
      </c>
      <c r="H1427" s="17"/>
      <c r="I1427" s="17"/>
      <c r="J1427" s="13" t="n">
        <v>511</v>
      </c>
      <c r="K1427" s="12" t="n">
        <v>6</v>
      </c>
      <c r="L1427" s="12" t="s">
        <v>1891</v>
      </c>
      <c r="M1427" s="12" t="s">
        <v>6105</v>
      </c>
    </row>
    <row r="1428" customFormat="false" ht="15" hidden="false" customHeight="false" outlineLevel="0" collapsed="false">
      <c r="A1428" s="12" t="s">
        <v>5137</v>
      </c>
      <c r="B1428" s="12" t="s">
        <v>6106</v>
      </c>
      <c r="C1428" s="12" t="s">
        <v>6106</v>
      </c>
      <c r="D1428" s="12" t="s">
        <v>183</v>
      </c>
      <c r="E1428" s="12" t="n">
        <v>1</v>
      </c>
      <c r="F1428" s="12" t="s">
        <v>5156</v>
      </c>
      <c r="G1428" s="12" t="s">
        <v>2405</v>
      </c>
      <c r="H1428" s="17"/>
      <c r="I1428" s="17"/>
      <c r="J1428" s="13" t="n">
        <v>271</v>
      </c>
      <c r="K1428" s="12" t="n">
        <v>6.1</v>
      </c>
      <c r="L1428" s="12" t="s">
        <v>1891</v>
      </c>
      <c r="M1428" s="12" t="s">
        <v>6107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4" min="3" style="0" width="80"/>
  </cols>
  <sheetData>
    <row r="1" customFormat="false" ht="57.75" hidden="false" customHeight="true" outlineLevel="0" collapsed="false">
      <c r="A1" s="8" t="s">
        <v>6108</v>
      </c>
      <c r="B1" s="8" t="s">
        <v>6109</v>
      </c>
      <c r="C1" s="8" t="s">
        <v>6110</v>
      </c>
      <c r="D1" s="8" t="s">
        <v>6111</v>
      </c>
    </row>
    <row r="2" customFormat="false" ht="15" hidden="false" customHeight="false" outlineLevel="0" collapsed="false">
      <c r="A2" s="12" t="s">
        <v>6112</v>
      </c>
      <c r="B2" s="12" t="s">
        <v>6113</v>
      </c>
      <c r="C2" s="12" t="s">
        <v>6114</v>
      </c>
      <c r="D2" s="12" t="s">
        <v>6115</v>
      </c>
    </row>
    <row r="3" customFormat="false" ht="15" hidden="false" customHeight="false" outlineLevel="0" collapsed="false">
      <c r="A3" s="12" t="s">
        <v>2166</v>
      </c>
      <c r="B3" s="12" t="s">
        <v>6113</v>
      </c>
      <c r="C3" s="12" t="s">
        <v>6116</v>
      </c>
      <c r="D3" s="12" t="s">
        <v>6117</v>
      </c>
    </row>
    <row r="4" customFormat="false" ht="15" hidden="false" customHeight="false" outlineLevel="0" collapsed="false">
      <c r="A4" s="12" t="s">
        <v>2101</v>
      </c>
      <c r="B4" s="12" t="s">
        <v>6113</v>
      </c>
      <c r="C4" s="12" t="s">
        <v>6118</v>
      </c>
      <c r="D4" s="12" t="s">
        <v>6119</v>
      </c>
    </row>
    <row r="5" customFormat="false" ht="15" hidden="false" customHeight="false" outlineLevel="0" collapsed="false">
      <c r="A5" s="12" t="s">
        <v>6120</v>
      </c>
      <c r="B5" s="12" t="s">
        <v>6113</v>
      </c>
      <c r="C5" s="12" t="s">
        <v>6121</v>
      </c>
      <c r="D5" s="12" t="s">
        <v>6122</v>
      </c>
    </row>
    <row r="6" customFormat="false" ht="15" hidden="false" customHeight="false" outlineLevel="0" collapsed="false">
      <c r="A6" s="12" t="s">
        <v>6123</v>
      </c>
      <c r="B6" s="12" t="s">
        <v>6113</v>
      </c>
      <c r="C6" s="12" t="s">
        <v>6114</v>
      </c>
      <c r="D6" s="12" t="s">
        <v>6124</v>
      </c>
    </row>
    <row r="7" customFormat="false" ht="15" hidden="false" customHeight="false" outlineLevel="0" collapsed="false">
      <c r="A7" s="12" t="s">
        <v>6125</v>
      </c>
      <c r="B7" s="12" t="s">
        <v>6113</v>
      </c>
      <c r="C7" s="12" t="s">
        <v>6121</v>
      </c>
      <c r="D7" s="12" t="s">
        <v>6126</v>
      </c>
    </row>
    <row r="8" customFormat="false" ht="15" hidden="false" customHeight="false" outlineLevel="0" collapsed="false">
      <c r="A8" s="12" t="s">
        <v>1972</v>
      </c>
      <c r="B8" s="12" t="s">
        <v>6113</v>
      </c>
      <c r="C8" s="12" t="s">
        <v>6127</v>
      </c>
      <c r="D8" s="12" t="s">
        <v>6128</v>
      </c>
    </row>
    <row r="9" customFormat="false" ht="15" hidden="false" customHeight="false" outlineLevel="0" collapsed="false">
      <c r="A9" s="12" t="s">
        <v>6129</v>
      </c>
      <c r="B9" s="12" t="s">
        <v>6113</v>
      </c>
      <c r="C9" s="12" t="s">
        <v>6127</v>
      </c>
      <c r="D9" s="12" t="s">
        <v>6130</v>
      </c>
    </row>
    <row r="10" customFormat="false" ht="15" hidden="false" customHeight="false" outlineLevel="0" collapsed="false">
      <c r="A10" s="12" t="s">
        <v>2069</v>
      </c>
      <c r="B10" s="12" t="s">
        <v>6113</v>
      </c>
      <c r="C10" s="12" t="s">
        <v>6131</v>
      </c>
      <c r="D10" s="12" t="s">
        <v>6132</v>
      </c>
    </row>
    <row r="11" customFormat="false" ht="15" hidden="false" customHeight="false" outlineLevel="0" collapsed="false">
      <c r="A11" s="12" t="s">
        <v>2300</v>
      </c>
      <c r="B11" s="12" t="s">
        <v>6113</v>
      </c>
      <c r="C11" s="12" t="s">
        <v>6114</v>
      </c>
      <c r="D11" s="12" t="s">
        <v>6133</v>
      </c>
    </row>
    <row r="12" customFormat="false" ht="15" hidden="false" customHeight="false" outlineLevel="0" collapsed="false">
      <c r="A12" s="12" t="s">
        <v>6134</v>
      </c>
      <c r="B12" s="12" t="s">
        <v>6113</v>
      </c>
      <c r="C12" s="12" t="s">
        <v>6121</v>
      </c>
      <c r="D12" s="12" t="s">
        <v>6135</v>
      </c>
    </row>
    <row r="13" customFormat="false" ht="15" hidden="false" customHeight="false" outlineLevel="0" collapsed="false">
      <c r="A13" s="12" t="s">
        <v>2019</v>
      </c>
      <c r="B13" s="12" t="s">
        <v>6113</v>
      </c>
      <c r="C13" s="12" t="s">
        <v>6136</v>
      </c>
      <c r="D13" s="12" t="s">
        <v>6137</v>
      </c>
    </row>
    <row r="14" customFormat="false" ht="15" hidden="false" customHeight="false" outlineLevel="0" collapsed="false">
      <c r="A14" s="12" t="s">
        <v>6138</v>
      </c>
      <c r="B14" s="12" t="s">
        <v>6113</v>
      </c>
      <c r="C14" s="12" t="s">
        <v>6127</v>
      </c>
      <c r="D14" s="12" t="s">
        <v>6139</v>
      </c>
    </row>
    <row r="15" customFormat="false" ht="15" hidden="false" customHeight="false" outlineLevel="0" collapsed="false">
      <c r="A15" s="12" t="s">
        <v>2227</v>
      </c>
      <c r="B15" s="12" t="s">
        <v>6113</v>
      </c>
      <c r="C15" s="12" t="s">
        <v>6121</v>
      </c>
      <c r="D15" s="12" t="s">
        <v>6140</v>
      </c>
    </row>
    <row r="16" customFormat="false" ht="15" hidden="false" customHeight="false" outlineLevel="0" collapsed="false">
      <c r="A16" s="12" t="s">
        <v>1993</v>
      </c>
      <c r="B16" s="12" t="s">
        <v>6113</v>
      </c>
      <c r="C16" s="12" t="s">
        <v>6121</v>
      </c>
      <c r="D16" s="12" t="s">
        <v>6141</v>
      </c>
    </row>
    <row r="17" customFormat="false" ht="15" hidden="false" customHeight="false" outlineLevel="0" collapsed="false">
      <c r="A17" s="12" t="s">
        <v>1998</v>
      </c>
      <c r="B17" s="12" t="s">
        <v>6113</v>
      </c>
      <c r="C17" s="12" t="s">
        <v>6121</v>
      </c>
      <c r="D17" s="12" t="s">
        <v>6142</v>
      </c>
    </row>
    <row r="18" customFormat="false" ht="15" hidden="false" customHeight="false" outlineLevel="0" collapsed="false">
      <c r="A18" s="12" t="s">
        <v>2032</v>
      </c>
      <c r="B18" s="12" t="s">
        <v>6113</v>
      </c>
      <c r="C18" s="12" t="s">
        <v>6143</v>
      </c>
      <c r="D18" s="12" t="s">
        <v>6144</v>
      </c>
    </row>
    <row r="19" customFormat="false" ht="15" hidden="false" customHeight="false" outlineLevel="0" collapsed="false">
      <c r="A19" s="12" t="s">
        <v>6145</v>
      </c>
      <c r="B19" s="12" t="s">
        <v>6113</v>
      </c>
      <c r="C19" s="12" t="s">
        <v>6127</v>
      </c>
      <c r="D19" s="12" t="s">
        <v>6146</v>
      </c>
    </row>
    <row r="20" customFormat="false" ht="15" hidden="false" customHeight="false" outlineLevel="0" collapsed="false">
      <c r="A20" s="12" t="s">
        <v>1916</v>
      </c>
      <c r="B20" s="12" t="s">
        <v>6113</v>
      </c>
      <c r="C20" s="12" t="s">
        <v>6147</v>
      </c>
      <c r="D20" s="12" t="s">
        <v>6148</v>
      </c>
    </row>
    <row r="21" customFormat="false" ht="15" hidden="false" customHeight="false" outlineLevel="0" collapsed="false">
      <c r="A21" s="12" t="s">
        <v>1941</v>
      </c>
      <c r="B21" s="12" t="s">
        <v>6113</v>
      </c>
      <c r="C21" s="12" t="s">
        <v>6121</v>
      </c>
      <c r="D21" s="12" t="s">
        <v>6149</v>
      </c>
    </row>
    <row r="22" customFormat="false" ht="15" hidden="false" customHeight="false" outlineLevel="0" collapsed="false">
      <c r="A22" s="12" t="s">
        <v>1848</v>
      </c>
      <c r="B22" s="12" t="s">
        <v>6113</v>
      </c>
      <c r="C22" s="12" t="s">
        <v>6127</v>
      </c>
      <c r="D22" s="12" t="s">
        <v>6150</v>
      </c>
    </row>
    <row r="23" customFormat="false" ht="15" hidden="false" customHeight="false" outlineLevel="0" collapsed="false">
      <c r="A23" s="12" t="s">
        <v>1865</v>
      </c>
      <c r="B23" s="12" t="s">
        <v>6113</v>
      </c>
      <c r="C23" s="12" t="s">
        <v>6121</v>
      </c>
      <c r="D23" s="12" t="s">
        <v>6151</v>
      </c>
    </row>
    <row r="24" customFormat="false" ht="15" hidden="false" customHeight="false" outlineLevel="0" collapsed="false">
      <c r="A24" s="12" t="s">
        <v>2128</v>
      </c>
      <c r="B24" s="12" t="s">
        <v>6113</v>
      </c>
      <c r="C24" s="12" t="s">
        <v>6127</v>
      </c>
      <c r="D24" s="12" t="s">
        <v>6152</v>
      </c>
    </row>
    <row r="25" customFormat="false" ht="15" hidden="false" customHeight="false" outlineLevel="0" collapsed="false">
      <c r="A25" s="12" t="s">
        <v>1858</v>
      </c>
      <c r="B25" s="12" t="s">
        <v>6113</v>
      </c>
      <c r="C25" s="12" t="s">
        <v>6153</v>
      </c>
      <c r="D25" s="12" t="s">
        <v>6154</v>
      </c>
    </row>
    <row r="26" customFormat="false" ht="15" hidden="false" customHeight="false" outlineLevel="0" collapsed="false">
      <c r="A26" s="12" t="s">
        <v>6155</v>
      </c>
      <c r="B26" s="12" t="s">
        <v>6113</v>
      </c>
      <c r="C26" s="12" t="s">
        <v>6156</v>
      </c>
      <c r="D26" s="12" t="s">
        <v>6157</v>
      </c>
    </row>
    <row r="27" customFormat="false" ht="15" hidden="false" customHeight="false" outlineLevel="0" collapsed="false">
      <c r="A27" s="12" t="s">
        <v>1899</v>
      </c>
      <c r="B27" s="12" t="s">
        <v>6113</v>
      </c>
      <c r="C27" s="12" t="s">
        <v>6158</v>
      </c>
      <c r="D27" s="12" t="s">
        <v>6159</v>
      </c>
    </row>
    <row r="28" customFormat="false" ht="15" hidden="false" customHeight="false" outlineLevel="0" collapsed="false">
      <c r="A28" s="12" t="s">
        <v>1907</v>
      </c>
      <c r="B28" s="12" t="s">
        <v>6113</v>
      </c>
      <c r="C28" s="12" t="s">
        <v>6160</v>
      </c>
      <c r="D28" s="12" t="s">
        <v>6161</v>
      </c>
    </row>
    <row r="29" customFormat="false" ht="15" hidden="false" customHeight="false" outlineLevel="0" collapsed="false">
      <c r="A29" s="12" t="s">
        <v>1881</v>
      </c>
      <c r="B29" s="12" t="s">
        <v>6113</v>
      </c>
      <c r="C29" s="12" t="s">
        <v>6127</v>
      </c>
      <c r="D29" s="12" t="s">
        <v>6162</v>
      </c>
    </row>
    <row r="30" customFormat="false" ht="15" hidden="false" customHeight="false" outlineLevel="0" collapsed="false">
      <c r="A30" s="12" t="s">
        <v>6163</v>
      </c>
      <c r="B30" s="12" t="s">
        <v>6113</v>
      </c>
      <c r="C30" s="12" t="s">
        <v>6164</v>
      </c>
      <c r="D30" s="12" t="s">
        <v>6165</v>
      </c>
    </row>
    <row r="31" customFormat="false" ht="15" hidden="false" customHeight="false" outlineLevel="0" collapsed="false">
      <c r="A31" s="12" t="s">
        <v>1840</v>
      </c>
      <c r="B31" s="12" t="s">
        <v>6113</v>
      </c>
      <c r="C31" s="12" t="s">
        <v>6166</v>
      </c>
      <c r="D31" s="12" t="s">
        <v>6167</v>
      </c>
    </row>
    <row r="32" customFormat="false" ht="15" hidden="false" customHeight="false" outlineLevel="0" collapsed="false">
      <c r="A32" s="12" t="s">
        <v>1874</v>
      </c>
      <c r="B32" s="12" t="s">
        <v>6113</v>
      </c>
      <c r="C32" s="12" t="s">
        <v>6168</v>
      </c>
      <c r="D32" s="12" t="s">
        <v>6169</v>
      </c>
    </row>
    <row r="33" customFormat="false" ht="15" hidden="false" customHeight="false" outlineLevel="0" collapsed="false">
      <c r="A33" s="12" t="s">
        <v>6170</v>
      </c>
      <c r="B33" s="12" t="s">
        <v>6113</v>
      </c>
      <c r="C33" s="12" t="s">
        <v>6171</v>
      </c>
      <c r="D33" s="12" t="s">
        <v>6172</v>
      </c>
    </row>
    <row r="34" customFormat="false" ht="15" hidden="false" customHeight="false" outlineLevel="0" collapsed="false">
      <c r="A34" s="12" t="s">
        <v>6173</v>
      </c>
      <c r="B34" s="12" t="s">
        <v>6113</v>
      </c>
      <c r="C34" s="12" t="s">
        <v>6164</v>
      </c>
      <c r="D34" s="12" t="s">
        <v>6174</v>
      </c>
    </row>
    <row r="35" customFormat="false" ht="15" hidden="false" customHeight="false" outlineLevel="0" collapsed="false">
      <c r="A35" s="12" t="s">
        <v>6175</v>
      </c>
      <c r="B35" s="12" t="s">
        <v>3220</v>
      </c>
      <c r="C35" s="12" t="s">
        <v>6176</v>
      </c>
      <c r="D35" s="12" t="s">
        <v>6177</v>
      </c>
    </row>
    <row r="36" customFormat="false" ht="15" hidden="false" customHeight="false" outlineLevel="0" collapsed="false">
      <c r="A36" s="12" t="s">
        <v>6178</v>
      </c>
      <c r="B36" s="12" t="s">
        <v>3220</v>
      </c>
      <c r="C36" s="12" t="s">
        <v>6179</v>
      </c>
      <c r="D36" s="12" t="s">
        <v>6180</v>
      </c>
    </row>
    <row r="37" customFormat="false" ht="15" hidden="false" customHeight="false" outlineLevel="0" collapsed="false">
      <c r="A37" s="12" t="s">
        <v>6181</v>
      </c>
      <c r="B37" s="12" t="s">
        <v>3220</v>
      </c>
      <c r="C37" s="12" t="s">
        <v>6182</v>
      </c>
      <c r="D37" s="12" t="s">
        <v>6183</v>
      </c>
    </row>
    <row r="38" customFormat="false" ht="15" hidden="false" customHeight="false" outlineLevel="0" collapsed="false">
      <c r="A38" s="12" t="s">
        <v>6184</v>
      </c>
      <c r="B38" s="12" t="s">
        <v>3220</v>
      </c>
      <c r="C38" s="12" t="s">
        <v>6185</v>
      </c>
      <c r="D38" s="12" t="s">
        <v>6186</v>
      </c>
    </row>
    <row r="39" customFormat="false" ht="15" hidden="false" customHeight="false" outlineLevel="0" collapsed="false">
      <c r="A39" s="12" t="s">
        <v>6187</v>
      </c>
      <c r="B39" s="12" t="s">
        <v>3220</v>
      </c>
      <c r="C39" s="12" t="s">
        <v>6188</v>
      </c>
      <c r="D39" s="12" t="s">
        <v>6189</v>
      </c>
    </row>
    <row r="40" customFormat="false" ht="15" hidden="false" customHeight="false" outlineLevel="0" collapsed="false">
      <c r="A40" s="12" t="s">
        <v>6190</v>
      </c>
      <c r="B40" s="12" t="s">
        <v>3220</v>
      </c>
      <c r="C40" s="12" t="s">
        <v>6191</v>
      </c>
      <c r="D40" s="12" t="s">
        <v>6192</v>
      </c>
    </row>
    <row r="41" customFormat="false" ht="15" hidden="false" customHeight="false" outlineLevel="0" collapsed="false">
      <c r="A41" s="12" t="s">
        <v>6193</v>
      </c>
      <c r="B41" s="12" t="s">
        <v>3220</v>
      </c>
      <c r="C41" s="12" t="s">
        <v>6194</v>
      </c>
      <c r="D41" s="12" t="s">
        <v>6195</v>
      </c>
    </row>
    <row r="42" customFormat="false" ht="15" hidden="false" customHeight="false" outlineLevel="0" collapsed="false">
      <c r="A42" s="12" t="s">
        <v>6196</v>
      </c>
      <c r="B42" s="12" t="s">
        <v>3220</v>
      </c>
      <c r="C42" s="12" t="s">
        <v>6197</v>
      </c>
      <c r="D42" s="12" t="s">
        <v>6198</v>
      </c>
    </row>
    <row r="43" customFormat="false" ht="15" hidden="false" customHeight="false" outlineLevel="0" collapsed="false">
      <c r="A43" s="12" t="s">
        <v>6199</v>
      </c>
      <c r="B43" s="12" t="s">
        <v>3220</v>
      </c>
      <c r="C43" s="12" t="s">
        <v>6200</v>
      </c>
      <c r="D43" s="12" t="s">
        <v>6201</v>
      </c>
    </row>
    <row r="44" customFormat="false" ht="15" hidden="false" customHeight="false" outlineLevel="0" collapsed="false">
      <c r="A44" s="12" t="s">
        <v>6202</v>
      </c>
      <c r="B44" s="12" t="s">
        <v>3220</v>
      </c>
      <c r="C44" s="12" t="s">
        <v>6203</v>
      </c>
      <c r="D44" s="12" t="s">
        <v>6204</v>
      </c>
    </row>
    <row r="45" customFormat="false" ht="15" hidden="false" customHeight="false" outlineLevel="0" collapsed="false">
      <c r="A45" s="12" t="s">
        <v>6205</v>
      </c>
      <c r="B45" s="12" t="s">
        <v>3220</v>
      </c>
      <c r="C45" s="12" t="s">
        <v>6206</v>
      </c>
      <c r="D45" s="12" t="s">
        <v>6207</v>
      </c>
    </row>
    <row r="46" customFormat="false" ht="15" hidden="false" customHeight="false" outlineLevel="0" collapsed="false">
      <c r="A46" s="12" t="s">
        <v>474</v>
      </c>
      <c r="B46" s="12" t="s">
        <v>3220</v>
      </c>
      <c r="C46" s="12" t="s">
        <v>6208</v>
      </c>
      <c r="D46" s="12" t="s">
        <v>6209</v>
      </c>
    </row>
    <row r="47" customFormat="false" ht="15" hidden="false" customHeight="false" outlineLevel="0" collapsed="false">
      <c r="A47" s="12" t="s">
        <v>6210</v>
      </c>
      <c r="B47" s="12" t="s">
        <v>3220</v>
      </c>
      <c r="C47" s="12" t="s">
        <v>6211</v>
      </c>
      <c r="D47" s="12" t="s">
        <v>6212</v>
      </c>
    </row>
    <row r="48" customFormat="false" ht="15" hidden="false" customHeight="false" outlineLevel="0" collapsed="false">
      <c r="A48" s="12" t="s">
        <v>413</v>
      </c>
      <c r="B48" s="12" t="s">
        <v>3220</v>
      </c>
      <c r="C48" s="12" t="s">
        <v>6213</v>
      </c>
      <c r="D48" s="12" t="s">
        <v>6214</v>
      </c>
    </row>
    <row r="49" customFormat="false" ht="15" hidden="false" customHeight="false" outlineLevel="0" collapsed="false">
      <c r="A49" s="12" t="s">
        <v>748</v>
      </c>
      <c r="B49" s="12" t="s">
        <v>3220</v>
      </c>
      <c r="C49" s="12" t="s">
        <v>6215</v>
      </c>
      <c r="D49" s="12" t="s">
        <v>6216</v>
      </c>
    </row>
    <row r="50" customFormat="false" ht="15" hidden="false" customHeight="false" outlineLevel="0" collapsed="false">
      <c r="A50" s="12" t="s">
        <v>6217</v>
      </c>
      <c r="B50" s="12" t="s">
        <v>3220</v>
      </c>
      <c r="C50" s="12" t="s">
        <v>6218</v>
      </c>
      <c r="D50" s="12" t="s">
        <v>6219</v>
      </c>
    </row>
    <row r="51" customFormat="false" ht="15" hidden="false" customHeight="false" outlineLevel="0" collapsed="false">
      <c r="A51" s="12" t="s">
        <v>6220</v>
      </c>
      <c r="B51" s="12" t="s">
        <v>3220</v>
      </c>
      <c r="C51" s="12" t="s">
        <v>6221</v>
      </c>
      <c r="D51" s="12" t="s">
        <v>6222</v>
      </c>
    </row>
    <row r="52" customFormat="false" ht="15" hidden="false" customHeight="false" outlineLevel="0" collapsed="false">
      <c r="A52" s="12" t="s">
        <v>6223</v>
      </c>
      <c r="B52" s="12" t="s">
        <v>3220</v>
      </c>
      <c r="C52" s="12" t="s">
        <v>6224</v>
      </c>
      <c r="D52" s="12" t="s">
        <v>6225</v>
      </c>
    </row>
    <row r="53" customFormat="false" ht="15" hidden="false" customHeight="false" outlineLevel="0" collapsed="false">
      <c r="A53" s="12" t="s">
        <v>6226</v>
      </c>
      <c r="B53" s="12" t="s">
        <v>3220</v>
      </c>
      <c r="C53" s="12" t="s">
        <v>6227</v>
      </c>
      <c r="D53" s="12" t="s">
        <v>6228</v>
      </c>
    </row>
    <row r="54" customFormat="false" ht="15" hidden="false" customHeight="false" outlineLevel="0" collapsed="false">
      <c r="A54" s="12" t="s">
        <v>6229</v>
      </c>
      <c r="B54" s="12" t="s">
        <v>3220</v>
      </c>
      <c r="C54" s="12" t="s">
        <v>6230</v>
      </c>
      <c r="D54" s="12" t="s">
        <v>6231</v>
      </c>
    </row>
    <row r="55" customFormat="false" ht="15" hidden="false" customHeight="false" outlineLevel="0" collapsed="false">
      <c r="A55" s="12" t="s">
        <v>6232</v>
      </c>
      <c r="B55" s="12" t="s">
        <v>3220</v>
      </c>
      <c r="C55" s="12" t="s">
        <v>6233</v>
      </c>
      <c r="D55" s="12" t="s">
        <v>6234</v>
      </c>
    </row>
    <row r="56" customFormat="false" ht="15" hidden="false" customHeight="false" outlineLevel="0" collapsed="false">
      <c r="A56" s="12" t="s">
        <v>6235</v>
      </c>
      <c r="B56" s="12" t="s">
        <v>3220</v>
      </c>
      <c r="C56" s="12" t="s">
        <v>6236</v>
      </c>
      <c r="D56" s="12" t="s">
        <v>6237</v>
      </c>
    </row>
    <row r="57" customFormat="false" ht="15" hidden="false" customHeight="false" outlineLevel="0" collapsed="false">
      <c r="A57" s="12" t="s">
        <v>6238</v>
      </c>
      <c r="B57" s="12" t="s">
        <v>3220</v>
      </c>
      <c r="C57" s="12" t="s">
        <v>6239</v>
      </c>
      <c r="D57" s="12" t="s">
        <v>6240</v>
      </c>
    </row>
    <row r="58" customFormat="false" ht="15" hidden="false" customHeight="false" outlineLevel="0" collapsed="false">
      <c r="A58" s="12" t="s">
        <v>552</v>
      </c>
      <c r="B58" s="12" t="s">
        <v>3220</v>
      </c>
      <c r="C58" s="12" t="s">
        <v>6241</v>
      </c>
      <c r="D58" s="12" t="s">
        <v>6242</v>
      </c>
    </row>
    <row r="59" customFormat="false" ht="15" hidden="false" customHeight="false" outlineLevel="0" collapsed="false">
      <c r="A59" s="12" t="s">
        <v>901</v>
      </c>
      <c r="B59" s="12" t="s">
        <v>3220</v>
      </c>
      <c r="C59" s="12" t="s">
        <v>6243</v>
      </c>
      <c r="D59" s="12" t="s">
        <v>6244</v>
      </c>
    </row>
    <row r="60" customFormat="false" ht="15" hidden="false" customHeight="false" outlineLevel="0" collapsed="false">
      <c r="A60" s="12" t="s">
        <v>1342</v>
      </c>
      <c r="B60" s="12" t="s">
        <v>3220</v>
      </c>
      <c r="C60" s="12" t="s">
        <v>6245</v>
      </c>
      <c r="D60" s="12" t="s">
        <v>6246</v>
      </c>
    </row>
    <row r="61" customFormat="false" ht="15" hidden="false" customHeight="false" outlineLevel="0" collapsed="false">
      <c r="A61" s="12" t="s">
        <v>6247</v>
      </c>
      <c r="B61" s="12" t="s">
        <v>6248</v>
      </c>
      <c r="C61" s="12" t="s">
        <v>6249</v>
      </c>
      <c r="D61" s="12" t="s">
        <v>6250</v>
      </c>
    </row>
    <row r="62" customFormat="false" ht="15" hidden="false" customHeight="false" outlineLevel="0" collapsed="false">
      <c r="A62" s="12" t="s">
        <v>6251</v>
      </c>
      <c r="B62" s="12" t="s">
        <v>6248</v>
      </c>
      <c r="C62" s="12" t="s">
        <v>6252</v>
      </c>
      <c r="D62" s="12" t="s">
        <v>6253</v>
      </c>
    </row>
    <row r="63" customFormat="false" ht="15" hidden="false" customHeight="false" outlineLevel="0" collapsed="false">
      <c r="A63" s="12" t="s">
        <v>6254</v>
      </c>
      <c r="B63" s="12" t="s">
        <v>6248</v>
      </c>
      <c r="C63" s="12" t="s">
        <v>6255</v>
      </c>
      <c r="D63" s="12" t="s">
        <v>6256</v>
      </c>
    </row>
    <row r="64" customFormat="false" ht="15" hidden="false" customHeight="false" outlineLevel="0" collapsed="false">
      <c r="A64" s="12" t="s">
        <v>6257</v>
      </c>
      <c r="B64" s="12" t="s">
        <v>6248</v>
      </c>
      <c r="C64" s="12" t="s">
        <v>6258</v>
      </c>
      <c r="D64" s="12" t="s">
        <v>6259</v>
      </c>
    </row>
    <row r="65" customFormat="false" ht="15" hidden="false" customHeight="false" outlineLevel="0" collapsed="false">
      <c r="A65" s="12" t="s">
        <v>6260</v>
      </c>
      <c r="B65" s="12" t="s">
        <v>6248</v>
      </c>
      <c r="C65" s="12" t="s">
        <v>6261</v>
      </c>
      <c r="D65" s="12" t="s">
        <v>6262</v>
      </c>
    </row>
    <row r="66" customFormat="false" ht="15" hidden="false" customHeight="false" outlineLevel="0" collapsed="false">
      <c r="A66" s="12" t="s">
        <v>6263</v>
      </c>
      <c r="B66" s="12" t="s">
        <v>6248</v>
      </c>
      <c r="C66" s="12" t="s">
        <v>6264</v>
      </c>
      <c r="D66" s="12" t="s">
        <v>6265</v>
      </c>
    </row>
    <row r="67" customFormat="false" ht="15" hidden="false" customHeight="false" outlineLevel="0" collapsed="false">
      <c r="A67" s="12" t="s">
        <v>6266</v>
      </c>
      <c r="B67" s="12" t="s">
        <v>6248</v>
      </c>
      <c r="C67" s="12" t="s">
        <v>6267</v>
      </c>
      <c r="D67" s="12" t="s">
        <v>6268</v>
      </c>
    </row>
    <row r="68" customFormat="false" ht="15" hidden="false" customHeight="false" outlineLevel="0" collapsed="false">
      <c r="A68" s="12" t="s">
        <v>6269</v>
      </c>
      <c r="B68" s="12" t="s">
        <v>6248</v>
      </c>
      <c r="C68" s="12" t="s">
        <v>6270</v>
      </c>
      <c r="D68" s="12" t="s">
        <v>6271</v>
      </c>
    </row>
    <row r="69" customFormat="false" ht="15" hidden="false" customHeight="false" outlineLevel="0" collapsed="false">
      <c r="A69" s="12" t="s">
        <v>6272</v>
      </c>
      <c r="B69" s="12" t="s">
        <v>6248</v>
      </c>
      <c r="C69" s="12" t="s">
        <v>6273</v>
      </c>
      <c r="D69" s="12" t="s">
        <v>6274</v>
      </c>
    </row>
    <row r="70" customFormat="false" ht="15" hidden="false" customHeight="false" outlineLevel="0" collapsed="false">
      <c r="A70" s="12" t="s">
        <v>6275</v>
      </c>
      <c r="B70" s="12" t="s">
        <v>6248</v>
      </c>
      <c r="C70" s="12" t="s">
        <v>6276</v>
      </c>
      <c r="D70" s="12" t="s">
        <v>6277</v>
      </c>
    </row>
    <row r="71" customFormat="false" ht="15" hidden="false" customHeight="false" outlineLevel="0" collapsed="false">
      <c r="A71" s="12" t="s">
        <v>6278</v>
      </c>
      <c r="B71" s="12" t="s">
        <v>6248</v>
      </c>
      <c r="C71" s="12" t="s">
        <v>6279</v>
      </c>
      <c r="D71" s="12" t="s">
        <v>6280</v>
      </c>
    </row>
    <row r="72" customFormat="false" ht="15" hidden="false" customHeight="false" outlineLevel="0" collapsed="false">
      <c r="A72" s="12" t="s">
        <v>6281</v>
      </c>
      <c r="B72" s="12" t="s">
        <v>6248</v>
      </c>
      <c r="C72" s="12" t="s">
        <v>6282</v>
      </c>
      <c r="D72" s="12" t="s">
        <v>6283</v>
      </c>
    </row>
    <row r="73" customFormat="false" ht="15" hidden="false" customHeight="false" outlineLevel="0" collapsed="false">
      <c r="A73" s="12" t="s">
        <v>6284</v>
      </c>
      <c r="B73" s="12" t="s">
        <v>6248</v>
      </c>
      <c r="C73" s="12" t="s">
        <v>6285</v>
      </c>
      <c r="D73" s="12" t="s">
        <v>6286</v>
      </c>
    </row>
    <row r="74" customFormat="false" ht="15" hidden="false" customHeight="false" outlineLevel="0" collapsed="false">
      <c r="A74" s="12" t="s">
        <v>6287</v>
      </c>
      <c r="B74" s="12" t="s">
        <v>6248</v>
      </c>
      <c r="C74" s="12" t="s">
        <v>6288</v>
      </c>
      <c r="D74" s="12" t="s">
        <v>6289</v>
      </c>
    </row>
    <row r="75" customFormat="false" ht="15" hidden="false" customHeight="false" outlineLevel="0" collapsed="false">
      <c r="A75" s="12" t="s">
        <v>6290</v>
      </c>
      <c r="B75" s="12" t="s">
        <v>6248</v>
      </c>
      <c r="C75" s="12" t="s">
        <v>6291</v>
      </c>
      <c r="D75" s="12" t="s">
        <v>6292</v>
      </c>
    </row>
    <row r="76" customFormat="false" ht="15" hidden="false" customHeight="false" outlineLevel="0" collapsed="false">
      <c r="A76" s="12" t="s">
        <v>6293</v>
      </c>
      <c r="B76" s="12" t="s">
        <v>6248</v>
      </c>
      <c r="C76" s="12" t="s">
        <v>6294</v>
      </c>
      <c r="D76" s="12" t="s">
        <v>6295</v>
      </c>
    </row>
    <row r="77" customFormat="false" ht="15" hidden="false" customHeight="false" outlineLevel="0" collapsed="false">
      <c r="A77" s="12" t="s">
        <v>6296</v>
      </c>
      <c r="B77" s="12" t="s">
        <v>6248</v>
      </c>
      <c r="C77" s="12" t="s">
        <v>6297</v>
      </c>
      <c r="D77" s="12" t="s">
        <v>6298</v>
      </c>
    </row>
    <row r="78" customFormat="false" ht="15" hidden="false" customHeight="false" outlineLevel="0" collapsed="false">
      <c r="A78" s="12" t="s">
        <v>6299</v>
      </c>
      <c r="B78" s="12" t="s">
        <v>6248</v>
      </c>
      <c r="C78" s="12" t="s">
        <v>6300</v>
      </c>
      <c r="D78" s="12" t="s">
        <v>6301</v>
      </c>
    </row>
    <row r="79" customFormat="false" ht="15" hidden="false" customHeight="false" outlineLevel="0" collapsed="false">
      <c r="A79" s="12" t="s">
        <v>6302</v>
      </c>
      <c r="B79" s="12" t="s">
        <v>6303</v>
      </c>
      <c r="C79" s="12" t="s">
        <v>6304</v>
      </c>
      <c r="D79" s="12" t="s">
        <v>6305</v>
      </c>
    </row>
    <row r="80" customFormat="false" ht="15" hidden="false" customHeight="false" outlineLevel="0" collapsed="false">
      <c r="A80" s="12" t="s">
        <v>6306</v>
      </c>
      <c r="B80" s="12" t="s">
        <v>6303</v>
      </c>
      <c r="C80" s="12" t="s">
        <v>6304</v>
      </c>
      <c r="D80" s="12" t="s">
        <v>6307</v>
      </c>
    </row>
    <row r="81" customFormat="false" ht="15" hidden="false" customHeight="false" outlineLevel="0" collapsed="false">
      <c r="A81" s="12" t="s">
        <v>6308</v>
      </c>
      <c r="B81" s="12" t="s">
        <v>6303</v>
      </c>
      <c r="C81" s="12" t="s">
        <v>6304</v>
      </c>
      <c r="D81" s="12" t="s">
        <v>6309</v>
      </c>
    </row>
    <row r="82" customFormat="false" ht="15" hidden="false" customHeight="false" outlineLevel="0" collapsed="false">
      <c r="A82" s="12" t="s">
        <v>6310</v>
      </c>
      <c r="B82" s="12" t="s">
        <v>6303</v>
      </c>
      <c r="C82" s="12" t="s">
        <v>6304</v>
      </c>
      <c r="D82" s="12" t="s">
        <v>6311</v>
      </c>
    </row>
    <row r="83" customFormat="false" ht="15" hidden="false" customHeight="false" outlineLevel="0" collapsed="false">
      <c r="A83" s="12" t="s">
        <v>6312</v>
      </c>
      <c r="B83" s="12" t="s">
        <v>6303</v>
      </c>
      <c r="C83" s="12" t="s">
        <v>6304</v>
      </c>
      <c r="D83" s="12" t="s">
        <v>6313</v>
      </c>
    </row>
    <row r="84" customFormat="false" ht="15" hidden="false" customHeight="false" outlineLevel="0" collapsed="false">
      <c r="A84" s="12" t="s">
        <v>6314</v>
      </c>
      <c r="B84" s="12" t="s">
        <v>6303</v>
      </c>
      <c r="C84" s="12" t="s">
        <v>6304</v>
      </c>
      <c r="D84" s="12" t="s">
        <v>6315</v>
      </c>
    </row>
    <row r="85" customFormat="false" ht="15" hidden="false" customHeight="false" outlineLevel="0" collapsed="false">
      <c r="A85" s="12" t="s">
        <v>6316</v>
      </c>
      <c r="B85" s="12" t="s">
        <v>6303</v>
      </c>
      <c r="C85" s="12" t="s">
        <v>6304</v>
      </c>
      <c r="D85" s="12" t="s">
        <v>6317</v>
      </c>
    </row>
    <row r="86" customFormat="false" ht="15" hidden="false" customHeight="false" outlineLevel="0" collapsed="false">
      <c r="A86" s="12" t="s">
        <v>6318</v>
      </c>
      <c r="B86" s="12" t="s">
        <v>6303</v>
      </c>
      <c r="C86" s="12" t="s">
        <v>6304</v>
      </c>
      <c r="D86" s="12" t="s">
        <v>6319</v>
      </c>
    </row>
    <row r="87" customFormat="false" ht="15" hidden="false" customHeight="false" outlineLevel="0" collapsed="false">
      <c r="A87" s="12" t="s">
        <v>6320</v>
      </c>
      <c r="B87" s="12" t="s">
        <v>6321</v>
      </c>
      <c r="C87" s="12" t="s">
        <v>6322</v>
      </c>
      <c r="D87" s="12" t="s">
        <v>6323</v>
      </c>
    </row>
    <row r="88" customFormat="false" ht="15" hidden="false" customHeight="false" outlineLevel="0" collapsed="false">
      <c r="A88" s="12" t="s">
        <v>6324</v>
      </c>
      <c r="B88" s="12" t="s">
        <v>6321</v>
      </c>
      <c r="C88" s="12" t="s">
        <v>6325</v>
      </c>
      <c r="D88" s="12" t="s">
        <v>6326</v>
      </c>
    </row>
    <row r="89" customFormat="false" ht="15" hidden="false" customHeight="false" outlineLevel="0" collapsed="false">
      <c r="A89" s="12" t="s">
        <v>6327</v>
      </c>
      <c r="B89" s="12" t="s">
        <v>6321</v>
      </c>
      <c r="C89" s="12" t="s">
        <v>6328</v>
      </c>
      <c r="D89" s="12" t="s">
        <v>6329</v>
      </c>
    </row>
    <row r="90" customFormat="false" ht="15" hidden="false" customHeight="false" outlineLevel="0" collapsed="false">
      <c r="A90" s="12" t="s">
        <v>6330</v>
      </c>
      <c r="B90" s="12" t="s">
        <v>6321</v>
      </c>
      <c r="C90" s="12" t="s">
        <v>6331</v>
      </c>
      <c r="D90" s="12" t="s">
        <v>6332</v>
      </c>
    </row>
    <row r="91" customFormat="false" ht="15" hidden="false" customHeight="false" outlineLevel="0" collapsed="false">
      <c r="A91" s="12" t="s">
        <v>6333</v>
      </c>
      <c r="B91" s="12" t="s">
        <v>6321</v>
      </c>
      <c r="C91" s="12" t="s">
        <v>6334</v>
      </c>
      <c r="D91" s="12" t="s">
        <v>6335</v>
      </c>
    </row>
    <row r="92" customFormat="false" ht="15" hidden="false" customHeight="false" outlineLevel="0" collapsed="false">
      <c r="A92" s="12" t="s">
        <v>6336</v>
      </c>
      <c r="B92" s="12" t="s">
        <v>6321</v>
      </c>
      <c r="C92" s="12" t="s">
        <v>6337</v>
      </c>
      <c r="D92" s="12" t="s">
        <v>6338</v>
      </c>
    </row>
    <row r="93" customFormat="false" ht="15" hidden="false" customHeight="false" outlineLevel="0" collapsed="false">
      <c r="A93" s="12" t="s">
        <v>6339</v>
      </c>
      <c r="B93" s="12" t="s">
        <v>6321</v>
      </c>
      <c r="C93" s="12" t="s">
        <v>6340</v>
      </c>
      <c r="D93" s="12" t="s">
        <v>6341</v>
      </c>
    </row>
    <row r="94" customFormat="false" ht="15" hidden="false" customHeight="false" outlineLevel="0" collapsed="false">
      <c r="A94" s="12" t="s">
        <v>6342</v>
      </c>
      <c r="B94" s="12" t="s">
        <v>6321</v>
      </c>
      <c r="C94" s="12" t="s">
        <v>6343</v>
      </c>
      <c r="D94" s="12" t="s">
        <v>6344</v>
      </c>
    </row>
    <row r="95" customFormat="false" ht="15" hidden="false" customHeight="false" outlineLevel="0" collapsed="false">
      <c r="A95" s="12" t="s">
        <v>6345</v>
      </c>
      <c r="B95" s="12" t="s">
        <v>6321</v>
      </c>
      <c r="C95" s="12" t="s">
        <v>6346</v>
      </c>
      <c r="D95" s="12" t="s">
        <v>6347</v>
      </c>
    </row>
    <row r="96" customFormat="false" ht="15" hidden="false" customHeight="false" outlineLevel="0" collapsed="false">
      <c r="A96" s="12" t="s">
        <v>6348</v>
      </c>
      <c r="B96" s="12" t="s">
        <v>6321</v>
      </c>
      <c r="C96" s="12" t="s">
        <v>6349</v>
      </c>
      <c r="D96" s="12" t="s">
        <v>6350</v>
      </c>
    </row>
    <row r="97" customFormat="false" ht="15" hidden="false" customHeight="false" outlineLevel="0" collapsed="false">
      <c r="A97" s="12" t="s">
        <v>6351</v>
      </c>
      <c r="B97" s="12" t="s">
        <v>6321</v>
      </c>
      <c r="C97" s="12" t="s">
        <v>6352</v>
      </c>
      <c r="D97" s="12" t="s">
        <v>6353</v>
      </c>
    </row>
    <row r="98" customFormat="false" ht="15" hidden="false" customHeight="false" outlineLevel="0" collapsed="false">
      <c r="A98" s="12" t="s">
        <v>6354</v>
      </c>
      <c r="B98" s="12" t="s">
        <v>6321</v>
      </c>
      <c r="C98" s="12" t="s">
        <v>6355</v>
      </c>
      <c r="D98" s="12" t="s">
        <v>6356</v>
      </c>
    </row>
    <row r="99" customFormat="false" ht="15" hidden="false" customHeight="false" outlineLevel="0" collapsed="false">
      <c r="A99" s="12" t="s">
        <v>6357</v>
      </c>
      <c r="B99" s="12" t="s">
        <v>6321</v>
      </c>
      <c r="C99" s="12" t="s">
        <v>6358</v>
      </c>
      <c r="D99" s="12" t="s">
        <v>6359</v>
      </c>
    </row>
    <row r="100" customFormat="false" ht="15" hidden="false" customHeight="false" outlineLevel="0" collapsed="false">
      <c r="A100" s="12" t="s">
        <v>6360</v>
      </c>
      <c r="B100" s="12" t="s">
        <v>6321</v>
      </c>
      <c r="C100" s="12" t="s">
        <v>6361</v>
      </c>
      <c r="D100" s="12" t="s">
        <v>6362</v>
      </c>
    </row>
    <row r="101" customFormat="false" ht="15" hidden="false" customHeight="false" outlineLevel="0" collapsed="false">
      <c r="A101" s="12" t="s">
        <v>6363</v>
      </c>
      <c r="B101" s="12" t="s">
        <v>6321</v>
      </c>
      <c r="C101" s="12" t="s">
        <v>6364</v>
      </c>
      <c r="D101" s="12" t="s">
        <v>6365</v>
      </c>
    </row>
    <row r="102" customFormat="false" ht="15" hidden="false" customHeight="false" outlineLevel="0" collapsed="false">
      <c r="A102" s="12" t="s">
        <v>6366</v>
      </c>
      <c r="B102" s="12" t="s">
        <v>6321</v>
      </c>
      <c r="C102" s="12" t="s">
        <v>6367</v>
      </c>
      <c r="D102" s="12" t="s">
        <v>6368</v>
      </c>
    </row>
    <row r="103" customFormat="false" ht="15" hidden="false" customHeight="false" outlineLevel="0" collapsed="false">
      <c r="A103" s="12" t="s">
        <v>6369</v>
      </c>
      <c r="B103" s="12" t="s">
        <v>6321</v>
      </c>
      <c r="C103" s="12" t="s">
        <v>6370</v>
      </c>
      <c r="D103" s="12" t="s">
        <v>6371</v>
      </c>
    </row>
    <row r="104" customFormat="false" ht="15" hidden="false" customHeight="false" outlineLevel="0" collapsed="false">
      <c r="A104" s="12" t="s">
        <v>6372</v>
      </c>
      <c r="B104" s="12" t="s">
        <v>6321</v>
      </c>
      <c r="C104" s="12" t="s">
        <v>6373</v>
      </c>
      <c r="D104" s="12" t="s">
        <v>6374</v>
      </c>
    </row>
    <row r="105" customFormat="false" ht="15" hidden="false" customHeight="false" outlineLevel="0" collapsed="false">
      <c r="A105" s="12" t="s">
        <v>6375</v>
      </c>
      <c r="B105" s="12" t="s">
        <v>6321</v>
      </c>
      <c r="C105" s="12" t="s">
        <v>6376</v>
      </c>
      <c r="D105" s="12" t="s">
        <v>6377</v>
      </c>
    </row>
    <row r="106" customFormat="false" ht="15" hidden="false" customHeight="false" outlineLevel="0" collapsed="false">
      <c r="A106" s="12" t="s">
        <v>6378</v>
      </c>
      <c r="B106" s="12" t="s">
        <v>6321</v>
      </c>
      <c r="C106" s="12" t="s">
        <v>6379</v>
      </c>
      <c r="D106" s="12" t="s">
        <v>6380</v>
      </c>
    </row>
    <row r="107" customFormat="false" ht="15" hidden="false" customHeight="false" outlineLevel="0" collapsed="false">
      <c r="A107" s="12" t="s">
        <v>6381</v>
      </c>
      <c r="B107" s="12" t="s">
        <v>6321</v>
      </c>
      <c r="C107" s="12" t="s">
        <v>6382</v>
      </c>
      <c r="D107" s="12" t="s">
        <v>6383</v>
      </c>
    </row>
    <row r="108" customFormat="false" ht="15" hidden="false" customHeight="false" outlineLevel="0" collapsed="false">
      <c r="A108" s="12" t="s">
        <v>6384</v>
      </c>
      <c r="B108" s="12" t="s">
        <v>6321</v>
      </c>
      <c r="C108" s="12" t="s">
        <v>6385</v>
      </c>
      <c r="D108" s="12" t="s">
        <v>6386</v>
      </c>
    </row>
    <row r="109" customFormat="false" ht="15" hidden="false" customHeight="false" outlineLevel="0" collapsed="false">
      <c r="A109" s="12" t="s">
        <v>6387</v>
      </c>
      <c r="B109" s="12" t="s">
        <v>6321</v>
      </c>
      <c r="C109" s="12" t="s">
        <v>6388</v>
      </c>
      <c r="D109" s="12" t="s">
        <v>6389</v>
      </c>
    </row>
    <row r="110" customFormat="false" ht="15" hidden="false" customHeight="false" outlineLevel="0" collapsed="false">
      <c r="A110" s="12" t="s">
        <v>6390</v>
      </c>
      <c r="B110" s="12" t="s">
        <v>6321</v>
      </c>
      <c r="C110" s="12" t="s">
        <v>6391</v>
      </c>
      <c r="D110" s="12" t="s">
        <v>6392</v>
      </c>
    </row>
    <row r="111" customFormat="false" ht="15" hidden="false" customHeight="false" outlineLevel="0" collapsed="false">
      <c r="A111" s="12" t="s">
        <v>6393</v>
      </c>
      <c r="B111" s="12" t="s">
        <v>6394</v>
      </c>
      <c r="C111" s="12" t="s">
        <v>6395</v>
      </c>
      <c r="D111" s="12" t="s">
        <v>6396</v>
      </c>
    </row>
    <row r="112" customFormat="false" ht="15" hidden="false" customHeight="false" outlineLevel="0" collapsed="false">
      <c r="A112" s="12" t="s">
        <v>6397</v>
      </c>
      <c r="B112" s="12" t="s">
        <v>6394</v>
      </c>
      <c r="C112" s="12" t="s">
        <v>6398</v>
      </c>
      <c r="D112" s="12" t="s">
        <v>6399</v>
      </c>
    </row>
    <row r="113" customFormat="false" ht="15" hidden="false" customHeight="false" outlineLevel="0" collapsed="false">
      <c r="A113" s="12" t="s">
        <v>6400</v>
      </c>
      <c r="B113" s="12" t="s">
        <v>6394</v>
      </c>
      <c r="C113" s="12" t="s">
        <v>6398</v>
      </c>
      <c r="D113" s="12" t="s">
        <v>6401</v>
      </c>
    </row>
    <row r="114" customFormat="false" ht="15" hidden="false" customHeight="false" outlineLevel="0" collapsed="false">
      <c r="A114" s="12" t="s">
        <v>6402</v>
      </c>
      <c r="B114" s="12" t="s">
        <v>6394</v>
      </c>
      <c r="C114" s="12" t="s">
        <v>6398</v>
      </c>
      <c r="D114" s="12" t="s">
        <v>6403</v>
      </c>
    </row>
    <row r="115" customFormat="false" ht="15" hidden="false" customHeight="false" outlineLevel="0" collapsed="false">
      <c r="A115" s="12" t="s">
        <v>6404</v>
      </c>
      <c r="B115" s="12" t="s">
        <v>6394</v>
      </c>
      <c r="C115" s="12" t="s">
        <v>6398</v>
      </c>
      <c r="D115" s="12" t="s">
        <v>6405</v>
      </c>
    </row>
    <row r="116" customFormat="false" ht="15" hidden="false" customHeight="false" outlineLevel="0" collapsed="false">
      <c r="A116" s="12" t="s">
        <v>6406</v>
      </c>
      <c r="B116" s="12" t="s">
        <v>6394</v>
      </c>
      <c r="C116" s="12" t="s">
        <v>6398</v>
      </c>
      <c r="D116" s="12" t="s">
        <v>6407</v>
      </c>
    </row>
    <row r="117" customFormat="false" ht="15" hidden="false" customHeight="false" outlineLevel="0" collapsed="false">
      <c r="A117" s="12" t="s">
        <v>6408</v>
      </c>
      <c r="B117" s="12" t="s">
        <v>6394</v>
      </c>
      <c r="C117" s="12" t="s">
        <v>6398</v>
      </c>
      <c r="D117" s="12" t="s">
        <v>6409</v>
      </c>
    </row>
    <row r="118" customFormat="false" ht="15" hidden="false" customHeight="false" outlineLevel="0" collapsed="false">
      <c r="A118" s="12" t="s">
        <v>6410</v>
      </c>
      <c r="B118" s="12" t="s">
        <v>6394</v>
      </c>
      <c r="C118" s="12" t="s">
        <v>6398</v>
      </c>
      <c r="D118" s="12" t="s">
        <v>6411</v>
      </c>
    </row>
    <row r="119" customFormat="false" ht="15" hidden="false" customHeight="false" outlineLevel="0" collapsed="false">
      <c r="A119" s="12" t="s">
        <v>6412</v>
      </c>
      <c r="B119" s="12" t="s">
        <v>6394</v>
      </c>
      <c r="C119" s="12" t="s">
        <v>6398</v>
      </c>
      <c r="D119" s="12" t="s">
        <v>6413</v>
      </c>
    </row>
    <row r="120" customFormat="false" ht="15" hidden="false" customHeight="false" outlineLevel="0" collapsed="false">
      <c r="A120" s="12" t="s">
        <v>6414</v>
      </c>
      <c r="B120" s="12" t="s">
        <v>6394</v>
      </c>
      <c r="C120" s="12" t="s">
        <v>6398</v>
      </c>
      <c r="D120" s="12" t="s">
        <v>6415</v>
      </c>
    </row>
    <row r="121" customFormat="false" ht="15" hidden="false" customHeight="false" outlineLevel="0" collapsed="false">
      <c r="A121" s="12" t="s">
        <v>6416</v>
      </c>
      <c r="B121" s="12" t="s">
        <v>6394</v>
      </c>
      <c r="C121" s="12" t="s">
        <v>6398</v>
      </c>
      <c r="D121" s="12" t="s">
        <v>6417</v>
      </c>
    </row>
    <row r="122" customFormat="false" ht="15" hidden="false" customHeight="false" outlineLevel="0" collapsed="false">
      <c r="A122" s="12" t="s">
        <v>6418</v>
      </c>
      <c r="B122" s="12" t="s">
        <v>6394</v>
      </c>
      <c r="C122" s="12" t="s">
        <v>6398</v>
      </c>
      <c r="D122" s="12" t="s">
        <v>6419</v>
      </c>
    </row>
    <row r="123" customFormat="false" ht="15" hidden="false" customHeight="false" outlineLevel="0" collapsed="false">
      <c r="A123" s="12" t="s">
        <v>6420</v>
      </c>
      <c r="B123" s="12" t="s">
        <v>6394</v>
      </c>
      <c r="C123" s="12" t="s">
        <v>6398</v>
      </c>
      <c r="D123" s="12" t="s">
        <v>6421</v>
      </c>
    </row>
    <row r="124" customFormat="false" ht="15" hidden="false" customHeight="false" outlineLevel="0" collapsed="false">
      <c r="A124" s="12" t="s">
        <v>6422</v>
      </c>
      <c r="B124" s="12" t="s">
        <v>6394</v>
      </c>
      <c r="C124" s="12" t="s">
        <v>6398</v>
      </c>
      <c r="D124" s="12" t="s">
        <v>6423</v>
      </c>
    </row>
    <row r="125" customFormat="false" ht="15" hidden="false" customHeight="false" outlineLevel="0" collapsed="false">
      <c r="A125" s="12" t="s">
        <v>6424</v>
      </c>
      <c r="B125" s="12" t="s">
        <v>6394</v>
      </c>
      <c r="C125" s="12" t="s">
        <v>6398</v>
      </c>
      <c r="D125" s="12" t="s">
        <v>6425</v>
      </c>
    </row>
    <row r="126" customFormat="false" ht="15" hidden="false" customHeight="false" outlineLevel="0" collapsed="false">
      <c r="A126" s="12" t="s">
        <v>6426</v>
      </c>
      <c r="B126" s="12" t="s">
        <v>6394</v>
      </c>
      <c r="C126" s="12" t="s">
        <v>6398</v>
      </c>
      <c r="D126" s="12" t="s">
        <v>6427</v>
      </c>
    </row>
    <row r="127" customFormat="false" ht="15" hidden="false" customHeight="false" outlineLevel="0" collapsed="false">
      <c r="A127" s="12" t="s">
        <v>6428</v>
      </c>
      <c r="B127" s="12" t="s">
        <v>6394</v>
      </c>
      <c r="C127" s="12" t="s">
        <v>6398</v>
      </c>
      <c r="D127" s="12" t="s">
        <v>6429</v>
      </c>
    </row>
    <row r="128" customFormat="false" ht="15" hidden="false" customHeight="false" outlineLevel="0" collapsed="false">
      <c r="A128" s="12" t="s">
        <v>6430</v>
      </c>
      <c r="B128" s="12" t="s">
        <v>6394</v>
      </c>
      <c r="C128" s="12" t="s">
        <v>6398</v>
      </c>
      <c r="D128" s="12" t="s">
        <v>6431</v>
      </c>
    </row>
    <row r="129" customFormat="false" ht="15" hidden="false" customHeight="false" outlineLevel="0" collapsed="false">
      <c r="A129" s="12" t="s">
        <v>6432</v>
      </c>
      <c r="B129" s="12" t="s">
        <v>6394</v>
      </c>
      <c r="C129" s="12" t="s">
        <v>6398</v>
      </c>
      <c r="D129" s="12" t="s">
        <v>6433</v>
      </c>
    </row>
    <row r="130" customFormat="false" ht="15" hidden="false" customHeight="false" outlineLevel="0" collapsed="false">
      <c r="A130" s="12" t="s">
        <v>6434</v>
      </c>
      <c r="B130" s="12" t="s">
        <v>6394</v>
      </c>
      <c r="C130" s="12" t="s">
        <v>6435</v>
      </c>
      <c r="D130" s="12" t="s">
        <v>6436</v>
      </c>
    </row>
    <row r="131" customFormat="false" ht="15" hidden="false" customHeight="false" outlineLevel="0" collapsed="false">
      <c r="A131" s="12" t="s">
        <v>6437</v>
      </c>
      <c r="B131" s="12" t="s">
        <v>6394</v>
      </c>
      <c r="C131" s="12" t="s">
        <v>6438</v>
      </c>
      <c r="D131" s="12" t="s">
        <v>6439</v>
      </c>
    </row>
    <row r="132" customFormat="false" ht="15" hidden="false" customHeight="false" outlineLevel="0" collapsed="false">
      <c r="A132" s="12" t="s">
        <v>6440</v>
      </c>
      <c r="B132" s="12" t="s">
        <v>6394</v>
      </c>
      <c r="C132" s="12" t="s">
        <v>6441</v>
      </c>
      <c r="D132" s="12" t="s">
        <v>6442</v>
      </c>
    </row>
    <row r="133" customFormat="false" ht="15" hidden="false" customHeight="false" outlineLevel="0" collapsed="false">
      <c r="A133" s="12" t="s">
        <v>6443</v>
      </c>
      <c r="B133" s="12" t="s">
        <v>6394</v>
      </c>
      <c r="C133" s="12" t="s">
        <v>6444</v>
      </c>
      <c r="D133" s="12" t="s">
        <v>6445</v>
      </c>
    </row>
    <row r="134" customFormat="false" ht="15" hidden="false" customHeight="false" outlineLevel="0" collapsed="false">
      <c r="A134" s="12" t="s">
        <v>6446</v>
      </c>
      <c r="B134" s="12" t="s">
        <v>6394</v>
      </c>
      <c r="C134" s="12" t="s">
        <v>6447</v>
      </c>
      <c r="D134" s="12" t="s">
        <v>6448</v>
      </c>
    </row>
    <row r="135" customFormat="false" ht="15" hidden="false" customHeight="false" outlineLevel="0" collapsed="false">
      <c r="A135" s="12" t="s">
        <v>6449</v>
      </c>
      <c r="B135" s="12" t="s">
        <v>6394</v>
      </c>
      <c r="C135" s="12" t="s">
        <v>6450</v>
      </c>
      <c r="D135" s="12" t="s">
        <v>6451</v>
      </c>
    </row>
    <row r="136" customFormat="false" ht="15" hidden="false" customHeight="false" outlineLevel="0" collapsed="false">
      <c r="A136" s="12" t="s">
        <v>6452</v>
      </c>
      <c r="B136" s="12" t="s">
        <v>6394</v>
      </c>
      <c r="C136" s="12" t="s">
        <v>6453</v>
      </c>
      <c r="D136" s="12" t="s">
        <v>6454</v>
      </c>
    </row>
    <row r="137" customFormat="false" ht="15" hidden="false" customHeight="false" outlineLevel="0" collapsed="false">
      <c r="A137" s="12" t="s">
        <v>6455</v>
      </c>
      <c r="B137" s="12" t="s">
        <v>6394</v>
      </c>
      <c r="C137" s="12" t="s">
        <v>6456</v>
      </c>
      <c r="D137" s="12" t="s">
        <v>6457</v>
      </c>
    </row>
    <row r="138" customFormat="false" ht="15" hidden="false" customHeight="false" outlineLevel="0" collapsed="false">
      <c r="A138" s="12" t="s">
        <v>6458</v>
      </c>
      <c r="B138" s="12" t="s">
        <v>6394</v>
      </c>
      <c r="C138" s="12" t="s">
        <v>6459</v>
      </c>
      <c r="D138" s="12" t="s">
        <v>6460</v>
      </c>
    </row>
    <row r="139" customFormat="false" ht="15" hidden="false" customHeight="false" outlineLevel="0" collapsed="false">
      <c r="A139" s="12" t="s">
        <v>6461</v>
      </c>
      <c r="B139" s="12" t="s">
        <v>6394</v>
      </c>
      <c r="C139" s="12" t="s">
        <v>6462</v>
      </c>
      <c r="D139" s="12" t="s">
        <v>6463</v>
      </c>
    </row>
    <row r="140" customFormat="false" ht="15" hidden="false" customHeight="false" outlineLevel="0" collapsed="false">
      <c r="A140" s="12" t="s">
        <v>6464</v>
      </c>
      <c r="B140" s="12" t="s">
        <v>6465</v>
      </c>
      <c r="C140" s="12" t="s">
        <v>6466</v>
      </c>
      <c r="D140" s="12" t="s">
        <v>6467</v>
      </c>
    </row>
    <row r="141" customFormat="false" ht="15" hidden="false" customHeight="false" outlineLevel="0" collapsed="false">
      <c r="A141" s="12" t="s">
        <v>6468</v>
      </c>
      <c r="B141" s="12" t="s">
        <v>6465</v>
      </c>
      <c r="C141" s="12" t="s">
        <v>6466</v>
      </c>
      <c r="D141" s="12" t="s">
        <v>6469</v>
      </c>
    </row>
    <row r="142" customFormat="false" ht="15" hidden="false" customHeight="false" outlineLevel="0" collapsed="false">
      <c r="A142" s="12" t="s">
        <v>6470</v>
      </c>
      <c r="B142" s="12" t="s">
        <v>6465</v>
      </c>
      <c r="C142" s="12" t="s">
        <v>6466</v>
      </c>
      <c r="D142" s="12" t="s">
        <v>6471</v>
      </c>
    </row>
    <row r="143" customFormat="false" ht="15" hidden="false" customHeight="false" outlineLevel="0" collapsed="false">
      <c r="A143" s="12" t="s">
        <v>6472</v>
      </c>
      <c r="B143" s="12" t="s">
        <v>6465</v>
      </c>
      <c r="C143" s="12" t="s">
        <v>6466</v>
      </c>
      <c r="D143" s="12" t="s">
        <v>6473</v>
      </c>
    </row>
    <row r="144" customFormat="false" ht="15" hidden="false" customHeight="false" outlineLevel="0" collapsed="false">
      <c r="A144" s="12" t="s">
        <v>6474</v>
      </c>
      <c r="B144" s="12" t="s">
        <v>6465</v>
      </c>
      <c r="C144" s="12" t="s">
        <v>6466</v>
      </c>
      <c r="D144" s="12" t="s">
        <v>6475</v>
      </c>
    </row>
    <row r="145" customFormat="false" ht="15" hidden="false" customHeight="false" outlineLevel="0" collapsed="false">
      <c r="A145" s="12" t="s">
        <v>6476</v>
      </c>
      <c r="B145" s="12" t="s">
        <v>6465</v>
      </c>
      <c r="C145" s="12" t="s">
        <v>6466</v>
      </c>
      <c r="D145" s="12" t="s">
        <v>6477</v>
      </c>
    </row>
    <row r="146" customFormat="false" ht="15" hidden="false" customHeight="false" outlineLevel="0" collapsed="false">
      <c r="A146" s="12" t="s">
        <v>6478</v>
      </c>
      <c r="B146" s="12" t="s">
        <v>6465</v>
      </c>
      <c r="C146" s="12" t="s">
        <v>6466</v>
      </c>
      <c r="D146" s="12" t="s">
        <v>6479</v>
      </c>
    </row>
    <row r="147" customFormat="false" ht="15" hidden="false" customHeight="false" outlineLevel="0" collapsed="false">
      <c r="A147" s="12" t="s">
        <v>6480</v>
      </c>
      <c r="B147" s="12" t="s">
        <v>6465</v>
      </c>
      <c r="C147" s="12" t="s">
        <v>6466</v>
      </c>
      <c r="D147" s="12" t="s">
        <v>6481</v>
      </c>
    </row>
    <row r="148" customFormat="false" ht="15" hidden="false" customHeight="false" outlineLevel="0" collapsed="false">
      <c r="A148" s="12" t="s">
        <v>6482</v>
      </c>
      <c r="B148" s="12" t="s">
        <v>6465</v>
      </c>
      <c r="C148" s="12" t="s">
        <v>6483</v>
      </c>
      <c r="D148" s="12" t="s">
        <v>6484</v>
      </c>
    </row>
    <row r="149" customFormat="false" ht="15" hidden="false" customHeight="false" outlineLevel="0" collapsed="false">
      <c r="A149" s="12" t="s">
        <v>6485</v>
      </c>
      <c r="B149" s="12" t="s">
        <v>6465</v>
      </c>
      <c r="C149" s="12" t="s">
        <v>6483</v>
      </c>
      <c r="D149" s="12" t="s">
        <v>6486</v>
      </c>
    </row>
    <row r="150" customFormat="false" ht="15" hidden="false" customHeight="false" outlineLevel="0" collapsed="false">
      <c r="A150" s="12" t="s">
        <v>6487</v>
      </c>
      <c r="B150" s="12" t="s">
        <v>6465</v>
      </c>
      <c r="C150" s="12" t="s">
        <v>6483</v>
      </c>
      <c r="D150" s="12" t="s">
        <v>6488</v>
      </c>
    </row>
    <row r="151" customFormat="false" ht="15" hidden="false" customHeight="false" outlineLevel="0" collapsed="false">
      <c r="A151" s="12" t="s">
        <v>6489</v>
      </c>
      <c r="B151" s="12" t="s">
        <v>6465</v>
      </c>
      <c r="C151" s="12" t="s">
        <v>6483</v>
      </c>
      <c r="D151" s="12" t="s">
        <v>6490</v>
      </c>
    </row>
    <row r="152" customFormat="false" ht="15" hidden="false" customHeight="false" outlineLevel="0" collapsed="false">
      <c r="A152" s="12" t="s">
        <v>6491</v>
      </c>
      <c r="B152" s="12" t="s">
        <v>6465</v>
      </c>
      <c r="C152" s="12" t="s">
        <v>6483</v>
      </c>
      <c r="D152" s="12" t="s">
        <v>6492</v>
      </c>
    </row>
    <row r="153" customFormat="false" ht="15" hidden="false" customHeight="false" outlineLevel="0" collapsed="false">
      <c r="A153" s="12" t="s">
        <v>6493</v>
      </c>
      <c r="B153" s="12" t="s">
        <v>6465</v>
      </c>
      <c r="C153" s="12" t="s">
        <v>6483</v>
      </c>
      <c r="D153" s="12" t="s">
        <v>6494</v>
      </c>
    </row>
    <row r="154" customFormat="false" ht="15" hidden="false" customHeight="false" outlineLevel="0" collapsed="false">
      <c r="A154" s="12" t="s">
        <v>6495</v>
      </c>
      <c r="B154" s="12" t="s">
        <v>6465</v>
      </c>
      <c r="C154" s="12" t="s">
        <v>6483</v>
      </c>
      <c r="D154" s="12" t="s">
        <v>6496</v>
      </c>
    </row>
    <row r="155" customFormat="false" ht="15" hidden="false" customHeight="false" outlineLevel="0" collapsed="false">
      <c r="A155" s="12" t="s">
        <v>6497</v>
      </c>
      <c r="B155" s="12" t="s">
        <v>6465</v>
      </c>
      <c r="C155" s="12" t="s">
        <v>6483</v>
      </c>
      <c r="D155" s="12" t="s">
        <v>6498</v>
      </c>
    </row>
    <row r="156" customFormat="false" ht="15" hidden="false" customHeight="false" outlineLevel="0" collapsed="false">
      <c r="A156" s="12" t="s">
        <v>6499</v>
      </c>
      <c r="B156" s="12" t="s">
        <v>6465</v>
      </c>
      <c r="C156" s="12" t="s">
        <v>6483</v>
      </c>
      <c r="D156" s="12" t="s">
        <v>6500</v>
      </c>
    </row>
    <row r="157" customFormat="false" ht="15" hidden="false" customHeight="false" outlineLevel="0" collapsed="false">
      <c r="A157" s="12" t="s">
        <v>6501</v>
      </c>
      <c r="B157" s="12" t="s">
        <v>6465</v>
      </c>
      <c r="C157" s="12" t="s">
        <v>6466</v>
      </c>
      <c r="D157" s="12" t="s">
        <v>6502</v>
      </c>
    </row>
    <row r="158" customFormat="false" ht="15" hidden="false" customHeight="false" outlineLevel="0" collapsed="false">
      <c r="A158" s="12" t="s">
        <v>6503</v>
      </c>
      <c r="B158" s="12" t="s">
        <v>6465</v>
      </c>
      <c r="C158" s="12" t="s">
        <v>6466</v>
      </c>
      <c r="D158" s="12" t="s">
        <v>6504</v>
      </c>
    </row>
    <row r="159" customFormat="false" ht="15" hidden="false" customHeight="false" outlineLevel="0" collapsed="false">
      <c r="A159" s="12" t="s">
        <v>6505</v>
      </c>
      <c r="B159" s="12" t="s">
        <v>6465</v>
      </c>
      <c r="C159" s="12" t="s">
        <v>6466</v>
      </c>
      <c r="D159" s="12" t="s">
        <v>6506</v>
      </c>
    </row>
    <row r="160" customFormat="false" ht="15" hidden="false" customHeight="false" outlineLevel="0" collapsed="false">
      <c r="A160" s="12" t="s">
        <v>6507</v>
      </c>
      <c r="B160" s="12" t="s">
        <v>6465</v>
      </c>
      <c r="C160" s="12" t="s">
        <v>6466</v>
      </c>
      <c r="D160" s="12" t="s">
        <v>6508</v>
      </c>
    </row>
    <row r="161" customFormat="false" ht="15" hidden="false" customHeight="false" outlineLevel="0" collapsed="false">
      <c r="A161" s="12" t="s">
        <v>6509</v>
      </c>
      <c r="B161" s="12" t="s">
        <v>6465</v>
      </c>
      <c r="C161" s="12" t="s">
        <v>6466</v>
      </c>
      <c r="D161" s="12" t="s">
        <v>6510</v>
      </c>
    </row>
    <row r="162" customFormat="false" ht="15" hidden="false" customHeight="false" outlineLevel="0" collapsed="false">
      <c r="A162" s="12" t="s">
        <v>6511</v>
      </c>
      <c r="B162" s="12" t="s">
        <v>6465</v>
      </c>
      <c r="C162" s="12" t="s">
        <v>6466</v>
      </c>
      <c r="D162" s="12" t="s">
        <v>6512</v>
      </c>
    </row>
    <row r="163" customFormat="false" ht="15" hidden="false" customHeight="false" outlineLevel="0" collapsed="false">
      <c r="A163" s="12" t="s">
        <v>6513</v>
      </c>
      <c r="B163" s="12" t="s">
        <v>6465</v>
      </c>
      <c r="C163" s="12" t="s">
        <v>6466</v>
      </c>
      <c r="D163" s="12" t="s">
        <v>6514</v>
      </c>
    </row>
    <row r="164" customFormat="false" ht="15" hidden="false" customHeight="false" outlineLevel="0" collapsed="false">
      <c r="A164" s="12" t="s">
        <v>6515</v>
      </c>
      <c r="B164" s="12" t="s">
        <v>6465</v>
      </c>
      <c r="C164" s="12" t="s">
        <v>6466</v>
      </c>
      <c r="D164" s="12" t="s">
        <v>6516</v>
      </c>
    </row>
    <row r="165" customFormat="false" ht="15" hidden="false" customHeight="false" outlineLevel="0" collapsed="false">
      <c r="A165" s="12" t="s">
        <v>6517</v>
      </c>
      <c r="B165" s="12" t="s">
        <v>6465</v>
      </c>
      <c r="C165" s="12" t="s">
        <v>6466</v>
      </c>
      <c r="D165" s="12" t="s">
        <v>6518</v>
      </c>
    </row>
    <row r="166" customFormat="false" ht="15" hidden="false" customHeight="false" outlineLevel="0" collapsed="false">
      <c r="A166" s="12" t="s">
        <v>6519</v>
      </c>
      <c r="B166" s="12" t="s">
        <v>6465</v>
      </c>
      <c r="C166" s="12" t="s">
        <v>6466</v>
      </c>
      <c r="D166" s="12" t="s">
        <v>6520</v>
      </c>
    </row>
    <row r="167" customFormat="false" ht="15" hidden="false" customHeight="false" outlineLevel="0" collapsed="false">
      <c r="A167" s="12" t="s">
        <v>6521</v>
      </c>
      <c r="B167" s="12" t="s">
        <v>6465</v>
      </c>
      <c r="C167" s="12" t="s">
        <v>6466</v>
      </c>
      <c r="D167" s="12" t="s">
        <v>6522</v>
      </c>
    </row>
    <row r="168" customFormat="false" ht="15" hidden="false" customHeight="false" outlineLevel="0" collapsed="false">
      <c r="A168" s="12" t="s">
        <v>6523</v>
      </c>
      <c r="B168" s="12" t="s">
        <v>6465</v>
      </c>
      <c r="C168" s="12" t="s">
        <v>6466</v>
      </c>
      <c r="D168" s="12" t="s">
        <v>6524</v>
      </c>
    </row>
    <row r="169" customFormat="false" ht="15" hidden="false" customHeight="false" outlineLevel="0" collapsed="false">
      <c r="A169" s="12" t="s">
        <v>6525</v>
      </c>
      <c r="B169" s="12" t="s">
        <v>6465</v>
      </c>
      <c r="C169" s="12" t="s">
        <v>6466</v>
      </c>
      <c r="D169" s="12" t="s">
        <v>6526</v>
      </c>
    </row>
    <row r="170" customFormat="false" ht="15" hidden="false" customHeight="false" outlineLevel="0" collapsed="false">
      <c r="A170" s="12" t="s">
        <v>6527</v>
      </c>
      <c r="B170" s="12" t="s">
        <v>6465</v>
      </c>
      <c r="C170" s="12" t="s">
        <v>6466</v>
      </c>
      <c r="D170" s="12" t="s">
        <v>6528</v>
      </c>
    </row>
    <row r="171" customFormat="false" ht="15" hidden="false" customHeight="false" outlineLevel="0" collapsed="false">
      <c r="A171" s="12" t="s">
        <v>6529</v>
      </c>
      <c r="B171" s="12" t="s">
        <v>6465</v>
      </c>
      <c r="C171" s="12" t="s">
        <v>6466</v>
      </c>
      <c r="D171" s="12" t="s">
        <v>6530</v>
      </c>
    </row>
    <row r="172" customFormat="false" ht="15" hidden="false" customHeight="false" outlineLevel="0" collapsed="false">
      <c r="A172" s="12" t="s">
        <v>6531</v>
      </c>
      <c r="B172" s="12" t="s">
        <v>6465</v>
      </c>
      <c r="C172" s="12" t="s">
        <v>6466</v>
      </c>
      <c r="D172" s="12" t="s">
        <v>6532</v>
      </c>
    </row>
    <row r="173" customFormat="false" ht="15" hidden="false" customHeight="false" outlineLevel="0" collapsed="false">
      <c r="A173" s="12" t="s">
        <v>6533</v>
      </c>
      <c r="B173" s="12" t="s">
        <v>6465</v>
      </c>
      <c r="C173" s="12" t="s">
        <v>6483</v>
      </c>
      <c r="D173" s="12" t="s">
        <v>6534</v>
      </c>
    </row>
    <row r="174" customFormat="false" ht="15" hidden="false" customHeight="false" outlineLevel="0" collapsed="false">
      <c r="A174" s="12" t="s">
        <v>6535</v>
      </c>
      <c r="B174" s="12" t="s">
        <v>6465</v>
      </c>
      <c r="C174" s="12" t="s">
        <v>6483</v>
      </c>
      <c r="D174" s="12" t="s">
        <v>6536</v>
      </c>
    </row>
    <row r="175" customFormat="false" ht="15" hidden="false" customHeight="false" outlineLevel="0" collapsed="false">
      <c r="A175" s="12" t="s">
        <v>6537</v>
      </c>
      <c r="B175" s="12" t="s">
        <v>6465</v>
      </c>
      <c r="C175" s="12" t="s">
        <v>6483</v>
      </c>
      <c r="D175" s="12" t="s">
        <v>6538</v>
      </c>
    </row>
    <row r="176" customFormat="false" ht="15" hidden="false" customHeight="false" outlineLevel="0" collapsed="false">
      <c r="A176" s="12" t="s">
        <v>6539</v>
      </c>
      <c r="B176" s="12" t="s">
        <v>6465</v>
      </c>
      <c r="C176" s="12" t="s">
        <v>6483</v>
      </c>
      <c r="D176" s="12" t="s">
        <v>6540</v>
      </c>
    </row>
    <row r="177" customFormat="false" ht="15" hidden="false" customHeight="false" outlineLevel="0" collapsed="false">
      <c r="A177" s="12" t="s">
        <v>6541</v>
      </c>
      <c r="B177" s="12" t="s">
        <v>6465</v>
      </c>
      <c r="C177" s="12" t="s">
        <v>6483</v>
      </c>
      <c r="D177" s="12" t="s">
        <v>6542</v>
      </c>
    </row>
    <row r="178" customFormat="false" ht="15" hidden="false" customHeight="false" outlineLevel="0" collapsed="false">
      <c r="A178" s="12" t="s">
        <v>6543</v>
      </c>
      <c r="B178" s="12" t="s">
        <v>6465</v>
      </c>
      <c r="C178" s="12" t="s">
        <v>6483</v>
      </c>
      <c r="D178" s="12" t="s">
        <v>6544</v>
      </c>
    </row>
    <row r="179" customFormat="false" ht="15" hidden="false" customHeight="false" outlineLevel="0" collapsed="false">
      <c r="A179" s="12" t="s">
        <v>6545</v>
      </c>
      <c r="B179" s="12" t="s">
        <v>6465</v>
      </c>
      <c r="C179" s="12" t="s">
        <v>6483</v>
      </c>
      <c r="D179" s="12" t="s">
        <v>6546</v>
      </c>
    </row>
    <row r="180" customFormat="false" ht="15" hidden="false" customHeight="false" outlineLevel="0" collapsed="false">
      <c r="A180" s="12" t="s">
        <v>1435</v>
      </c>
      <c r="B180" s="12" t="s">
        <v>6547</v>
      </c>
      <c r="C180" s="12" t="s">
        <v>6548</v>
      </c>
      <c r="D180" s="12" t="s">
        <v>6549</v>
      </c>
    </row>
    <row r="181" customFormat="false" ht="15" hidden="false" customHeight="false" outlineLevel="0" collapsed="false">
      <c r="A181" s="12" t="s">
        <v>797</v>
      </c>
      <c r="B181" s="12" t="s">
        <v>6547</v>
      </c>
      <c r="C181" s="12" t="s">
        <v>6550</v>
      </c>
      <c r="D181" s="12" t="s">
        <v>6551</v>
      </c>
    </row>
    <row r="182" customFormat="false" ht="15" hidden="false" customHeight="false" outlineLevel="0" collapsed="false">
      <c r="A182" s="12" t="s">
        <v>864</v>
      </c>
      <c r="B182" s="12" t="s">
        <v>6547</v>
      </c>
      <c r="C182" s="12" t="s">
        <v>6552</v>
      </c>
      <c r="D182" s="12" t="s">
        <v>6553</v>
      </c>
    </row>
    <row r="183" customFormat="false" ht="15" hidden="false" customHeight="false" outlineLevel="0" collapsed="false">
      <c r="A183" s="12" t="s">
        <v>6554</v>
      </c>
      <c r="B183" s="12" t="s">
        <v>6547</v>
      </c>
      <c r="C183" s="12" t="s">
        <v>6555</v>
      </c>
      <c r="D183" s="12" t="s">
        <v>6556</v>
      </c>
    </row>
    <row r="184" customFormat="false" ht="15" hidden="false" customHeight="false" outlineLevel="0" collapsed="false">
      <c r="A184" s="12" t="s">
        <v>6557</v>
      </c>
      <c r="B184" s="12" t="s">
        <v>6547</v>
      </c>
      <c r="C184" s="12" t="s">
        <v>6558</v>
      </c>
      <c r="D184" s="12" t="s">
        <v>6559</v>
      </c>
    </row>
    <row r="185" customFormat="false" ht="15" hidden="false" customHeight="false" outlineLevel="0" collapsed="false">
      <c r="A185" s="12" t="s">
        <v>870</v>
      </c>
      <c r="B185" s="12" t="s">
        <v>6547</v>
      </c>
      <c r="C185" s="12" t="s">
        <v>6560</v>
      </c>
      <c r="D185" s="12" t="s">
        <v>6561</v>
      </c>
    </row>
    <row r="186" customFormat="false" ht="15" hidden="false" customHeight="false" outlineLevel="0" collapsed="false">
      <c r="A186" s="12" t="s">
        <v>6562</v>
      </c>
      <c r="B186" s="12" t="s">
        <v>6547</v>
      </c>
      <c r="C186" s="12" t="s">
        <v>6563</v>
      </c>
      <c r="D186" s="12" t="s">
        <v>6564</v>
      </c>
    </row>
    <row r="187" customFormat="false" ht="15" hidden="false" customHeight="false" outlineLevel="0" collapsed="false">
      <c r="A187" s="12" t="s">
        <v>6565</v>
      </c>
      <c r="B187" s="12" t="s">
        <v>6547</v>
      </c>
      <c r="C187" s="12" t="s">
        <v>6566</v>
      </c>
      <c r="D187" s="12" t="s">
        <v>6567</v>
      </c>
    </row>
    <row r="188" customFormat="false" ht="15" hidden="false" customHeight="false" outlineLevel="0" collapsed="false">
      <c r="A188" s="12" t="s">
        <v>626</v>
      </c>
      <c r="B188" s="12" t="s">
        <v>6547</v>
      </c>
      <c r="C188" s="12" t="s">
        <v>6568</v>
      </c>
      <c r="D188" s="12" t="s">
        <v>6569</v>
      </c>
    </row>
    <row r="189" customFormat="false" ht="15" hidden="false" customHeight="false" outlineLevel="0" collapsed="false">
      <c r="A189" s="12" t="s">
        <v>1044</v>
      </c>
      <c r="B189" s="12" t="s">
        <v>6547</v>
      </c>
      <c r="C189" s="12" t="s">
        <v>6570</v>
      </c>
      <c r="D189" s="12" t="s">
        <v>6571</v>
      </c>
    </row>
    <row r="190" customFormat="false" ht="15" hidden="false" customHeight="false" outlineLevel="0" collapsed="false">
      <c r="A190" s="12" t="s">
        <v>1087</v>
      </c>
      <c r="B190" s="12" t="s">
        <v>6547</v>
      </c>
      <c r="C190" s="12" t="s">
        <v>6572</v>
      </c>
      <c r="D190" s="12" t="s">
        <v>6573</v>
      </c>
    </row>
    <row r="191" customFormat="false" ht="15" hidden="false" customHeight="false" outlineLevel="0" collapsed="false">
      <c r="A191" s="12" t="s">
        <v>6574</v>
      </c>
      <c r="B191" s="12" t="s">
        <v>6547</v>
      </c>
      <c r="C191" s="12" t="s">
        <v>6575</v>
      </c>
      <c r="D191" s="12" t="s">
        <v>6576</v>
      </c>
    </row>
    <row r="192" customFormat="false" ht="15" hidden="false" customHeight="false" outlineLevel="0" collapsed="false">
      <c r="A192" s="12" t="s">
        <v>832</v>
      </c>
      <c r="B192" s="12" t="s">
        <v>6547</v>
      </c>
      <c r="C192" s="12" t="s">
        <v>6577</v>
      </c>
      <c r="D192" s="12" t="s">
        <v>6578</v>
      </c>
    </row>
    <row r="193" customFormat="false" ht="15" hidden="false" customHeight="false" outlineLevel="0" collapsed="false">
      <c r="A193" s="12" t="s">
        <v>6579</v>
      </c>
      <c r="B193" s="12" t="s">
        <v>6547</v>
      </c>
      <c r="C193" s="12" t="s">
        <v>6580</v>
      </c>
      <c r="D193" s="12" t="s">
        <v>6581</v>
      </c>
    </row>
    <row r="194" customFormat="false" ht="15" hidden="false" customHeight="false" outlineLevel="0" collapsed="false">
      <c r="A194" s="12" t="s">
        <v>6582</v>
      </c>
      <c r="B194" s="12" t="s">
        <v>6547</v>
      </c>
      <c r="C194" s="12" t="s">
        <v>6583</v>
      </c>
      <c r="D194" s="12" t="s">
        <v>6584</v>
      </c>
    </row>
    <row r="195" customFormat="false" ht="15" hidden="false" customHeight="false" outlineLevel="0" collapsed="false">
      <c r="A195" s="12" t="s">
        <v>6585</v>
      </c>
      <c r="B195" s="12" t="s">
        <v>6547</v>
      </c>
      <c r="C195" s="12" t="s">
        <v>6586</v>
      </c>
      <c r="D195" s="12" t="s">
        <v>6587</v>
      </c>
    </row>
    <row r="196" customFormat="false" ht="15" hidden="false" customHeight="false" outlineLevel="0" collapsed="false">
      <c r="A196" s="12" t="s">
        <v>6588</v>
      </c>
      <c r="B196" s="12" t="s">
        <v>6547</v>
      </c>
      <c r="C196" s="12" t="s">
        <v>6589</v>
      </c>
      <c r="D196" s="12" t="s">
        <v>6590</v>
      </c>
    </row>
    <row r="197" customFormat="false" ht="15" hidden="false" customHeight="false" outlineLevel="0" collapsed="false">
      <c r="A197" s="12" t="s">
        <v>6591</v>
      </c>
      <c r="B197" s="12" t="s">
        <v>6547</v>
      </c>
      <c r="C197" s="12" t="s">
        <v>6592</v>
      </c>
      <c r="D197" s="12" t="s">
        <v>6593</v>
      </c>
    </row>
    <row r="198" customFormat="false" ht="15" hidden="false" customHeight="false" outlineLevel="0" collapsed="false">
      <c r="A198" s="12" t="s">
        <v>6594</v>
      </c>
      <c r="B198" s="12" t="s">
        <v>6547</v>
      </c>
      <c r="C198" s="12" t="s">
        <v>6595</v>
      </c>
      <c r="D198" s="12" t="s">
        <v>6596</v>
      </c>
    </row>
    <row r="199" customFormat="false" ht="15" hidden="false" customHeight="false" outlineLevel="0" collapsed="false">
      <c r="A199" s="12" t="s">
        <v>937</v>
      </c>
      <c r="B199" s="12" t="s">
        <v>6547</v>
      </c>
      <c r="C199" s="12" t="s">
        <v>6597</v>
      </c>
      <c r="D199" s="12" t="s">
        <v>6598</v>
      </c>
    </row>
    <row r="200" customFormat="false" ht="15" hidden="false" customHeight="false" outlineLevel="0" collapsed="false">
      <c r="A200" s="12" t="s">
        <v>720</v>
      </c>
      <c r="B200" s="12" t="s">
        <v>6547</v>
      </c>
      <c r="C200" s="12" t="s">
        <v>6599</v>
      </c>
      <c r="D200" s="12" t="s">
        <v>6600</v>
      </c>
    </row>
    <row r="201" customFormat="false" ht="15" hidden="false" customHeight="false" outlineLevel="0" collapsed="false">
      <c r="A201" s="12" t="s">
        <v>931</v>
      </c>
      <c r="B201" s="12" t="s">
        <v>6547</v>
      </c>
      <c r="C201" s="12" t="s">
        <v>6601</v>
      </c>
      <c r="D201" s="12" t="s">
        <v>6602</v>
      </c>
    </row>
    <row r="202" customFormat="false" ht="15" hidden="false" customHeight="false" outlineLevel="0" collapsed="false">
      <c r="A202" s="12" t="s">
        <v>1175</v>
      </c>
      <c r="B202" s="12" t="s">
        <v>6547</v>
      </c>
      <c r="C202" s="12" t="s">
        <v>6603</v>
      </c>
      <c r="D202" s="12" t="s">
        <v>6604</v>
      </c>
    </row>
    <row r="203" customFormat="false" ht="15" hidden="false" customHeight="false" outlineLevel="0" collapsed="false">
      <c r="A203" s="12" t="s">
        <v>6605</v>
      </c>
      <c r="B203" s="12" t="s">
        <v>6547</v>
      </c>
      <c r="C203" s="12" t="s">
        <v>6606</v>
      </c>
      <c r="D203" s="12" t="s">
        <v>6607</v>
      </c>
    </row>
    <row r="204" customFormat="false" ht="15" hidden="false" customHeight="false" outlineLevel="0" collapsed="false">
      <c r="A204" s="12" t="s">
        <v>209</v>
      </c>
      <c r="B204" s="12" t="s">
        <v>6547</v>
      </c>
      <c r="C204" s="12" t="s">
        <v>6608</v>
      </c>
      <c r="D204" s="12" t="s">
        <v>6609</v>
      </c>
    </row>
    <row r="205" customFormat="false" ht="15" hidden="false" customHeight="false" outlineLevel="0" collapsed="false">
      <c r="A205" s="12" t="s">
        <v>6610</v>
      </c>
      <c r="B205" s="12" t="s">
        <v>6547</v>
      </c>
      <c r="C205" s="12" t="s">
        <v>6611</v>
      </c>
      <c r="D205" s="12" t="s">
        <v>6612</v>
      </c>
    </row>
    <row r="206" customFormat="false" ht="15" hidden="false" customHeight="false" outlineLevel="0" collapsed="false">
      <c r="A206" s="12" t="s">
        <v>6613</v>
      </c>
      <c r="B206" s="12" t="s">
        <v>6547</v>
      </c>
      <c r="C206" s="12" t="s">
        <v>6614</v>
      </c>
      <c r="D206" s="12" t="s">
        <v>6615</v>
      </c>
    </row>
    <row r="207" customFormat="false" ht="15" hidden="false" customHeight="false" outlineLevel="0" collapsed="false">
      <c r="A207" s="12" t="s">
        <v>6616</v>
      </c>
      <c r="B207" s="12" t="s">
        <v>6547</v>
      </c>
      <c r="C207" s="12" t="s">
        <v>6617</v>
      </c>
      <c r="D207" s="12" t="s">
        <v>6618</v>
      </c>
    </row>
    <row r="208" customFormat="false" ht="15" hidden="false" customHeight="false" outlineLevel="0" collapsed="false">
      <c r="A208" s="12" t="s">
        <v>316</v>
      </c>
      <c r="B208" s="12" t="s">
        <v>6547</v>
      </c>
      <c r="C208" s="12" t="s">
        <v>6619</v>
      </c>
      <c r="D208" s="12" t="s">
        <v>6620</v>
      </c>
    </row>
    <row r="209" customFormat="false" ht="15" hidden="false" customHeight="false" outlineLevel="0" collapsed="false">
      <c r="A209" s="12" t="s">
        <v>1027</v>
      </c>
      <c r="B209" s="12" t="s">
        <v>6547</v>
      </c>
      <c r="C209" s="12" t="s">
        <v>6621</v>
      </c>
      <c r="D209" s="12" t="s">
        <v>6622</v>
      </c>
    </row>
    <row r="210" customFormat="false" ht="15" hidden="false" customHeight="false" outlineLevel="0" collapsed="false">
      <c r="A210" s="12" t="s">
        <v>1397</v>
      </c>
      <c r="B210" s="12" t="s">
        <v>6547</v>
      </c>
      <c r="C210" s="12" t="s">
        <v>6623</v>
      </c>
      <c r="D210" s="12" t="s">
        <v>6624</v>
      </c>
    </row>
    <row r="212" customFormat="false" ht="15" hidden="false" customHeight="false" outlineLevel="0" collapsed="false">
      <c r="A212" s="12" t="s">
        <v>6625</v>
      </c>
    </row>
    <row r="213" customFormat="false" ht="15" hidden="false" customHeight="false" outlineLevel="0" collapsed="false">
      <c r="A213" s="12" t="s">
        <v>6626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2026-10-13T21:01:07Z</dcterms:created>
  <dc:creator>openpyxl</dc:creator>
  <dc:description/>
  <dc:language>en-US</dc:language>
  <cp:lastModifiedBy/>
  <dcterms:modified xsi:type="dcterms:W3CDTF">2026-10-13T21:01:10Z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